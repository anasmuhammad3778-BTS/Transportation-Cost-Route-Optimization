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CM Portfolios Notion &amp; Githubs\Supply-Chain-Portfolio\Transportation Cost &amp; Route Optimization\"/>
    </mc:Choice>
  </mc:AlternateContent>
  <bookViews>
    <workbookView xWindow="0" yWindow="0" windowWidth="23040" windowHeight="9264" activeTab="4"/>
  </bookViews>
  <sheets>
    <sheet name="Customers" sheetId="1" r:id="rId1"/>
    <sheet name="Vehicles" sheetId="2" r:id="rId2"/>
    <sheet name="Drivers" sheetId="3" r:id="rId3"/>
    <sheet name="Routes" sheetId="4" r:id="rId4"/>
    <sheet name="Shipments" sheetId="5" r:id="rId5"/>
    <sheet name="Fuel_Rates" sheetId="6" r:id="rId6"/>
  </sheets>
  <calcPr calcId="152511"/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2" i="5"/>
  <c r="O1001" i="5"/>
  <c r="K1001" i="5"/>
  <c r="L1001" i="5" s="1"/>
  <c r="M1001" i="5" s="1"/>
  <c r="N1001" i="5" s="1"/>
  <c r="J1001" i="5"/>
  <c r="G1001" i="5"/>
  <c r="F1001" i="5"/>
  <c r="E1001" i="5"/>
  <c r="T1001" i="5" s="1"/>
  <c r="D1001" i="5"/>
  <c r="Q1001" i="5" s="1"/>
  <c r="C1001" i="5"/>
  <c r="B1001" i="5"/>
  <c r="Z1001" i="5" s="1"/>
  <c r="O1000" i="5"/>
  <c r="K1000" i="5"/>
  <c r="L1000" i="5" s="1"/>
  <c r="M1000" i="5" s="1"/>
  <c r="N1000" i="5" s="1"/>
  <c r="J1000" i="5"/>
  <c r="G1000" i="5"/>
  <c r="F1000" i="5"/>
  <c r="E1000" i="5"/>
  <c r="T1000" i="5" s="1"/>
  <c r="D1000" i="5"/>
  <c r="Q1000" i="5" s="1"/>
  <c r="C1000" i="5"/>
  <c r="B1000" i="5"/>
  <c r="Z1000" i="5" s="1"/>
  <c r="O999" i="5"/>
  <c r="K999" i="5"/>
  <c r="L999" i="5" s="1"/>
  <c r="M999" i="5" s="1"/>
  <c r="N999" i="5" s="1"/>
  <c r="J999" i="5"/>
  <c r="G999" i="5"/>
  <c r="F999" i="5"/>
  <c r="E999" i="5"/>
  <c r="T999" i="5" s="1"/>
  <c r="D999" i="5"/>
  <c r="Q999" i="5" s="1"/>
  <c r="C999" i="5"/>
  <c r="B999" i="5"/>
  <c r="Z999" i="5" s="1"/>
  <c r="O998" i="5"/>
  <c r="K998" i="5"/>
  <c r="L998" i="5" s="1"/>
  <c r="M998" i="5" s="1"/>
  <c r="N998" i="5" s="1"/>
  <c r="J998" i="5"/>
  <c r="G998" i="5"/>
  <c r="F998" i="5"/>
  <c r="E998" i="5"/>
  <c r="T998" i="5" s="1"/>
  <c r="D998" i="5"/>
  <c r="Q998" i="5" s="1"/>
  <c r="C998" i="5"/>
  <c r="B998" i="5"/>
  <c r="Z998" i="5" s="1"/>
  <c r="O997" i="5"/>
  <c r="K997" i="5"/>
  <c r="L997" i="5" s="1"/>
  <c r="M997" i="5" s="1"/>
  <c r="N997" i="5" s="1"/>
  <c r="J997" i="5"/>
  <c r="G997" i="5"/>
  <c r="F997" i="5"/>
  <c r="E997" i="5"/>
  <c r="T997" i="5" s="1"/>
  <c r="D997" i="5"/>
  <c r="Q997" i="5" s="1"/>
  <c r="C997" i="5"/>
  <c r="B997" i="5"/>
  <c r="Z997" i="5" s="1"/>
  <c r="O996" i="5"/>
  <c r="K996" i="5"/>
  <c r="L996" i="5" s="1"/>
  <c r="M996" i="5" s="1"/>
  <c r="N996" i="5" s="1"/>
  <c r="J996" i="5"/>
  <c r="G996" i="5"/>
  <c r="F996" i="5"/>
  <c r="E996" i="5"/>
  <c r="T996" i="5" s="1"/>
  <c r="D996" i="5"/>
  <c r="R996" i="5" s="1"/>
  <c r="C996" i="5"/>
  <c r="B996" i="5"/>
  <c r="O995" i="5"/>
  <c r="K995" i="5"/>
  <c r="L995" i="5" s="1"/>
  <c r="M995" i="5" s="1"/>
  <c r="N995" i="5" s="1"/>
  <c r="J995" i="5"/>
  <c r="G995" i="5"/>
  <c r="F995" i="5"/>
  <c r="E995" i="5"/>
  <c r="T995" i="5" s="1"/>
  <c r="D995" i="5"/>
  <c r="S995" i="5" s="1"/>
  <c r="AB995" i="5" s="1"/>
  <c r="C995" i="5"/>
  <c r="B995" i="5"/>
  <c r="Z995" i="5" s="1"/>
  <c r="O994" i="5"/>
  <c r="K994" i="5"/>
  <c r="L994" i="5" s="1"/>
  <c r="M994" i="5" s="1"/>
  <c r="N994" i="5" s="1"/>
  <c r="J994" i="5"/>
  <c r="G994" i="5"/>
  <c r="F994" i="5"/>
  <c r="E994" i="5"/>
  <c r="V994" i="5" s="1"/>
  <c r="W994" i="5" s="1"/>
  <c r="D994" i="5"/>
  <c r="S994" i="5" s="1"/>
  <c r="AB994" i="5" s="1"/>
  <c r="C994" i="5"/>
  <c r="B994" i="5"/>
  <c r="Z994" i="5" s="1"/>
  <c r="O993" i="5"/>
  <c r="K993" i="5"/>
  <c r="L993" i="5" s="1"/>
  <c r="M993" i="5" s="1"/>
  <c r="N993" i="5" s="1"/>
  <c r="J993" i="5"/>
  <c r="G993" i="5"/>
  <c r="F993" i="5"/>
  <c r="E993" i="5"/>
  <c r="T993" i="5" s="1"/>
  <c r="D993" i="5"/>
  <c r="Q993" i="5" s="1"/>
  <c r="C993" i="5"/>
  <c r="B993" i="5"/>
  <c r="Z993" i="5" s="1"/>
  <c r="O992" i="5"/>
  <c r="K992" i="5"/>
  <c r="L992" i="5" s="1"/>
  <c r="M992" i="5" s="1"/>
  <c r="N992" i="5" s="1"/>
  <c r="J992" i="5"/>
  <c r="G992" i="5"/>
  <c r="F992" i="5"/>
  <c r="E992" i="5"/>
  <c r="V992" i="5" s="1"/>
  <c r="W992" i="5" s="1"/>
  <c r="D992" i="5"/>
  <c r="Q992" i="5" s="1"/>
  <c r="C992" i="5"/>
  <c r="B992" i="5"/>
  <c r="Z992" i="5" s="1"/>
  <c r="O991" i="5"/>
  <c r="K991" i="5"/>
  <c r="L991" i="5" s="1"/>
  <c r="M991" i="5" s="1"/>
  <c r="N991" i="5" s="1"/>
  <c r="J991" i="5"/>
  <c r="G991" i="5"/>
  <c r="F991" i="5"/>
  <c r="E991" i="5"/>
  <c r="T991" i="5" s="1"/>
  <c r="D991" i="5"/>
  <c r="Q991" i="5" s="1"/>
  <c r="C991" i="5"/>
  <c r="B991" i="5"/>
  <c r="Z991" i="5" s="1"/>
  <c r="O990" i="5"/>
  <c r="K990" i="5"/>
  <c r="L990" i="5" s="1"/>
  <c r="M990" i="5" s="1"/>
  <c r="N990" i="5" s="1"/>
  <c r="J990" i="5"/>
  <c r="G990" i="5"/>
  <c r="F990" i="5"/>
  <c r="E990" i="5"/>
  <c r="T990" i="5" s="1"/>
  <c r="D990" i="5"/>
  <c r="Q990" i="5" s="1"/>
  <c r="C990" i="5"/>
  <c r="B990" i="5"/>
  <c r="Z990" i="5" s="1"/>
  <c r="O989" i="5"/>
  <c r="K989" i="5"/>
  <c r="L989" i="5" s="1"/>
  <c r="M989" i="5" s="1"/>
  <c r="N989" i="5" s="1"/>
  <c r="J989" i="5"/>
  <c r="G989" i="5"/>
  <c r="F989" i="5"/>
  <c r="E989" i="5"/>
  <c r="T989" i="5" s="1"/>
  <c r="D989" i="5"/>
  <c r="C989" i="5"/>
  <c r="B989" i="5"/>
  <c r="Z989" i="5" s="1"/>
  <c r="O988" i="5"/>
  <c r="K988" i="5"/>
  <c r="L988" i="5" s="1"/>
  <c r="M988" i="5" s="1"/>
  <c r="N988" i="5" s="1"/>
  <c r="J988" i="5"/>
  <c r="G988" i="5"/>
  <c r="F988" i="5"/>
  <c r="E988" i="5"/>
  <c r="V988" i="5" s="1"/>
  <c r="W988" i="5" s="1"/>
  <c r="D988" i="5"/>
  <c r="C988" i="5"/>
  <c r="B988" i="5"/>
  <c r="O987" i="5"/>
  <c r="K987" i="5"/>
  <c r="L987" i="5" s="1"/>
  <c r="M987" i="5" s="1"/>
  <c r="N987" i="5" s="1"/>
  <c r="J987" i="5"/>
  <c r="G987" i="5"/>
  <c r="F987" i="5"/>
  <c r="E987" i="5"/>
  <c r="T987" i="5" s="1"/>
  <c r="D987" i="5"/>
  <c r="S987" i="5" s="1"/>
  <c r="AB987" i="5" s="1"/>
  <c r="C987" i="5"/>
  <c r="B987" i="5"/>
  <c r="Z987" i="5" s="1"/>
  <c r="O986" i="5"/>
  <c r="K986" i="5"/>
  <c r="L986" i="5" s="1"/>
  <c r="M986" i="5" s="1"/>
  <c r="N986" i="5" s="1"/>
  <c r="J986" i="5"/>
  <c r="G986" i="5"/>
  <c r="F986" i="5"/>
  <c r="E986" i="5"/>
  <c r="V986" i="5" s="1"/>
  <c r="W986" i="5" s="1"/>
  <c r="D986" i="5"/>
  <c r="S986" i="5" s="1"/>
  <c r="AB986" i="5" s="1"/>
  <c r="C986" i="5"/>
  <c r="B986" i="5"/>
  <c r="Z986" i="5" s="1"/>
  <c r="O985" i="5"/>
  <c r="K985" i="5"/>
  <c r="L985" i="5" s="1"/>
  <c r="M985" i="5" s="1"/>
  <c r="N985" i="5" s="1"/>
  <c r="J985" i="5"/>
  <c r="G985" i="5"/>
  <c r="F985" i="5"/>
  <c r="E985" i="5"/>
  <c r="T985" i="5" s="1"/>
  <c r="D985" i="5"/>
  <c r="Q985" i="5" s="1"/>
  <c r="C985" i="5"/>
  <c r="B985" i="5"/>
  <c r="Z985" i="5" s="1"/>
  <c r="O984" i="5"/>
  <c r="K984" i="5"/>
  <c r="L984" i="5" s="1"/>
  <c r="M984" i="5" s="1"/>
  <c r="N984" i="5" s="1"/>
  <c r="J984" i="5"/>
  <c r="G984" i="5"/>
  <c r="F984" i="5"/>
  <c r="E984" i="5"/>
  <c r="V984" i="5" s="1"/>
  <c r="W984" i="5" s="1"/>
  <c r="D984" i="5"/>
  <c r="Q984" i="5" s="1"/>
  <c r="C984" i="5"/>
  <c r="B984" i="5"/>
  <c r="Z984" i="5" s="1"/>
  <c r="O983" i="5"/>
  <c r="K983" i="5"/>
  <c r="L983" i="5" s="1"/>
  <c r="M983" i="5" s="1"/>
  <c r="N983" i="5" s="1"/>
  <c r="J983" i="5"/>
  <c r="G983" i="5"/>
  <c r="F983" i="5"/>
  <c r="E983" i="5"/>
  <c r="T983" i="5" s="1"/>
  <c r="D983" i="5"/>
  <c r="Q983" i="5" s="1"/>
  <c r="C983" i="5"/>
  <c r="B983" i="5"/>
  <c r="Z983" i="5" s="1"/>
  <c r="O982" i="5"/>
  <c r="K982" i="5"/>
  <c r="L982" i="5" s="1"/>
  <c r="M982" i="5" s="1"/>
  <c r="N982" i="5" s="1"/>
  <c r="J982" i="5"/>
  <c r="G982" i="5"/>
  <c r="F982" i="5"/>
  <c r="E982" i="5"/>
  <c r="T982" i="5" s="1"/>
  <c r="D982" i="5"/>
  <c r="Q982" i="5" s="1"/>
  <c r="C982" i="5"/>
  <c r="B982" i="5"/>
  <c r="Z982" i="5" s="1"/>
  <c r="O981" i="5"/>
  <c r="K981" i="5"/>
  <c r="L981" i="5" s="1"/>
  <c r="M981" i="5" s="1"/>
  <c r="N981" i="5" s="1"/>
  <c r="J981" i="5"/>
  <c r="G981" i="5"/>
  <c r="F981" i="5"/>
  <c r="E981" i="5"/>
  <c r="T981" i="5" s="1"/>
  <c r="D981" i="5"/>
  <c r="C981" i="5"/>
  <c r="B981" i="5"/>
  <c r="Z981" i="5" s="1"/>
  <c r="O980" i="5"/>
  <c r="K980" i="5"/>
  <c r="L980" i="5" s="1"/>
  <c r="M980" i="5" s="1"/>
  <c r="N980" i="5" s="1"/>
  <c r="J980" i="5"/>
  <c r="G980" i="5"/>
  <c r="F980" i="5"/>
  <c r="E980" i="5"/>
  <c r="V980" i="5" s="1"/>
  <c r="W980" i="5" s="1"/>
  <c r="D980" i="5"/>
  <c r="C980" i="5"/>
  <c r="B980" i="5"/>
  <c r="O979" i="5"/>
  <c r="K979" i="5"/>
  <c r="L979" i="5" s="1"/>
  <c r="M979" i="5" s="1"/>
  <c r="N979" i="5" s="1"/>
  <c r="J979" i="5"/>
  <c r="G979" i="5"/>
  <c r="F979" i="5"/>
  <c r="E979" i="5"/>
  <c r="T979" i="5" s="1"/>
  <c r="D979" i="5"/>
  <c r="S979" i="5" s="1"/>
  <c r="AB979" i="5" s="1"/>
  <c r="C979" i="5"/>
  <c r="B979" i="5"/>
  <c r="Z979" i="5" s="1"/>
  <c r="O978" i="5"/>
  <c r="K978" i="5"/>
  <c r="L978" i="5" s="1"/>
  <c r="M978" i="5" s="1"/>
  <c r="N978" i="5" s="1"/>
  <c r="J978" i="5"/>
  <c r="G978" i="5"/>
  <c r="F978" i="5"/>
  <c r="E978" i="5"/>
  <c r="V978" i="5" s="1"/>
  <c r="W978" i="5" s="1"/>
  <c r="D978" i="5"/>
  <c r="S978" i="5" s="1"/>
  <c r="AB978" i="5" s="1"/>
  <c r="C978" i="5"/>
  <c r="B978" i="5"/>
  <c r="Z978" i="5" s="1"/>
  <c r="O977" i="5"/>
  <c r="K977" i="5"/>
  <c r="L977" i="5" s="1"/>
  <c r="M977" i="5" s="1"/>
  <c r="N977" i="5" s="1"/>
  <c r="J977" i="5"/>
  <c r="G977" i="5"/>
  <c r="F977" i="5"/>
  <c r="E977" i="5"/>
  <c r="T977" i="5" s="1"/>
  <c r="D977" i="5"/>
  <c r="Q977" i="5" s="1"/>
  <c r="C977" i="5"/>
  <c r="B977" i="5"/>
  <c r="Z977" i="5" s="1"/>
  <c r="O976" i="5"/>
  <c r="K976" i="5"/>
  <c r="L976" i="5" s="1"/>
  <c r="M976" i="5" s="1"/>
  <c r="N976" i="5" s="1"/>
  <c r="J976" i="5"/>
  <c r="G976" i="5"/>
  <c r="F976" i="5"/>
  <c r="E976" i="5"/>
  <c r="V976" i="5" s="1"/>
  <c r="W976" i="5" s="1"/>
  <c r="D976" i="5"/>
  <c r="Q976" i="5" s="1"/>
  <c r="C976" i="5"/>
  <c r="B976" i="5"/>
  <c r="Z976" i="5" s="1"/>
  <c r="O975" i="5"/>
  <c r="K975" i="5"/>
  <c r="L975" i="5" s="1"/>
  <c r="M975" i="5" s="1"/>
  <c r="N975" i="5" s="1"/>
  <c r="J975" i="5"/>
  <c r="G975" i="5"/>
  <c r="F975" i="5"/>
  <c r="E975" i="5"/>
  <c r="T975" i="5" s="1"/>
  <c r="D975" i="5"/>
  <c r="Q975" i="5" s="1"/>
  <c r="C975" i="5"/>
  <c r="B975" i="5"/>
  <c r="Z975" i="5" s="1"/>
  <c r="O974" i="5"/>
  <c r="K974" i="5"/>
  <c r="L974" i="5" s="1"/>
  <c r="M974" i="5" s="1"/>
  <c r="N974" i="5" s="1"/>
  <c r="J974" i="5"/>
  <c r="G974" i="5"/>
  <c r="F974" i="5"/>
  <c r="E974" i="5"/>
  <c r="T974" i="5" s="1"/>
  <c r="D974" i="5"/>
  <c r="Q974" i="5" s="1"/>
  <c r="C974" i="5"/>
  <c r="B974" i="5"/>
  <c r="Z974" i="5" s="1"/>
  <c r="O973" i="5"/>
  <c r="K973" i="5"/>
  <c r="L973" i="5" s="1"/>
  <c r="M973" i="5" s="1"/>
  <c r="N973" i="5" s="1"/>
  <c r="J973" i="5"/>
  <c r="G973" i="5"/>
  <c r="F973" i="5"/>
  <c r="E973" i="5"/>
  <c r="T973" i="5" s="1"/>
  <c r="D973" i="5"/>
  <c r="C973" i="5"/>
  <c r="B973" i="5"/>
  <c r="Z973" i="5" s="1"/>
  <c r="O972" i="5"/>
  <c r="K972" i="5"/>
  <c r="L972" i="5" s="1"/>
  <c r="M972" i="5" s="1"/>
  <c r="N972" i="5" s="1"/>
  <c r="J972" i="5"/>
  <c r="G972" i="5"/>
  <c r="F972" i="5"/>
  <c r="E972" i="5"/>
  <c r="V972" i="5" s="1"/>
  <c r="W972" i="5" s="1"/>
  <c r="D972" i="5"/>
  <c r="C972" i="5"/>
  <c r="B972" i="5"/>
  <c r="O971" i="5"/>
  <c r="K971" i="5"/>
  <c r="L971" i="5" s="1"/>
  <c r="M971" i="5" s="1"/>
  <c r="N971" i="5" s="1"/>
  <c r="J971" i="5"/>
  <c r="G971" i="5"/>
  <c r="F971" i="5"/>
  <c r="E971" i="5"/>
  <c r="T971" i="5" s="1"/>
  <c r="D971" i="5"/>
  <c r="S971" i="5" s="1"/>
  <c r="AB971" i="5" s="1"/>
  <c r="C971" i="5"/>
  <c r="B971" i="5"/>
  <c r="Z971" i="5" s="1"/>
  <c r="O970" i="5"/>
  <c r="K970" i="5"/>
  <c r="L970" i="5" s="1"/>
  <c r="M970" i="5" s="1"/>
  <c r="N970" i="5" s="1"/>
  <c r="J970" i="5"/>
  <c r="G970" i="5"/>
  <c r="F970" i="5"/>
  <c r="E970" i="5"/>
  <c r="V970" i="5" s="1"/>
  <c r="W970" i="5" s="1"/>
  <c r="D970" i="5"/>
  <c r="S970" i="5" s="1"/>
  <c r="AB970" i="5" s="1"/>
  <c r="C970" i="5"/>
  <c r="B970" i="5"/>
  <c r="Z970" i="5" s="1"/>
  <c r="O969" i="5"/>
  <c r="K969" i="5"/>
  <c r="L969" i="5" s="1"/>
  <c r="M969" i="5" s="1"/>
  <c r="N969" i="5" s="1"/>
  <c r="J969" i="5"/>
  <c r="G969" i="5"/>
  <c r="F969" i="5"/>
  <c r="E969" i="5"/>
  <c r="T969" i="5" s="1"/>
  <c r="D969" i="5"/>
  <c r="Q969" i="5" s="1"/>
  <c r="C969" i="5"/>
  <c r="B969" i="5"/>
  <c r="Z969" i="5" s="1"/>
  <c r="O968" i="5"/>
  <c r="K968" i="5"/>
  <c r="L968" i="5" s="1"/>
  <c r="M968" i="5" s="1"/>
  <c r="N968" i="5" s="1"/>
  <c r="J968" i="5"/>
  <c r="G968" i="5"/>
  <c r="F968" i="5"/>
  <c r="E968" i="5"/>
  <c r="V968" i="5" s="1"/>
  <c r="W968" i="5" s="1"/>
  <c r="D968" i="5"/>
  <c r="Q968" i="5" s="1"/>
  <c r="C968" i="5"/>
  <c r="B968" i="5"/>
  <c r="Z968" i="5" s="1"/>
  <c r="O967" i="5"/>
  <c r="K967" i="5"/>
  <c r="L967" i="5" s="1"/>
  <c r="M967" i="5" s="1"/>
  <c r="N967" i="5" s="1"/>
  <c r="J967" i="5"/>
  <c r="G967" i="5"/>
  <c r="F967" i="5"/>
  <c r="E967" i="5"/>
  <c r="T967" i="5" s="1"/>
  <c r="D967" i="5"/>
  <c r="Q967" i="5" s="1"/>
  <c r="C967" i="5"/>
  <c r="B967" i="5"/>
  <c r="Z967" i="5" s="1"/>
  <c r="O966" i="5"/>
  <c r="K966" i="5"/>
  <c r="L966" i="5" s="1"/>
  <c r="M966" i="5" s="1"/>
  <c r="N966" i="5" s="1"/>
  <c r="J966" i="5"/>
  <c r="G966" i="5"/>
  <c r="F966" i="5"/>
  <c r="E966" i="5"/>
  <c r="T966" i="5" s="1"/>
  <c r="D966" i="5"/>
  <c r="Q966" i="5" s="1"/>
  <c r="C966" i="5"/>
  <c r="B966" i="5"/>
  <c r="Z966" i="5" s="1"/>
  <c r="O965" i="5"/>
  <c r="K965" i="5"/>
  <c r="L965" i="5" s="1"/>
  <c r="M965" i="5" s="1"/>
  <c r="N965" i="5" s="1"/>
  <c r="J965" i="5"/>
  <c r="G965" i="5"/>
  <c r="F965" i="5"/>
  <c r="E965" i="5"/>
  <c r="T965" i="5" s="1"/>
  <c r="D965" i="5"/>
  <c r="C965" i="5"/>
  <c r="B965" i="5"/>
  <c r="Z965" i="5" s="1"/>
  <c r="O964" i="5"/>
  <c r="K964" i="5"/>
  <c r="L964" i="5" s="1"/>
  <c r="M964" i="5" s="1"/>
  <c r="N964" i="5" s="1"/>
  <c r="J964" i="5"/>
  <c r="G964" i="5"/>
  <c r="F964" i="5"/>
  <c r="E964" i="5"/>
  <c r="V964" i="5" s="1"/>
  <c r="W964" i="5" s="1"/>
  <c r="D964" i="5"/>
  <c r="C964" i="5"/>
  <c r="B964" i="5"/>
  <c r="O963" i="5"/>
  <c r="K963" i="5"/>
  <c r="L963" i="5" s="1"/>
  <c r="M963" i="5" s="1"/>
  <c r="N963" i="5" s="1"/>
  <c r="J963" i="5"/>
  <c r="G963" i="5"/>
  <c r="F963" i="5"/>
  <c r="E963" i="5"/>
  <c r="T963" i="5" s="1"/>
  <c r="D963" i="5"/>
  <c r="S963" i="5" s="1"/>
  <c r="AB963" i="5" s="1"/>
  <c r="C963" i="5"/>
  <c r="B963" i="5"/>
  <c r="Z963" i="5" s="1"/>
  <c r="O962" i="5"/>
  <c r="K962" i="5"/>
  <c r="L962" i="5" s="1"/>
  <c r="M962" i="5" s="1"/>
  <c r="N962" i="5" s="1"/>
  <c r="J962" i="5"/>
  <c r="G962" i="5"/>
  <c r="F962" i="5"/>
  <c r="E962" i="5"/>
  <c r="V962" i="5" s="1"/>
  <c r="W962" i="5" s="1"/>
  <c r="D962" i="5"/>
  <c r="S962" i="5" s="1"/>
  <c r="AB962" i="5" s="1"/>
  <c r="C962" i="5"/>
  <c r="B962" i="5"/>
  <c r="Z962" i="5" s="1"/>
  <c r="O961" i="5"/>
  <c r="K961" i="5"/>
  <c r="L961" i="5" s="1"/>
  <c r="M961" i="5" s="1"/>
  <c r="N961" i="5" s="1"/>
  <c r="J961" i="5"/>
  <c r="G961" i="5"/>
  <c r="F961" i="5"/>
  <c r="E961" i="5"/>
  <c r="T961" i="5" s="1"/>
  <c r="D961" i="5"/>
  <c r="Q961" i="5" s="1"/>
  <c r="C961" i="5"/>
  <c r="B961" i="5"/>
  <c r="Z961" i="5" s="1"/>
  <c r="O960" i="5"/>
  <c r="K960" i="5"/>
  <c r="L960" i="5" s="1"/>
  <c r="M960" i="5" s="1"/>
  <c r="N960" i="5" s="1"/>
  <c r="J960" i="5"/>
  <c r="G960" i="5"/>
  <c r="F960" i="5"/>
  <c r="E960" i="5"/>
  <c r="V960" i="5" s="1"/>
  <c r="W960" i="5" s="1"/>
  <c r="D960" i="5"/>
  <c r="Q960" i="5" s="1"/>
  <c r="C960" i="5"/>
  <c r="B960" i="5"/>
  <c r="Z960" i="5" s="1"/>
  <c r="O959" i="5"/>
  <c r="K959" i="5"/>
  <c r="L959" i="5" s="1"/>
  <c r="M959" i="5" s="1"/>
  <c r="N959" i="5" s="1"/>
  <c r="J959" i="5"/>
  <c r="G959" i="5"/>
  <c r="F959" i="5"/>
  <c r="E959" i="5"/>
  <c r="T959" i="5" s="1"/>
  <c r="D959" i="5"/>
  <c r="Q959" i="5" s="1"/>
  <c r="C959" i="5"/>
  <c r="B959" i="5"/>
  <c r="Z959" i="5" s="1"/>
  <c r="O958" i="5"/>
  <c r="K958" i="5"/>
  <c r="L958" i="5" s="1"/>
  <c r="M958" i="5" s="1"/>
  <c r="N958" i="5" s="1"/>
  <c r="J958" i="5"/>
  <c r="G958" i="5"/>
  <c r="H958" i="5" s="1"/>
  <c r="I958" i="5" s="1"/>
  <c r="F958" i="5"/>
  <c r="E958" i="5"/>
  <c r="T958" i="5" s="1"/>
  <c r="D958" i="5"/>
  <c r="Q958" i="5" s="1"/>
  <c r="C958" i="5"/>
  <c r="B958" i="5"/>
  <c r="Z958" i="5" s="1"/>
  <c r="O957" i="5"/>
  <c r="K957" i="5"/>
  <c r="L957" i="5" s="1"/>
  <c r="M957" i="5" s="1"/>
  <c r="N957" i="5" s="1"/>
  <c r="J957" i="5"/>
  <c r="G957" i="5"/>
  <c r="H957" i="5" s="1"/>
  <c r="I957" i="5" s="1"/>
  <c r="F957" i="5"/>
  <c r="E957" i="5"/>
  <c r="T957" i="5" s="1"/>
  <c r="D957" i="5"/>
  <c r="C957" i="5"/>
  <c r="B957" i="5"/>
  <c r="Z957" i="5" s="1"/>
  <c r="O956" i="5"/>
  <c r="K956" i="5"/>
  <c r="L956" i="5" s="1"/>
  <c r="M956" i="5" s="1"/>
  <c r="N956" i="5" s="1"/>
  <c r="J956" i="5"/>
  <c r="G956" i="5"/>
  <c r="H956" i="5" s="1"/>
  <c r="I956" i="5" s="1"/>
  <c r="F956" i="5"/>
  <c r="E956" i="5"/>
  <c r="V956" i="5" s="1"/>
  <c r="W956" i="5" s="1"/>
  <c r="D956" i="5"/>
  <c r="C956" i="5"/>
  <c r="B956" i="5"/>
  <c r="O955" i="5"/>
  <c r="K955" i="5"/>
  <c r="L955" i="5" s="1"/>
  <c r="M955" i="5" s="1"/>
  <c r="N955" i="5" s="1"/>
  <c r="J955" i="5"/>
  <c r="G955" i="5"/>
  <c r="P955" i="5" s="1"/>
  <c r="F955" i="5"/>
  <c r="E955" i="5"/>
  <c r="T955" i="5" s="1"/>
  <c r="D955" i="5"/>
  <c r="S955" i="5" s="1"/>
  <c r="AB955" i="5" s="1"/>
  <c r="C955" i="5"/>
  <c r="B955" i="5"/>
  <c r="Z955" i="5" s="1"/>
  <c r="O954" i="5"/>
  <c r="K954" i="5"/>
  <c r="L954" i="5" s="1"/>
  <c r="M954" i="5" s="1"/>
  <c r="N954" i="5" s="1"/>
  <c r="J954" i="5"/>
  <c r="G954" i="5"/>
  <c r="H954" i="5" s="1"/>
  <c r="F954" i="5"/>
  <c r="E954" i="5"/>
  <c r="V954" i="5" s="1"/>
  <c r="W954" i="5" s="1"/>
  <c r="D954" i="5"/>
  <c r="S954" i="5" s="1"/>
  <c r="AB954" i="5" s="1"/>
  <c r="C954" i="5"/>
  <c r="B954" i="5"/>
  <c r="Z954" i="5" s="1"/>
  <c r="O953" i="5"/>
  <c r="K953" i="5"/>
  <c r="L953" i="5" s="1"/>
  <c r="M953" i="5" s="1"/>
  <c r="N953" i="5" s="1"/>
  <c r="J953" i="5"/>
  <c r="G953" i="5"/>
  <c r="H953" i="5" s="1"/>
  <c r="I953" i="5" s="1"/>
  <c r="F953" i="5"/>
  <c r="E953" i="5"/>
  <c r="U953" i="5" s="1"/>
  <c r="D953" i="5"/>
  <c r="Q953" i="5" s="1"/>
  <c r="C953" i="5"/>
  <c r="B953" i="5"/>
  <c r="Z953" i="5" s="1"/>
  <c r="O952" i="5"/>
  <c r="K952" i="5"/>
  <c r="L952" i="5" s="1"/>
  <c r="M952" i="5" s="1"/>
  <c r="N952" i="5" s="1"/>
  <c r="J952" i="5"/>
  <c r="G952" i="5"/>
  <c r="F952" i="5"/>
  <c r="E952" i="5"/>
  <c r="V952" i="5" s="1"/>
  <c r="W952" i="5" s="1"/>
  <c r="D952" i="5"/>
  <c r="Q952" i="5" s="1"/>
  <c r="C952" i="5"/>
  <c r="B952" i="5"/>
  <c r="Z952" i="5" s="1"/>
  <c r="O951" i="5"/>
  <c r="K951" i="5"/>
  <c r="L951" i="5" s="1"/>
  <c r="M951" i="5" s="1"/>
  <c r="N951" i="5" s="1"/>
  <c r="J951" i="5"/>
  <c r="G951" i="5"/>
  <c r="H951" i="5" s="1"/>
  <c r="I951" i="5" s="1"/>
  <c r="F951" i="5"/>
  <c r="E951" i="5"/>
  <c r="T951" i="5" s="1"/>
  <c r="D951" i="5"/>
  <c r="Q951" i="5" s="1"/>
  <c r="C951" i="5"/>
  <c r="B951" i="5"/>
  <c r="Z951" i="5" s="1"/>
  <c r="O950" i="5"/>
  <c r="K950" i="5"/>
  <c r="L950" i="5" s="1"/>
  <c r="M950" i="5" s="1"/>
  <c r="N950" i="5" s="1"/>
  <c r="J950" i="5"/>
  <c r="G950" i="5"/>
  <c r="F950" i="5"/>
  <c r="E950" i="5"/>
  <c r="T950" i="5" s="1"/>
  <c r="D950" i="5"/>
  <c r="Q950" i="5" s="1"/>
  <c r="C950" i="5"/>
  <c r="B950" i="5"/>
  <c r="Z950" i="5" s="1"/>
  <c r="O949" i="5"/>
  <c r="K949" i="5"/>
  <c r="L949" i="5" s="1"/>
  <c r="M949" i="5" s="1"/>
  <c r="N949" i="5" s="1"/>
  <c r="J949" i="5"/>
  <c r="G949" i="5"/>
  <c r="H949" i="5" s="1"/>
  <c r="I949" i="5" s="1"/>
  <c r="F949" i="5"/>
  <c r="E949" i="5"/>
  <c r="T949" i="5" s="1"/>
  <c r="D949" i="5"/>
  <c r="C949" i="5"/>
  <c r="B949" i="5"/>
  <c r="Z949" i="5" s="1"/>
  <c r="O948" i="5"/>
  <c r="K948" i="5"/>
  <c r="L948" i="5" s="1"/>
  <c r="M948" i="5" s="1"/>
  <c r="N948" i="5" s="1"/>
  <c r="J948" i="5"/>
  <c r="G948" i="5"/>
  <c r="H948" i="5" s="1"/>
  <c r="I948" i="5" s="1"/>
  <c r="F948" i="5"/>
  <c r="E948" i="5"/>
  <c r="V948" i="5" s="1"/>
  <c r="W948" i="5" s="1"/>
  <c r="D948" i="5"/>
  <c r="C948" i="5"/>
  <c r="B948" i="5"/>
  <c r="O947" i="5"/>
  <c r="K947" i="5"/>
  <c r="L947" i="5" s="1"/>
  <c r="M947" i="5" s="1"/>
  <c r="N947" i="5" s="1"/>
  <c r="J947" i="5"/>
  <c r="G947" i="5"/>
  <c r="P947" i="5" s="1"/>
  <c r="F947" i="5"/>
  <c r="E947" i="5"/>
  <c r="T947" i="5" s="1"/>
  <c r="D947" i="5"/>
  <c r="S947" i="5" s="1"/>
  <c r="AB947" i="5" s="1"/>
  <c r="C947" i="5"/>
  <c r="B947" i="5"/>
  <c r="Z947" i="5" s="1"/>
  <c r="O946" i="5"/>
  <c r="K946" i="5"/>
  <c r="L946" i="5" s="1"/>
  <c r="M946" i="5" s="1"/>
  <c r="N946" i="5" s="1"/>
  <c r="J946" i="5"/>
  <c r="G946" i="5"/>
  <c r="P946" i="5" s="1"/>
  <c r="F946" i="5"/>
  <c r="E946" i="5"/>
  <c r="V946" i="5" s="1"/>
  <c r="W946" i="5" s="1"/>
  <c r="D946" i="5"/>
  <c r="S946" i="5" s="1"/>
  <c r="AB946" i="5" s="1"/>
  <c r="C946" i="5"/>
  <c r="B946" i="5"/>
  <c r="Z946" i="5" s="1"/>
  <c r="O945" i="5"/>
  <c r="K945" i="5"/>
  <c r="L945" i="5" s="1"/>
  <c r="M945" i="5" s="1"/>
  <c r="N945" i="5" s="1"/>
  <c r="J945" i="5"/>
  <c r="G945" i="5"/>
  <c r="F945" i="5"/>
  <c r="E945" i="5"/>
  <c r="T945" i="5" s="1"/>
  <c r="D945" i="5"/>
  <c r="Q945" i="5" s="1"/>
  <c r="C945" i="5"/>
  <c r="B945" i="5"/>
  <c r="Z945" i="5" s="1"/>
  <c r="O944" i="5"/>
  <c r="K944" i="5"/>
  <c r="L944" i="5" s="1"/>
  <c r="M944" i="5" s="1"/>
  <c r="N944" i="5" s="1"/>
  <c r="J944" i="5"/>
  <c r="G944" i="5"/>
  <c r="H944" i="5" s="1"/>
  <c r="F944" i="5"/>
  <c r="E944" i="5"/>
  <c r="V944" i="5" s="1"/>
  <c r="W944" i="5" s="1"/>
  <c r="D944" i="5"/>
  <c r="Q944" i="5" s="1"/>
  <c r="C944" i="5"/>
  <c r="B944" i="5"/>
  <c r="Z944" i="5" s="1"/>
  <c r="O943" i="5"/>
  <c r="K943" i="5"/>
  <c r="L943" i="5" s="1"/>
  <c r="M943" i="5" s="1"/>
  <c r="N943" i="5" s="1"/>
  <c r="J943" i="5"/>
  <c r="G943" i="5"/>
  <c r="F943" i="5"/>
  <c r="E943" i="5"/>
  <c r="T943" i="5" s="1"/>
  <c r="D943" i="5"/>
  <c r="Q943" i="5" s="1"/>
  <c r="C943" i="5"/>
  <c r="B943" i="5"/>
  <c r="Z943" i="5" s="1"/>
  <c r="O942" i="5"/>
  <c r="K942" i="5"/>
  <c r="L942" i="5" s="1"/>
  <c r="M942" i="5" s="1"/>
  <c r="N942" i="5" s="1"/>
  <c r="J942" i="5"/>
  <c r="G942" i="5"/>
  <c r="H942" i="5" s="1"/>
  <c r="I942" i="5" s="1"/>
  <c r="F942" i="5"/>
  <c r="E942" i="5"/>
  <c r="T942" i="5" s="1"/>
  <c r="D942" i="5"/>
  <c r="Q942" i="5" s="1"/>
  <c r="C942" i="5"/>
  <c r="B942" i="5"/>
  <c r="Z942" i="5" s="1"/>
  <c r="O941" i="5"/>
  <c r="K941" i="5"/>
  <c r="L941" i="5" s="1"/>
  <c r="M941" i="5" s="1"/>
  <c r="N941" i="5" s="1"/>
  <c r="J941" i="5"/>
  <c r="G941" i="5"/>
  <c r="F941" i="5"/>
  <c r="E941" i="5"/>
  <c r="T941" i="5" s="1"/>
  <c r="D941" i="5"/>
  <c r="C941" i="5"/>
  <c r="B941" i="5"/>
  <c r="Z941" i="5" s="1"/>
  <c r="O940" i="5"/>
  <c r="K940" i="5"/>
  <c r="L940" i="5" s="1"/>
  <c r="M940" i="5" s="1"/>
  <c r="N940" i="5" s="1"/>
  <c r="J940" i="5"/>
  <c r="G940" i="5"/>
  <c r="H940" i="5" s="1"/>
  <c r="I940" i="5" s="1"/>
  <c r="F940" i="5"/>
  <c r="E940" i="5"/>
  <c r="V940" i="5" s="1"/>
  <c r="W940" i="5" s="1"/>
  <c r="D940" i="5"/>
  <c r="C940" i="5"/>
  <c r="B940" i="5"/>
  <c r="O939" i="5"/>
  <c r="K939" i="5"/>
  <c r="L939" i="5" s="1"/>
  <c r="M939" i="5" s="1"/>
  <c r="N939" i="5" s="1"/>
  <c r="J939" i="5"/>
  <c r="G939" i="5"/>
  <c r="H939" i="5" s="1"/>
  <c r="I939" i="5" s="1"/>
  <c r="F939" i="5"/>
  <c r="E939" i="5"/>
  <c r="T939" i="5" s="1"/>
  <c r="D939" i="5"/>
  <c r="S939" i="5" s="1"/>
  <c r="AB939" i="5" s="1"/>
  <c r="C939" i="5"/>
  <c r="B939" i="5"/>
  <c r="Z939" i="5" s="1"/>
  <c r="O938" i="5"/>
  <c r="K938" i="5"/>
  <c r="L938" i="5" s="1"/>
  <c r="M938" i="5" s="1"/>
  <c r="N938" i="5" s="1"/>
  <c r="J938" i="5"/>
  <c r="G938" i="5"/>
  <c r="F938" i="5"/>
  <c r="E938" i="5"/>
  <c r="V938" i="5" s="1"/>
  <c r="W938" i="5" s="1"/>
  <c r="D938" i="5"/>
  <c r="S938" i="5" s="1"/>
  <c r="AB938" i="5" s="1"/>
  <c r="C938" i="5"/>
  <c r="B938" i="5"/>
  <c r="Z938" i="5" s="1"/>
  <c r="O937" i="5"/>
  <c r="K937" i="5"/>
  <c r="L937" i="5" s="1"/>
  <c r="M937" i="5" s="1"/>
  <c r="N937" i="5" s="1"/>
  <c r="J937" i="5"/>
  <c r="G937" i="5"/>
  <c r="H937" i="5" s="1"/>
  <c r="I937" i="5" s="1"/>
  <c r="F937" i="5"/>
  <c r="E937" i="5"/>
  <c r="T937" i="5" s="1"/>
  <c r="D937" i="5"/>
  <c r="Q937" i="5" s="1"/>
  <c r="C937" i="5"/>
  <c r="B937" i="5"/>
  <c r="Z937" i="5" s="1"/>
  <c r="O936" i="5"/>
  <c r="K936" i="5"/>
  <c r="L936" i="5" s="1"/>
  <c r="M936" i="5" s="1"/>
  <c r="N936" i="5" s="1"/>
  <c r="J936" i="5"/>
  <c r="G936" i="5"/>
  <c r="F936" i="5"/>
  <c r="E936" i="5"/>
  <c r="V936" i="5" s="1"/>
  <c r="W936" i="5" s="1"/>
  <c r="D936" i="5"/>
  <c r="Q936" i="5" s="1"/>
  <c r="C936" i="5"/>
  <c r="B936" i="5"/>
  <c r="Z936" i="5" s="1"/>
  <c r="O935" i="5"/>
  <c r="K935" i="5"/>
  <c r="L935" i="5" s="1"/>
  <c r="M935" i="5" s="1"/>
  <c r="N935" i="5" s="1"/>
  <c r="J935" i="5"/>
  <c r="G935" i="5"/>
  <c r="H935" i="5" s="1"/>
  <c r="I935" i="5" s="1"/>
  <c r="F935" i="5"/>
  <c r="E935" i="5"/>
  <c r="T935" i="5" s="1"/>
  <c r="D935" i="5"/>
  <c r="Q935" i="5" s="1"/>
  <c r="C935" i="5"/>
  <c r="B935" i="5"/>
  <c r="Z935" i="5" s="1"/>
  <c r="O934" i="5"/>
  <c r="K934" i="5"/>
  <c r="L934" i="5" s="1"/>
  <c r="M934" i="5" s="1"/>
  <c r="N934" i="5" s="1"/>
  <c r="J934" i="5"/>
  <c r="G934" i="5"/>
  <c r="F934" i="5"/>
  <c r="E934" i="5"/>
  <c r="T934" i="5" s="1"/>
  <c r="D934" i="5"/>
  <c r="Q934" i="5" s="1"/>
  <c r="C934" i="5"/>
  <c r="B934" i="5"/>
  <c r="Z934" i="5" s="1"/>
  <c r="O933" i="5"/>
  <c r="K933" i="5"/>
  <c r="L933" i="5" s="1"/>
  <c r="M933" i="5" s="1"/>
  <c r="N933" i="5" s="1"/>
  <c r="J933" i="5"/>
  <c r="G933" i="5"/>
  <c r="P933" i="5" s="1"/>
  <c r="F933" i="5"/>
  <c r="E933" i="5"/>
  <c r="T933" i="5" s="1"/>
  <c r="D933" i="5"/>
  <c r="C933" i="5"/>
  <c r="B933" i="5"/>
  <c r="Z933" i="5" s="1"/>
  <c r="O932" i="5"/>
  <c r="K932" i="5"/>
  <c r="L932" i="5" s="1"/>
  <c r="M932" i="5" s="1"/>
  <c r="N932" i="5" s="1"/>
  <c r="J932" i="5"/>
  <c r="G932" i="5"/>
  <c r="H932" i="5" s="1"/>
  <c r="I932" i="5" s="1"/>
  <c r="F932" i="5"/>
  <c r="E932" i="5"/>
  <c r="V932" i="5" s="1"/>
  <c r="W932" i="5" s="1"/>
  <c r="D932" i="5"/>
  <c r="C932" i="5"/>
  <c r="B932" i="5"/>
  <c r="O931" i="5"/>
  <c r="K931" i="5"/>
  <c r="L931" i="5" s="1"/>
  <c r="M931" i="5" s="1"/>
  <c r="N931" i="5" s="1"/>
  <c r="J931" i="5"/>
  <c r="G931" i="5"/>
  <c r="F931" i="5"/>
  <c r="E931" i="5"/>
  <c r="T931" i="5" s="1"/>
  <c r="D931" i="5"/>
  <c r="S931" i="5" s="1"/>
  <c r="AB931" i="5" s="1"/>
  <c r="C931" i="5"/>
  <c r="B931" i="5"/>
  <c r="Z931" i="5" s="1"/>
  <c r="O930" i="5"/>
  <c r="K930" i="5"/>
  <c r="L930" i="5" s="1"/>
  <c r="M930" i="5" s="1"/>
  <c r="N930" i="5" s="1"/>
  <c r="J930" i="5"/>
  <c r="G930" i="5"/>
  <c r="H930" i="5" s="1"/>
  <c r="F930" i="5"/>
  <c r="E930" i="5"/>
  <c r="V930" i="5" s="1"/>
  <c r="W930" i="5" s="1"/>
  <c r="D930" i="5"/>
  <c r="S930" i="5" s="1"/>
  <c r="AB930" i="5" s="1"/>
  <c r="C930" i="5"/>
  <c r="B930" i="5"/>
  <c r="Z930" i="5" s="1"/>
  <c r="O929" i="5"/>
  <c r="K929" i="5"/>
  <c r="L929" i="5" s="1"/>
  <c r="M929" i="5" s="1"/>
  <c r="N929" i="5" s="1"/>
  <c r="J929" i="5"/>
  <c r="G929" i="5"/>
  <c r="H929" i="5" s="1"/>
  <c r="I929" i="5" s="1"/>
  <c r="F929" i="5"/>
  <c r="E929" i="5"/>
  <c r="T929" i="5" s="1"/>
  <c r="D929" i="5"/>
  <c r="Q929" i="5" s="1"/>
  <c r="C929" i="5"/>
  <c r="B929" i="5"/>
  <c r="Z929" i="5" s="1"/>
  <c r="O928" i="5"/>
  <c r="K928" i="5"/>
  <c r="L928" i="5" s="1"/>
  <c r="M928" i="5" s="1"/>
  <c r="N928" i="5" s="1"/>
  <c r="J928" i="5"/>
  <c r="G928" i="5"/>
  <c r="H928" i="5" s="1"/>
  <c r="F928" i="5"/>
  <c r="E928" i="5"/>
  <c r="V928" i="5" s="1"/>
  <c r="W928" i="5" s="1"/>
  <c r="D928" i="5"/>
  <c r="S928" i="5" s="1"/>
  <c r="AB928" i="5" s="1"/>
  <c r="C928" i="5"/>
  <c r="B928" i="5"/>
  <c r="Z928" i="5" s="1"/>
  <c r="O927" i="5"/>
  <c r="K927" i="5"/>
  <c r="L927" i="5" s="1"/>
  <c r="M927" i="5" s="1"/>
  <c r="N927" i="5" s="1"/>
  <c r="J927" i="5"/>
  <c r="G927" i="5"/>
  <c r="H927" i="5" s="1"/>
  <c r="I927" i="5" s="1"/>
  <c r="F927" i="5"/>
  <c r="E927" i="5"/>
  <c r="T927" i="5" s="1"/>
  <c r="D927" i="5"/>
  <c r="Q927" i="5" s="1"/>
  <c r="C927" i="5"/>
  <c r="B927" i="5"/>
  <c r="Z927" i="5" s="1"/>
  <c r="O926" i="5"/>
  <c r="K926" i="5"/>
  <c r="L926" i="5" s="1"/>
  <c r="M926" i="5" s="1"/>
  <c r="N926" i="5" s="1"/>
  <c r="J926" i="5"/>
  <c r="G926" i="5"/>
  <c r="F926" i="5"/>
  <c r="E926" i="5"/>
  <c r="T926" i="5" s="1"/>
  <c r="D926" i="5"/>
  <c r="Q926" i="5" s="1"/>
  <c r="C926" i="5"/>
  <c r="B926" i="5"/>
  <c r="Z926" i="5" s="1"/>
  <c r="O925" i="5"/>
  <c r="K925" i="5"/>
  <c r="L925" i="5" s="1"/>
  <c r="M925" i="5" s="1"/>
  <c r="N925" i="5" s="1"/>
  <c r="J925" i="5"/>
  <c r="G925" i="5"/>
  <c r="H925" i="5" s="1"/>
  <c r="I925" i="5" s="1"/>
  <c r="F925" i="5"/>
  <c r="E925" i="5"/>
  <c r="T925" i="5" s="1"/>
  <c r="D925" i="5"/>
  <c r="C925" i="5"/>
  <c r="B925" i="5"/>
  <c r="Z925" i="5" s="1"/>
  <c r="O924" i="5"/>
  <c r="K924" i="5"/>
  <c r="L924" i="5" s="1"/>
  <c r="M924" i="5" s="1"/>
  <c r="N924" i="5" s="1"/>
  <c r="J924" i="5"/>
  <c r="G924" i="5"/>
  <c r="H924" i="5" s="1"/>
  <c r="I924" i="5" s="1"/>
  <c r="F924" i="5"/>
  <c r="E924" i="5"/>
  <c r="V924" i="5" s="1"/>
  <c r="W924" i="5" s="1"/>
  <c r="D924" i="5"/>
  <c r="C924" i="5"/>
  <c r="B924" i="5"/>
  <c r="O923" i="5"/>
  <c r="K923" i="5"/>
  <c r="L923" i="5" s="1"/>
  <c r="M923" i="5" s="1"/>
  <c r="N923" i="5" s="1"/>
  <c r="J923" i="5"/>
  <c r="G923" i="5"/>
  <c r="H923" i="5" s="1"/>
  <c r="I923" i="5" s="1"/>
  <c r="F923" i="5"/>
  <c r="E923" i="5"/>
  <c r="T923" i="5" s="1"/>
  <c r="D923" i="5"/>
  <c r="Q923" i="5" s="1"/>
  <c r="C923" i="5"/>
  <c r="B923" i="5"/>
  <c r="Z923" i="5" s="1"/>
  <c r="O922" i="5"/>
  <c r="K922" i="5"/>
  <c r="L922" i="5" s="1"/>
  <c r="M922" i="5" s="1"/>
  <c r="N922" i="5" s="1"/>
  <c r="J922" i="5"/>
  <c r="G922" i="5"/>
  <c r="H922" i="5" s="1"/>
  <c r="F922" i="5"/>
  <c r="E922" i="5"/>
  <c r="V922" i="5" s="1"/>
  <c r="W922" i="5" s="1"/>
  <c r="D922" i="5"/>
  <c r="S922" i="5" s="1"/>
  <c r="AB922" i="5" s="1"/>
  <c r="C922" i="5"/>
  <c r="B922" i="5"/>
  <c r="Z922" i="5" s="1"/>
  <c r="O921" i="5"/>
  <c r="K921" i="5"/>
  <c r="L921" i="5" s="1"/>
  <c r="M921" i="5" s="1"/>
  <c r="N921" i="5" s="1"/>
  <c r="J921" i="5"/>
  <c r="G921" i="5"/>
  <c r="H921" i="5" s="1"/>
  <c r="I921" i="5" s="1"/>
  <c r="F921" i="5"/>
  <c r="E921" i="5"/>
  <c r="T921" i="5" s="1"/>
  <c r="D921" i="5"/>
  <c r="Q921" i="5" s="1"/>
  <c r="C921" i="5"/>
  <c r="B921" i="5"/>
  <c r="Z921" i="5" s="1"/>
  <c r="O920" i="5"/>
  <c r="K920" i="5"/>
  <c r="L920" i="5" s="1"/>
  <c r="M920" i="5" s="1"/>
  <c r="N920" i="5" s="1"/>
  <c r="J920" i="5"/>
  <c r="G920" i="5"/>
  <c r="H920" i="5" s="1"/>
  <c r="F920" i="5"/>
  <c r="E920" i="5"/>
  <c r="V920" i="5" s="1"/>
  <c r="W920" i="5" s="1"/>
  <c r="D920" i="5"/>
  <c r="S920" i="5" s="1"/>
  <c r="AB920" i="5" s="1"/>
  <c r="C920" i="5"/>
  <c r="B920" i="5"/>
  <c r="Z920" i="5" s="1"/>
  <c r="O919" i="5"/>
  <c r="K919" i="5"/>
  <c r="L919" i="5" s="1"/>
  <c r="M919" i="5" s="1"/>
  <c r="N919" i="5" s="1"/>
  <c r="J919" i="5"/>
  <c r="G919" i="5"/>
  <c r="P919" i="5" s="1"/>
  <c r="F919" i="5"/>
  <c r="E919" i="5"/>
  <c r="T919" i="5" s="1"/>
  <c r="D919" i="5"/>
  <c r="Q919" i="5" s="1"/>
  <c r="C919" i="5"/>
  <c r="B919" i="5"/>
  <c r="Z919" i="5" s="1"/>
  <c r="O918" i="5"/>
  <c r="K918" i="5"/>
  <c r="L918" i="5" s="1"/>
  <c r="M918" i="5" s="1"/>
  <c r="N918" i="5" s="1"/>
  <c r="J918" i="5"/>
  <c r="G918" i="5"/>
  <c r="F918" i="5"/>
  <c r="E918" i="5"/>
  <c r="T918" i="5" s="1"/>
  <c r="D918" i="5"/>
  <c r="Q918" i="5" s="1"/>
  <c r="C918" i="5"/>
  <c r="B918" i="5"/>
  <c r="Z918" i="5" s="1"/>
  <c r="O917" i="5"/>
  <c r="K917" i="5"/>
  <c r="L917" i="5" s="1"/>
  <c r="M917" i="5" s="1"/>
  <c r="N917" i="5" s="1"/>
  <c r="J917" i="5"/>
  <c r="G917" i="5"/>
  <c r="H917" i="5" s="1"/>
  <c r="I917" i="5" s="1"/>
  <c r="F917" i="5"/>
  <c r="E917" i="5"/>
  <c r="T917" i="5" s="1"/>
  <c r="D917" i="5"/>
  <c r="C917" i="5"/>
  <c r="B917" i="5"/>
  <c r="Z917" i="5" s="1"/>
  <c r="O916" i="5"/>
  <c r="K916" i="5"/>
  <c r="L916" i="5" s="1"/>
  <c r="M916" i="5" s="1"/>
  <c r="N916" i="5" s="1"/>
  <c r="J916" i="5"/>
  <c r="G916" i="5"/>
  <c r="H916" i="5" s="1"/>
  <c r="I916" i="5" s="1"/>
  <c r="F916" i="5"/>
  <c r="E916" i="5"/>
  <c r="V916" i="5" s="1"/>
  <c r="W916" i="5" s="1"/>
  <c r="D916" i="5"/>
  <c r="C916" i="5"/>
  <c r="B916" i="5"/>
  <c r="O915" i="5"/>
  <c r="K915" i="5"/>
  <c r="L915" i="5" s="1"/>
  <c r="M915" i="5" s="1"/>
  <c r="N915" i="5" s="1"/>
  <c r="J915" i="5"/>
  <c r="G915" i="5"/>
  <c r="H915" i="5" s="1"/>
  <c r="I915" i="5" s="1"/>
  <c r="F915" i="5"/>
  <c r="E915" i="5"/>
  <c r="T915" i="5" s="1"/>
  <c r="D915" i="5"/>
  <c r="Q915" i="5" s="1"/>
  <c r="C915" i="5"/>
  <c r="B915" i="5"/>
  <c r="Z915" i="5" s="1"/>
  <c r="O914" i="5"/>
  <c r="K914" i="5"/>
  <c r="L914" i="5" s="1"/>
  <c r="M914" i="5" s="1"/>
  <c r="N914" i="5" s="1"/>
  <c r="J914" i="5"/>
  <c r="G914" i="5"/>
  <c r="H914" i="5" s="1"/>
  <c r="F914" i="5"/>
  <c r="E914" i="5"/>
  <c r="V914" i="5" s="1"/>
  <c r="W914" i="5" s="1"/>
  <c r="D914" i="5"/>
  <c r="Q914" i="5" s="1"/>
  <c r="C914" i="5"/>
  <c r="B914" i="5"/>
  <c r="Z914" i="5" s="1"/>
  <c r="O913" i="5"/>
  <c r="K913" i="5"/>
  <c r="L913" i="5" s="1"/>
  <c r="M913" i="5" s="1"/>
  <c r="N913" i="5" s="1"/>
  <c r="J913" i="5"/>
  <c r="G913" i="5"/>
  <c r="P913" i="5" s="1"/>
  <c r="F913" i="5"/>
  <c r="E913" i="5"/>
  <c r="T913" i="5" s="1"/>
  <c r="D913" i="5"/>
  <c r="Q913" i="5" s="1"/>
  <c r="C913" i="5"/>
  <c r="B913" i="5"/>
  <c r="Z913" i="5" s="1"/>
  <c r="O912" i="5"/>
  <c r="K912" i="5"/>
  <c r="L912" i="5" s="1"/>
  <c r="M912" i="5" s="1"/>
  <c r="N912" i="5" s="1"/>
  <c r="J912" i="5"/>
  <c r="G912" i="5"/>
  <c r="F912" i="5"/>
  <c r="E912" i="5"/>
  <c r="V912" i="5" s="1"/>
  <c r="W912" i="5" s="1"/>
  <c r="D912" i="5"/>
  <c r="S912" i="5" s="1"/>
  <c r="AB912" i="5" s="1"/>
  <c r="C912" i="5"/>
  <c r="B912" i="5"/>
  <c r="Z912" i="5" s="1"/>
  <c r="O911" i="5"/>
  <c r="K911" i="5"/>
  <c r="L911" i="5" s="1"/>
  <c r="M911" i="5" s="1"/>
  <c r="N911" i="5" s="1"/>
  <c r="J911" i="5"/>
  <c r="G911" i="5"/>
  <c r="F911" i="5"/>
  <c r="E911" i="5"/>
  <c r="T911" i="5" s="1"/>
  <c r="D911" i="5"/>
  <c r="Q911" i="5" s="1"/>
  <c r="C911" i="5"/>
  <c r="B911" i="5"/>
  <c r="Z911" i="5" s="1"/>
  <c r="O910" i="5"/>
  <c r="K910" i="5"/>
  <c r="L910" i="5" s="1"/>
  <c r="M910" i="5" s="1"/>
  <c r="N910" i="5" s="1"/>
  <c r="J910" i="5"/>
  <c r="G910" i="5"/>
  <c r="P910" i="5" s="1"/>
  <c r="F910" i="5"/>
  <c r="E910" i="5"/>
  <c r="T910" i="5" s="1"/>
  <c r="D910" i="5"/>
  <c r="Q910" i="5" s="1"/>
  <c r="C910" i="5"/>
  <c r="B910" i="5"/>
  <c r="Z910" i="5" s="1"/>
  <c r="O909" i="5"/>
  <c r="K909" i="5"/>
  <c r="L909" i="5" s="1"/>
  <c r="M909" i="5" s="1"/>
  <c r="N909" i="5" s="1"/>
  <c r="J909" i="5"/>
  <c r="G909" i="5"/>
  <c r="H909" i="5" s="1"/>
  <c r="I909" i="5" s="1"/>
  <c r="F909" i="5"/>
  <c r="E909" i="5"/>
  <c r="T909" i="5" s="1"/>
  <c r="D909" i="5"/>
  <c r="C909" i="5"/>
  <c r="B909" i="5"/>
  <c r="Z909" i="5" s="1"/>
  <c r="O908" i="5"/>
  <c r="K908" i="5"/>
  <c r="L908" i="5" s="1"/>
  <c r="M908" i="5" s="1"/>
  <c r="N908" i="5" s="1"/>
  <c r="J908" i="5"/>
  <c r="G908" i="5"/>
  <c r="P908" i="5" s="1"/>
  <c r="F908" i="5"/>
  <c r="E908" i="5"/>
  <c r="V908" i="5" s="1"/>
  <c r="W908" i="5" s="1"/>
  <c r="D908" i="5"/>
  <c r="C908" i="5"/>
  <c r="B908" i="5"/>
  <c r="O907" i="5"/>
  <c r="K907" i="5"/>
  <c r="L907" i="5" s="1"/>
  <c r="M907" i="5" s="1"/>
  <c r="N907" i="5" s="1"/>
  <c r="J907" i="5"/>
  <c r="G907" i="5"/>
  <c r="H907" i="5" s="1"/>
  <c r="I907" i="5" s="1"/>
  <c r="F907" i="5"/>
  <c r="E907" i="5"/>
  <c r="T907" i="5" s="1"/>
  <c r="D907" i="5"/>
  <c r="S907" i="5" s="1"/>
  <c r="AB907" i="5" s="1"/>
  <c r="C907" i="5"/>
  <c r="B907" i="5"/>
  <c r="Z907" i="5" s="1"/>
  <c r="O906" i="5"/>
  <c r="K906" i="5"/>
  <c r="L906" i="5" s="1"/>
  <c r="M906" i="5" s="1"/>
  <c r="N906" i="5" s="1"/>
  <c r="J906" i="5"/>
  <c r="G906" i="5"/>
  <c r="H906" i="5" s="1"/>
  <c r="F906" i="5"/>
  <c r="E906" i="5"/>
  <c r="V906" i="5" s="1"/>
  <c r="W906" i="5" s="1"/>
  <c r="D906" i="5"/>
  <c r="Q906" i="5" s="1"/>
  <c r="C906" i="5"/>
  <c r="B906" i="5"/>
  <c r="Z906" i="5" s="1"/>
  <c r="O905" i="5"/>
  <c r="K905" i="5"/>
  <c r="L905" i="5" s="1"/>
  <c r="M905" i="5" s="1"/>
  <c r="N905" i="5" s="1"/>
  <c r="J905" i="5"/>
  <c r="G905" i="5"/>
  <c r="P905" i="5" s="1"/>
  <c r="F905" i="5"/>
  <c r="E905" i="5"/>
  <c r="T905" i="5" s="1"/>
  <c r="D905" i="5"/>
  <c r="Q905" i="5" s="1"/>
  <c r="C905" i="5"/>
  <c r="B905" i="5"/>
  <c r="Z905" i="5" s="1"/>
  <c r="O904" i="5"/>
  <c r="K904" i="5"/>
  <c r="L904" i="5" s="1"/>
  <c r="M904" i="5" s="1"/>
  <c r="N904" i="5" s="1"/>
  <c r="J904" i="5"/>
  <c r="G904" i="5"/>
  <c r="P904" i="5" s="1"/>
  <c r="F904" i="5"/>
  <c r="E904" i="5"/>
  <c r="V904" i="5" s="1"/>
  <c r="W904" i="5" s="1"/>
  <c r="D904" i="5"/>
  <c r="S904" i="5" s="1"/>
  <c r="AB904" i="5" s="1"/>
  <c r="C904" i="5"/>
  <c r="B904" i="5"/>
  <c r="O903" i="5"/>
  <c r="K903" i="5"/>
  <c r="L903" i="5" s="1"/>
  <c r="M903" i="5" s="1"/>
  <c r="N903" i="5" s="1"/>
  <c r="J903" i="5"/>
  <c r="G903" i="5"/>
  <c r="H903" i="5" s="1"/>
  <c r="I903" i="5" s="1"/>
  <c r="F903" i="5"/>
  <c r="E903" i="5"/>
  <c r="T903" i="5" s="1"/>
  <c r="D903" i="5"/>
  <c r="Q903" i="5" s="1"/>
  <c r="C903" i="5"/>
  <c r="B903" i="5"/>
  <c r="O902" i="5"/>
  <c r="K902" i="5"/>
  <c r="L902" i="5" s="1"/>
  <c r="M902" i="5" s="1"/>
  <c r="N902" i="5" s="1"/>
  <c r="J902" i="5"/>
  <c r="G902" i="5"/>
  <c r="P902" i="5" s="1"/>
  <c r="F902" i="5"/>
  <c r="E902" i="5"/>
  <c r="T902" i="5" s="1"/>
  <c r="D902" i="5"/>
  <c r="Q902" i="5" s="1"/>
  <c r="C902" i="5"/>
  <c r="B902" i="5"/>
  <c r="Z902" i="5" s="1"/>
  <c r="O901" i="5"/>
  <c r="K901" i="5"/>
  <c r="L901" i="5" s="1"/>
  <c r="M901" i="5" s="1"/>
  <c r="N901" i="5" s="1"/>
  <c r="J901" i="5"/>
  <c r="G901" i="5"/>
  <c r="H901" i="5" s="1"/>
  <c r="I901" i="5" s="1"/>
  <c r="F901" i="5"/>
  <c r="E901" i="5"/>
  <c r="T901" i="5" s="1"/>
  <c r="D901" i="5"/>
  <c r="S901" i="5" s="1"/>
  <c r="AB901" i="5" s="1"/>
  <c r="C901" i="5"/>
  <c r="B901" i="5"/>
  <c r="Z901" i="5" s="1"/>
  <c r="O900" i="5"/>
  <c r="K900" i="5"/>
  <c r="L900" i="5" s="1"/>
  <c r="M900" i="5" s="1"/>
  <c r="N900" i="5" s="1"/>
  <c r="J900" i="5"/>
  <c r="G900" i="5"/>
  <c r="P900" i="5" s="1"/>
  <c r="F900" i="5"/>
  <c r="E900" i="5"/>
  <c r="V900" i="5" s="1"/>
  <c r="W900" i="5" s="1"/>
  <c r="D900" i="5"/>
  <c r="C900" i="5"/>
  <c r="B900" i="5"/>
  <c r="Z900" i="5" s="1"/>
  <c r="O899" i="5"/>
  <c r="K899" i="5"/>
  <c r="L899" i="5" s="1"/>
  <c r="M899" i="5" s="1"/>
  <c r="N899" i="5" s="1"/>
  <c r="J899" i="5"/>
  <c r="G899" i="5"/>
  <c r="H899" i="5" s="1"/>
  <c r="I899" i="5" s="1"/>
  <c r="F899" i="5"/>
  <c r="E899" i="5"/>
  <c r="T899" i="5" s="1"/>
  <c r="D899" i="5"/>
  <c r="S899" i="5" s="1"/>
  <c r="AB899" i="5" s="1"/>
  <c r="C899" i="5"/>
  <c r="B899" i="5"/>
  <c r="Z899" i="5" s="1"/>
  <c r="O898" i="5"/>
  <c r="K898" i="5"/>
  <c r="L898" i="5" s="1"/>
  <c r="M898" i="5" s="1"/>
  <c r="N898" i="5" s="1"/>
  <c r="J898" i="5"/>
  <c r="G898" i="5"/>
  <c r="H898" i="5" s="1"/>
  <c r="F898" i="5"/>
  <c r="E898" i="5"/>
  <c r="V898" i="5" s="1"/>
  <c r="W898" i="5" s="1"/>
  <c r="D898" i="5"/>
  <c r="S898" i="5" s="1"/>
  <c r="AB898" i="5" s="1"/>
  <c r="C898" i="5"/>
  <c r="B898" i="5"/>
  <c r="Z898" i="5" s="1"/>
  <c r="O897" i="5"/>
  <c r="K897" i="5"/>
  <c r="L897" i="5" s="1"/>
  <c r="M897" i="5" s="1"/>
  <c r="N897" i="5" s="1"/>
  <c r="J897" i="5"/>
  <c r="G897" i="5"/>
  <c r="P897" i="5" s="1"/>
  <c r="F897" i="5"/>
  <c r="E897" i="5"/>
  <c r="T897" i="5" s="1"/>
  <c r="D897" i="5"/>
  <c r="Q897" i="5" s="1"/>
  <c r="C897" i="5"/>
  <c r="B897" i="5"/>
  <c r="Z897" i="5" s="1"/>
  <c r="O896" i="5"/>
  <c r="K896" i="5"/>
  <c r="L896" i="5" s="1"/>
  <c r="M896" i="5" s="1"/>
  <c r="N896" i="5" s="1"/>
  <c r="J896" i="5"/>
  <c r="G896" i="5"/>
  <c r="F896" i="5"/>
  <c r="E896" i="5"/>
  <c r="V896" i="5" s="1"/>
  <c r="W896" i="5" s="1"/>
  <c r="D896" i="5"/>
  <c r="S896" i="5" s="1"/>
  <c r="AB896" i="5" s="1"/>
  <c r="C896" i="5"/>
  <c r="B896" i="5"/>
  <c r="O895" i="5"/>
  <c r="K895" i="5"/>
  <c r="L895" i="5" s="1"/>
  <c r="M895" i="5" s="1"/>
  <c r="N895" i="5" s="1"/>
  <c r="J895" i="5"/>
  <c r="G895" i="5"/>
  <c r="P895" i="5" s="1"/>
  <c r="F895" i="5"/>
  <c r="E895" i="5"/>
  <c r="T895" i="5" s="1"/>
  <c r="D895" i="5"/>
  <c r="Q895" i="5" s="1"/>
  <c r="C895" i="5"/>
  <c r="B895" i="5"/>
  <c r="O894" i="5"/>
  <c r="K894" i="5"/>
  <c r="L894" i="5" s="1"/>
  <c r="M894" i="5" s="1"/>
  <c r="N894" i="5" s="1"/>
  <c r="J894" i="5"/>
  <c r="G894" i="5"/>
  <c r="P894" i="5" s="1"/>
  <c r="F894" i="5"/>
  <c r="E894" i="5"/>
  <c r="T894" i="5" s="1"/>
  <c r="D894" i="5"/>
  <c r="Q894" i="5" s="1"/>
  <c r="C894" i="5"/>
  <c r="B894" i="5"/>
  <c r="Z894" i="5" s="1"/>
  <c r="O893" i="5"/>
  <c r="K893" i="5"/>
  <c r="L893" i="5" s="1"/>
  <c r="M893" i="5" s="1"/>
  <c r="N893" i="5" s="1"/>
  <c r="J893" i="5"/>
  <c r="G893" i="5"/>
  <c r="F893" i="5"/>
  <c r="E893" i="5"/>
  <c r="T893" i="5" s="1"/>
  <c r="D893" i="5"/>
  <c r="S893" i="5" s="1"/>
  <c r="AB893" i="5" s="1"/>
  <c r="C893" i="5"/>
  <c r="B893" i="5"/>
  <c r="Z893" i="5" s="1"/>
  <c r="O892" i="5"/>
  <c r="K892" i="5"/>
  <c r="L892" i="5" s="1"/>
  <c r="M892" i="5" s="1"/>
  <c r="N892" i="5" s="1"/>
  <c r="J892" i="5"/>
  <c r="G892" i="5"/>
  <c r="F892" i="5"/>
  <c r="E892" i="5"/>
  <c r="V892" i="5" s="1"/>
  <c r="W892" i="5" s="1"/>
  <c r="D892" i="5"/>
  <c r="C892" i="5"/>
  <c r="B892" i="5"/>
  <c r="O891" i="5"/>
  <c r="K891" i="5"/>
  <c r="L891" i="5" s="1"/>
  <c r="M891" i="5" s="1"/>
  <c r="N891" i="5" s="1"/>
  <c r="J891" i="5"/>
  <c r="G891" i="5"/>
  <c r="P891" i="5" s="1"/>
  <c r="F891" i="5"/>
  <c r="E891" i="5"/>
  <c r="T891" i="5" s="1"/>
  <c r="D891" i="5"/>
  <c r="S891" i="5" s="1"/>
  <c r="AB891" i="5" s="1"/>
  <c r="C891" i="5"/>
  <c r="B891" i="5"/>
  <c r="Z891" i="5" s="1"/>
  <c r="O890" i="5"/>
  <c r="K890" i="5"/>
  <c r="L890" i="5" s="1"/>
  <c r="M890" i="5" s="1"/>
  <c r="N890" i="5" s="1"/>
  <c r="J890" i="5"/>
  <c r="G890" i="5"/>
  <c r="P890" i="5" s="1"/>
  <c r="F890" i="5"/>
  <c r="E890" i="5"/>
  <c r="V890" i="5" s="1"/>
  <c r="W890" i="5" s="1"/>
  <c r="D890" i="5"/>
  <c r="S890" i="5" s="1"/>
  <c r="AB890" i="5" s="1"/>
  <c r="C890" i="5"/>
  <c r="B890" i="5"/>
  <c r="Z890" i="5" s="1"/>
  <c r="O889" i="5"/>
  <c r="K889" i="5"/>
  <c r="L889" i="5" s="1"/>
  <c r="M889" i="5" s="1"/>
  <c r="N889" i="5" s="1"/>
  <c r="J889" i="5"/>
  <c r="G889" i="5"/>
  <c r="F889" i="5"/>
  <c r="E889" i="5"/>
  <c r="T889" i="5" s="1"/>
  <c r="D889" i="5"/>
  <c r="S889" i="5" s="1"/>
  <c r="AB889" i="5" s="1"/>
  <c r="C889" i="5"/>
  <c r="B889" i="5"/>
  <c r="Z889" i="5" s="1"/>
  <c r="O888" i="5"/>
  <c r="K888" i="5"/>
  <c r="L888" i="5" s="1"/>
  <c r="M888" i="5" s="1"/>
  <c r="N888" i="5" s="1"/>
  <c r="J888" i="5"/>
  <c r="G888" i="5"/>
  <c r="F888" i="5"/>
  <c r="E888" i="5"/>
  <c r="V888" i="5" s="1"/>
  <c r="W888" i="5" s="1"/>
  <c r="D888" i="5"/>
  <c r="S888" i="5" s="1"/>
  <c r="AB888" i="5" s="1"/>
  <c r="C888" i="5"/>
  <c r="B888" i="5"/>
  <c r="O887" i="5"/>
  <c r="K887" i="5"/>
  <c r="L887" i="5" s="1"/>
  <c r="M887" i="5" s="1"/>
  <c r="N887" i="5" s="1"/>
  <c r="J887" i="5"/>
  <c r="G887" i="5"/>
  <c r="P887" i="5" s="1"/>
  <c r="F887" i="5"/>
  <c r="E887" i="5"/>
  <c r="T887" i="5" s="1"/>
  <c r="D887" i="5"/>
  <c r="Q887" i="5" s="1"/>
  <c r="C887" i="5"/>
  <c r="B887" i="5"/>
  <c r="O886" i="5"/>
  <c r="K886" i="5"/>
  <c r="L886" i="5" s="1"/>
  <c r="M886" i="5" s="1"/>
  <c r="N886" i="5" s="1"/>
  <c r="J886" i="5"/>
  <c r="G886" i="5"/>
  <c r="P886" i="5" s="1"/>
  <c r="F886" i="5"/>
  <c r="E886" i="5"/>
  <c r="T886" i="5" s="1"/>
  <c r="D886" i="5"/>
  <c r="Q886" i="5" s="1"/>
  <c r="C886" i="5"/>
  <c r="B886" i="5"/>
  <c r="Z886" i="5" s="1"/>
  <c r="O885" i="5"/>
  <c r="K885" i="5"/>
  <c r="L885" i="5" s="1"/>
  <c r="M885" i="5" s="1"/>
  <c r="N885" i="5" s="1"/>
  <c r="J885" i="5"/>
  <c r="G885" i="5"/>
  <c r="F885" i="5"/>
  <c r="E885" i="5"/>
  <c r="T885" i="5" s="1"/>
  <c r="D885" i="5"/>
  <c r="S885" i="5" s="1"/>
  <c r="AB885" i="5" s="1"/>
  <c r="C885" i="5"/>
  <c r="B885" i="5"/>
  <c r="Z885" i="5" s="1"/>
  <c r="O884" i="5"/>
  <c r="K884" i="5"/>
  <c r="L884" i="5" s="1"/>
  <c r="M884" i="5" s="1"/>
  <c r="N884" i="5" s="1"/>
  <c r="J884" i="5"/>
  <c r="G884" i="5"/>
  <c r="F884" i="5"/>
  <c r="E884" i="5"/>
  <c r="V884" i="5" s="1"/>
  <c r="W884" i="5" s="1"/>
  <c r="D884" i="5"/>
  <c r="C884" i="5"/>
  <c r="B884" i="5"/>
  <c r="O883" i="5"/>
  <c r="K883" i="5"/>
  <c r="L883" i="5" s="1"/>
  <c r="M883" i="5" s="1"/>
  <c r="N883" i="5" s="1"/>
  <c r="J883" i="5"/>
  <c r="G883" i="5"/>
  <c r="P883" i="5" s="1"/>
  <c r="F883" i="5"/>
  <c r="E883" i="5"/>
  <c r="T883" i="5" s="1"/>
  <c r="D883" i="5"/>
  <c r="S883" i="5" s="1"/>
  <c r="AB883" i="5" s="1"/>
  <c r="C883" i="5"/>
  <c r="B883" i="5"/>
  <c r="Z883" i="5" s="1"/>
  <c r="O882" i="5"/>
  <c r="K882" i="5"/>
  <c r="L882" i="5" s="1"/>
  <c r="M882" i="5" s="1"/>
  <c r="N882" i="5" s="1"/>
  <c r="J882" i="5"/>
  <c r="G882" i="5"/>
  <c r="P882" i="5" s="1"/>
  <c r="F882" i="5"/>
  <c r="E882" i="5"/>
  <c r="V882" i="5" s="1"/>
  <c r="W882" i="5" s="1"/>
  <c r="D882" i="5"/>
  <c r="S882" i="5" s="1"/>
  <c r="AB882" i="5" s="1"/>
  <c r="C882" i="5"/>
  <c r="B882" i="5"/>
  <c r="Z882" i="5" s="1"/>
  <c r="O881" i="5"/>
  <c r="K881" i="5"/>
  <c r="L881" i="5" s="1"/>
  <c r="M881" i="5" s="1"/>
  <c r="N881" i="5" s="1"/>
  <c r="J881" i="5"/>
  <c r="G881" i="5"/>
  <c r="F881" i="5"/>
  <c r="E881" i="5"/>
  <c r="T881" i="5" s="1"/>
  <c r="D881" i="5"/>
  <c r="S881" i="5" s="1"/>
  <c r="AB881" i="5" s="1"/>
  <c r="C881" i="5"/>
  <c r="B881" i="5"/>
  <c r="Z881" i="5" s="1"/>
  <c r="O880" i="5"/>
  <c r="K880" i="5"/>
  <c r="L880" i="5" s="1"/>
  <c r="M880" i="5" s="1"/>
  <c r="N880" i="5" s="1"/>
  <c r="J880" i="5"/>
  <c r="G880" i="5"/>
  <c r="F880" i="5"/>
  <c r="E880" i="5"/>
  <c r="V880" i="5" s="1"/>
  <c r="W880" i="5" s="1"/>
  <c r="D880" i="5"/>
  <c r="S880" i="5" s="1"/>
  <c r="AB880" i="5" s="1"/>
  <c r="C880" i="5"/>
  <c r="B880" i="5"/>
  <c r="O879" i="5"/>
  <c r="K879" i="5"/>
  <c r="L879" i="5" s="1"/>
  <c r="M879" i="5" s="1"/>
  <c r="N879" i="5" s="1"/>
  <c r="J879" i="5"/>
  <c r="G879" i="5"/>
  <c r="P879" i="5" s="1"/>
  <c r="F879" i="5"/>
  <c r="E879" i="5"/>
  <c r="T879" i="5" s="1"/>
  <c r="D879" i="5"/>
  <c r="S879" i="5" s="1"/>
  <c r="AB879" i="5" s="1"/>
  <c r="C879" i="5"/>
  <c r="B879" i="5"/>
  <c r="O878" i="5"/>
  <c r="K878" i="5"/>
  <c r="L878" i="5" s="1"/>
  <c r="M878" i="5" s="1"/>
  <c r="N878" i="5" s="1"/>
  <c r="J878" i="5"/>
  <c r="G878" i="5"/>
  <c r="P878" i="5" s="1"/>
  <c r="F878" i="5"/>
  <c r="E878" i="5"/>
  <c r="T878" i="5" s="1"/>
  <c r="D878" i="5"/>
  <c r="Q878" i="5" s="1"/>
  <c r="C878" i="5"/>
  <c r="B878" i="5"/>
  <c r="Z878" i="5" s="1"/>
  <c r="O877" i="5"/>
  <c r="K877" i="5"/>
  <c r="L877" i="5" s="1"/>
  <c r="M877" i="5" s="1"/>
  <c r="N877" i="5" s="1"/>
  <c r="J877" i="5"/>
  <c r="G877" i="5"/>
  <c r="F877" i="5"/>
  <c r="E877" i="5"/>
  <c r="T877" i="5" s="1"/>
  <c r="D877" i="5"/>
  <c r="Q877" i="5" s="1"/>
  <c r="C877" i="5"/>
  <c r="B877" i="5"/>
  <c r="Z877" i="5" s="1"/>
  <c r="O876" i="5"/>
  <c r="K876" i="5"/>
  <c r="L876" i="5" s="1"/>
  <c r="M876" i="5" s="1"/>
  <c r="N876" i="5" s="1"/>
  <c r="J876" i="5"/>
  <c r="G876" i="5"/>
  <c r="F876" i="5"/>
  <c r="E876" i="5"/>
  <c r="V876" i="5" s="1"/>
  <c r="W876" i="5" s="1"/>
  <c r="D876" i="5"/>
  <c r="C876" i="5"/>
  <c r="B876" i="5"/>
  <c r="O875" i="5"/>
  <c r="K875" i="5"/>
  <c r="L875" i="5" s="1"/>
  <c r="M875" i="5" s="1"/>
  <c r="N875" i="5" s="1"/>
  <c r="J875" i="5"/>
  <c r="G875" i="5"/>
  <c r="F875" i="5"/>
  <c r="E875" i="5"/>
  <c r="T875" i="5" s="1"/>
  <c r="D875" i="5"/>
  <c r="S875" i="5" s="1"/>
  <c r="AB875" i="5" s="1"/>
  <c r="C875" i="5"/>
  <c r="B875" i="5"/>
  <c r="Z875" i="5" s="1"/>
  <c r="O874" i="5"/>
  <c r="K874" i="5"/>
  <c r="L874" i="5" s="1"/>
  <c r="M874" i="5" s="1"/>
  <c r="N874" i="5" s="1"/>
  <c r="J874" i="5"/>
  <c r="G874" i="5"/>
  <c r="H874" i="5" s="1"/>
  <c r="F874" i="5"/>
  <c r="E874" i="5"/>
  <c r="V874" i="5" s="1"/>
  <c r="W874" i="5" s="1"/>
  <c r="D874" i="5"/>
  <c r="S874" i="5" s="1"/>
  <c r="AB874" i="5" s="1"/>
  <c r="C874" i="5"/>
  <c r="B874" i="5"/>
  <c r="Z874" i="5" s="1"/>
  <c r="O873" i="5"/>
  <c r="K873" i="5"/>
  <c r="L873" i="5" s="1"/>
  <c r="M873" i="5" s="1"/>
  <c r="N873" i="5" s="1"/>
  <c r="J873" i="5"/>
  <c r="G873" i="5"/>
  <c r="P873" i="5" s="1"/>
  <c r="F873" i="5"/>
  <c r="E873" i="5"/>
  <c r="T873" i="5" s="1"/>
  <c r="D873" i="5"/>
  <c r="S873" i="5" s="1"/>
  <c r="AB873" i="5" s="1"/>
  <c r="C873" i="5"/>
  <c r="B873" i="5"/>
  <c r="Z873" i="5" s="1"/>
  <c r="O872" i="5"/>
  <c r="K872" i="5"/>
  <c r="L872" i="5" s="1"/>
  <c r="M872" i="5" s="1"/>
  <c r="N872" i="5" s="1"/>
  <c r="J872" i="5"/>
  <c r="G872" i="5"/>
  <c r="H872" i="5" s="1"/>
  <c r="F872" i="5"/>
  <c r="E872" i="5"/>
  <c r="V872" i="5" s="1"/>
  <c r="W872" i="5" s="1"/>
  <c r="D872" i="5"/>
  <c r="S872" i="5" s="1"/>
  <c r="AB872" i="5" s="1"/>
  <c r="C872" i="5"/>
  <c r="B872" i="5"/>
  <c r="O871" i="5"/>
  <c r="K871" i="5"/>
  <c r="L871" i="5" s="1"/>
  <c r="M871" i="5" s="1"/>
  <c r="N871" i="5" s="1"/>
  <c r="J871" i="5"/>
  <c r="G871" i="5"/>
  <c r="P871" i="5" s="1"/>
  <c r="F871" i="5"/>
  <c r="E871" i="5"/>
  <c r="T871" i="5" s="1"/>
  <c r="D871" i="5"/>
  <c r="S871" i="5" s="1"/>
  <c r="AB871" i="5" s="1"/>
  <c r="C871" i="5"/>
  <c r="B871" i="5"/>
  <c r="O870" i="5"/>
  <c r="K870" i="5"/>
  <c r="L870" i="5" s="1"/>
  <c r="M870" i="5" s="1"/>
  <c r="N870" i="5" s="1"/>
  <c r="J870" i="5"/>
  <c r="G870" i="5"/>
  <c r="P870" i="5" s="1"/>
  <c r="F870" i="5"/>
  <c r="E870" i="5"/>
  <c r="T870" i="5" s="1"/>
  <c r="D870" i="5"/>
  <c r="Q870" i="5" s="1"/>
  <c r="C870" i="5"/>
  <c r="B870" i="5"/>
  <c r="Z870" i="5" s="1"/>
  <c r="O869" i="5"/>
  <c r="K869" i="5"/>
  <c r="L869" i="5" s="1"/>
  <c r="M869" i="5" s="1"/>
  <c r="N869" i="5" s="1"/>
  <c r="J869" i="5"/>
  <c r="G869" i="5"/>
  <c r="P869" i="5" s="1"/>
  <c r="F869" i="5"/>
  <c r="E869" i="5"/>
  <c r="T869" i="5" s="1"/>
  <c r="D869" i="5"/>
  <c r="Q869" i="5" s="1"/>
  <c r="C869" i="5"/>
  <c r="B869" i="5"/>
  <c r="Z869" i="5" s="1"/>
  <c r="O868" i="5"/>
  <c r="K868" i="5"/>
  <c r="L868" i="5" s="1"/>
  <c r="M868" i="5" s="1"/>
  <c r="N868" i="5" s="1"/>
  <c r="J868" i="5"/>
  <c r="G868" i="5"/>
  <c r="P868" i="5" s="1"/>
  <c r="F868" i="5"/>
  <c r="E868" i="5"/>
  <c r="V868" i="5" s="1"/>
  <c r="W868" i="5" s="1"/>
  <c r="D868" i="5"/>
  <c r="C868" i="5"/>
  <c r="B868" i="5"/>
  <c r="Z868" i="5" s="1"/>
  <c r="O867" i="5"/>
  <c r="K867" i="5"/>
  <c r="L867" i="5" s="1"/>
  <c r="M867" i="5" s="1"/>
  <c r="N867" i="5" s="1"/>
  <c r="J867" i="5"/>
  <c r="G867" i="5"/>
  <c r="P867" i="5" s="1"/>
  <c r="F867" i="5"/>
  <c r="E867" i="5"/>
  <c r="T867" i="5" s="1"/>
  <c r="D867" i="5"/>
  <c r="S867" i="5" s="1"/>
  <c r="AB867" i="5" s="1"/>
  <c r="C867" i="5"/>
  <c r="B867" i="5"/>
  <c r="AA867" i="5" s="1"/>
  <c r="O866" i="5"/>
  <c r="K866" i="5"/>
  <c r="L866" i="5" s="1"/>
  <c r="M866" i="5" s="1"/>
  <c r="N866" i="5" s="1"/>
  <c r="J866" i="5"/>
  <c r="G866" i="5"/>
  <c r="F866" i="5"/>
  <c r="E866" i="5"/>
  <c r="V866" i="5" s="1"/>
  <c r="W866" i="5" s="1"/>
  <c r="D866" i="5"/>
  <c r="S866" i="5" s="1"/>
  <c r="AB866" i="5" s="1"/>
  <c r="C866" i="5"/>
  <c r="B866" i="5"/>
  <c r="Z866" i="5" s="1"/>
  <c r="O865" i="5"/>
  <c r="K865" i="5"/>
  <c r="L865" i="5" s="1"/>
  <c r="M865" i="5" s="1"/>
  <c r="N865" i="5" s="1"/>
  <c r="J865" i="5"/>
  <c r="G865" i="5"/>
  <c r="F865" i="5"/>
  <c r="E865" i="5"/>
  <c r="U865" i="5" s="1"/>
  <c r="D865" i="5"/>
  <c r="S865" i="5" s="1"/>
  <c r="AB865" i="5" s="1"/>
  <c r="C865" i="5"/>
  <c r="B865" i="5"/>
  <c r="Z865" i="5" s="1"/>
  <c r="O864" i="5"/>
  <c r="K864" i="5"/>
  <c r="L864" i="5" s="1"/>
  <c r="M864" i="5" s="1"/>
  <c r="N864" i="5" s="1"/>
  <c r="J864" i="5"/>
  <c r="G864" i="5"/>
  <c r="H864" i="5" s="1"/>
  <c r="F864" i="5"/>
  <c r="E864" i="5"/>
  <c r="V864" i="5" s="1"/>
  <c r="W864" i="5" s="1"/>
  <c r="D864" i="5"/>
  <c r="S864" i="5" s="1"/>
  <c r="AB864" i="5" s="1"/>
  <c r="C864" i="5"/>
  <c r="B864" i="5"/>
  <c r="O863" i="5"/>
  <c r="K863" i="5"/>
  <c r="L863" i="5" s="1"/>
  <c r="M863" i="5" s="1"/>
  <c r="N863" i="5" s="1"/>
  <c r="J863" i="5"/>
  <c r="G863" i="5"/>
  <c r="H863" i="5" s="1"/>
  <c r="I863" i="5" s="1"/>
  <c r="F863" i="5"/>
  <c r="E863" i="5"/>
  <c r="T863" i="5" s="1"/>
  <c r="D863" i="5"/>
  <c r="S863" i="5" s="1"/>
  <c r="AB863" i="5" s="1"/>
  <c r="C863" i="5"/>
  <c r="B863" i="5"/>
  <c r="O862" i="5"/>
  <c r="K862" i="5"/>
  <c r="L862" i="5" s="1"/>
  <c r="M862" i="5" s="1"/>
  <c r="N862" i="5" s="1"/>
  <c r="J862" i="5"/>
  <c r="G862" i="5"/>
  <c r="P862" i="5" s="1"/>
  <c r="F862" i="5"/>
  <c r="E862" i="5"/>
  <c r="T862" i="5" s="1"/>
  <c r="D862" i="5"/>
  <c r="C862" i="5"/>
  <c r="B862" i="5"/>
  <c r="Z862" i="5" s="1"/>
  <c r="O861" i="5"/>
  <c r="K861" i="5"/>
  <c r="L861" i="5" s="1"/>
  <c r="M861" i="5" s="1"/>
  <c r="N861" i="5" s="1"/>
  <c r="J861" i="5"/>
  <c r="G861" i="5"/>
  <c r="P861" i="5" s="1"/>
  <c r="F861" i="5"/>
  <c r="E861" i="5"/>
  <c r="T861" i="5" s="1"/>
  <c r="D861" i="5"/>
  <c r="S861" i="5" s="1"/>
  <c r="AB861" i="5" s="1"/>
  <c r="C861" i="5"/>
  <c r="B861" i="5"/>
  <c r="O860" i="5"/>
  <c r="K860" i="5"/>
  <c r="L860" i="5" s="1"/>
  <c r="M860" i="5" s="1"/>
  <c r="N860" i="5" s="1"/>
  <c r="J860" i="5"/>
  <c r="G860" i="5"/>
  <c r="H860" i="5" s="1"/>
  <c r="I860" i="5" s="1"/>
  <c r="F860" i="5"/>
  <c r="E860" i="5"/>
  <c r="V860" i="5" s="1"/>
  <c r="W860" i="5" s="1"/>
  <c r="D860" i="5"/>
  <c r="R860" i="5" s="1"/>
  <c r="C860" i="5"/>
  <c r="B860" i="5"/>
  <c r="O859" i="5"/>
  <c r="K859" i="5"/>
  <c r="L859" i="5" s="1"/>
  <c r="M859" i="5" s="1"/>
  <c r="N859" i="5" s="1"/>
  <c r="J859" i="5"/>
  <c r="G859" i="5"/>
  <c r="H859" i="5" s="1"/>
  <c r="I859" i="5" s="1"/>
  <c r="F859" i="5"/>
  <c r="E859" i="5"/>
  <c r="T859" i="5" s="1"/>
  <c r="D859" i="5"/>
  <c r="Q859" i="5" s="1"/>
  <c r="C859" i="5"/>
  <c r="B859" i="5"/>
  <c r="Z859" i="5" s="1"/>
  <c r="O858" i="5"/>
  <c r="K858" i="5"/>
  <c r="L858" i="5" s="1"/>
  <c r="M858" i="5" s="1"/>
  <c r="N858" i="5" s="1"/>
  <c r="J858" i="5"/>
  <c r="G858" i="5"/>
  <c r="H858" i="5" s="1"/>
  <c r="F858" i="5"/>
  <c r="E858" i="5"/>
  <c r="V858" i="5" s="1"/>
  <c r="W858" i="5" s="1"/>
  <c r="D858" i="5"/>
  <c r="S858" i="5" s="1"/>
  <c r="AB858" i="5" s="1"/>
  <c r="C858" i="5"/>
  <c r="B858" i="5"/>
  <c r="Z858" i="5" s="1"/>
  <c r="O857" i="5"/>
  <c r="K857" i="5"/>
  <c r="L857" i="5" s="1"/>
  <c r="M857" i="5" s="1"/>
  <c r="N857" i="5" s="1"/>
  <c r="J857" i="5"/>
  <c r="G857" i="5"/>
  <c r="P857" i="5" s="1"/>
  <c r="F857" i="5"/>
  <c r="E857" i="5"/>
  <c r="T857" i="5" s="1"/>
  <c r="D857" i="5"/>
  <c r="S857" i="5" s="1"/>
  <c r="AB857" i="5" s="1"/>
  <c r="C857" i="5"/>
  <c r="B857" i="5"/>
  <c r="Z857" i="5" s="1"/>
  <c r="O856" i="5"/>
  <c r="K856" i="5"/>
  <c r="L856" i="5" s="1"/>
  <c r="M856" i="5" s="1"/>
  <c r="N856" i="5" s="1"/>
  <c r="J856" i="5"/>
  <c r="G856" i="5"/>
  <c r="H856" i="5" s="1"/>
  <c r="F856" i="5"/>
  <c r="E856" i="5"/>
  <c r="V856" i="5" s="1"/>
  <c r="W856" i="5" s="1"/>
  <c r="D856" i="5"/>
  <c r="S856" i="5" s="1"/>
  <c r="AB856" i="5" s="1"/>
  <c r="C856" i="5"/>
  <c r="B856" i="5"/>
  <c r="O855" i="5"/>
  <c r="K855" i="5"/>
  <c r="L855" i="5" s="1"/>
  <c r="M855" i="5" s="1"/>
  <c r="N855" i="5" s="1"/>
  <c r="J855" i="5"/>
  <c r="G855" i="5"/>
  <c r="H855" i="5" s="1"/>
  <c r="I855" i="5" s="1"/>
  <c r="F855" i="5"/>
  <c r="E855" i="5"/>
  <c r="T855" i="5" s="1"/>
  <c r="D855" i="5"/>
  <c r="S855" i="5" s="1"/>
  <c r="AB855" i="5" s="1"/>
  <c r="C855" i="5"/>
  <c r="B855" i="5"/>
  <c r="O854" i="5"/>
  <c r="K854" i="5"/>
  <c r="L854" i="5" s="1"/>
  <c r="M854" i="5" s="1"/>
  <c r="N854" i="5" s="1"/>
  <c r="J854" i="5"/>
  <c r="G854" i="5"/>
  <c r="H854" i="5" s="1"/>
  <c r="I854" i="5" s="1"/>
  <c r="F854" i="5"/>
  <c r="E854" i="5"/>
  <c r="T854" i="5" s="1"/>
  <c r="D854" i="5"/>
  <c r="S854" i="5" s="1"/>
  <c r="AB854" i="5" s="1"/>
  <c r="C854" i="5"/>
  <c r="B854" i="5"/>
  <c r="Z854" i="5" s="1"/>
  <c r="O853" i="5"/>
  <c r="K853" i="5"/>
  <c r="L853" i="5" s="1"/>
  <c r="M853" i="5" s="1"/>
  <c r="N853" i="5" s="1"/>
  <c r="J853" i="5"/>
  <c r="G853" i="5"/>
  <c r="F853" i="5"/>
  <c r="E853" i="5"/>
  <c r="T853" i="5" s="1"/>
  <c r="D853" i="5"/>
  <c r="S853" i="5" s="1"/>
  <c r="AB853" i="5" s="1"/>
  <c r="C853" i="5"/>
  <c r="B853" i="5"/>
  <c r="O852" i="5"/>
  <c r="K852" i="5"/>
  <c r="L852" i="5" s="1"/>
  <c r="M852" i="5" s="1"/>
  <c r="N852" i="5" s="1"/>
  <c r="J852" i="5"/>
  <c r="G852" i="5"/>
  <c r="P852" i="5" s="1"/>
  <c r="F852" i="5"/>
  <c r="E852" i="5"/>
  <c r="U852" i="5" s="1"/>
  <c r="D852" i="5"/>
  <c r="C852" i="5"/>
  <c r="B852" i="5"/>
  <c r="O851" i="5"/>
  <c r="K851" i="5"/>
  <c r="L851" i="5" s="1"/>
  <c r="M851" i="5" s="1"/>
  <c r="N851" i="5" s="1"/>
  <c r="J851" i="5"/>
  <c r="G851" i="5"/>
  <c r="H851" i="5" s="1"/>
  <c r="I851" i="5" s="1"/>
  <c r="F851" i="5"/>
  <c r="E851" i="5"/>
  <c r="T851" i="5" s="1"/>
  <c r="D851" i="5"/>
  <c r="Q851" i="5" s="1"/>
  <c r="C851" i="5"/>
  <c r="B851" i="5"/>
  <c r="Z851" i="5" s="1"/>
  <c r="O850" i="5"/>
  <c r="K850" i="5"/>
  <c r="L850" i="5" s="1"/>
  <c r="M850" i="5" s="1"/>
  <c r="N850" i="5" s="1"/>
  <c r="J850" i="5"/>
  <c r="G850" i="5"/>
  <c r="H850" i="5" s="1"/>
  <c r="F850" i="5"/>
  <c r="E850" i="5"/>
  <c r="V850" i="5" s="1"/>
  <c r="W850" i="5" s="1"/>
  <c r="D850" i="5"/>
  <c r="Q850" i="5" s="1"/>
  <c r="C850" i="5"/>
  <c r="B850" i="5"/>
  <c r="Z850" i="5" s="1"/>
  <c r="O849" i="5"/>
  <c r="K849" i="5"/>
  <c r="L849" i="5" s="1"/>
  <c r="M849" i="5" s="1"/>
  <c r="N849" i="5" s="1"/>
  <c r="J849" i="5"/>
  <c r="G849" i="5"/>
  <c r="P849" i="5" s="1"/>
  <c r="F849" i="5"/>
  <c r="E849" i="5"/>
  <c r="T849" i="5" s="1"/>
  <c r="D849" i="5"/>
  <c r="S849" i="5" s="1"/>
  <c r="AB849" i="5" s="1"/>
  <c r="C849" i="5"/>
  <c r="B849" i="5"/>
  <c r="Z849" i="5" s="1"/>
  <c r="O848" i="5"/>
  <c r="K848" i="5"/>
  <c r="L848" i="5" s="1"/>
  <c r="M848" i="5" s="1"/>
  <c r="N848" i="5" s="1"/>
  <c r="J848" i="5"/>
  <c r="G848" i="5"/>
  <c r="F848" i="5"/>
  <c r="E848" i="5"/>
  <c r="V848" i="5" s="1"/>
  <c r="W848" i="5" s="1"/>
  <c r="D848" i="5"/>
  <c r="S848" i="5" s="1"/>
  <c r="AB848" i="5" s="1"/>
  <c r="C848" i="5"/>
  <c r="B848" i="5"/>
  <c r="O847" i="5"/>
  <c r="K847" i="5"/>
  <c r="L847" i="5" s="1"/>
  <c r="M847" i="5" s="1"/>
  <c r="N847" i="5" s="1"/>
  <c r="J847" i="5"/>
  <c r="G847" i="5"/>
  <c r="H847" i="5" s="1"/>
  <c r="I847" i="5" s="1"/>
  <c r="F847" i="5"/>
  <c r="E847" i="5"/>
  <c r="T847" i="5" s="1"/>
  <c r="D847" i="5"/>
  <c r="S847" i="5" s="1"/>
  <c r="AB847" i="5" s="1"/>
  <c r="C847" i="5"/>
  <c r="B847" i="5"/>
  <c r="O846" i="5"/>
  <c r="K846" i="5"/>
  <c r="L846" i="5" s="1"/>
  <c r="M846" i="5" s="1"/>
  <c r="N846" i="5" s="1"/>
  <c r="J846" i="5"/>
  <c r="G846" i="5"/>
  <c r="P846" i="5" s="1"/>
  <c r="F846" i="5"/>
  <c r="E846" i="5"/>
  <c r="T846" i="5" s="1"/>
  <c r="D846" i="5"/>
  <c r="S846" i="5" s="1"/>
  <c r="AB846" i="5" s="1"/>
  <c r="C846" i="5"/>
  <c r="B846" i="5"/>
  <c r="Z846" i="5" s="1"/>
  <c r="O845" i="5"/>
  <c r="K845" i="5"/>
  <c r="L845" i="5" s="1"/>
  <c r="M845" i="5" s="1"/>
  <c r="N845" i="5" s="1"/>
  <c r="J845" i="5"/>
  <c r="G845" i="5"/>
  <c r="P845" i="5" s="1"/>
  <c r="F845" i="5"/>
  <c r="E845" i="5"/>
  <c r="T845" i="5" s="1"/>
  <c r="D845" i="5"/>
  <c r="S845" i="5" s="1"/>
  <c r="AB845" i="5" s="1"/>
  <c r="C845" i="5"/>
  <c r="B845" i="5"/>
  <c r="O844" i="5"/>
  <c r="K844" i="5"/>
  <c r="L844" i="5" s="1"/>
  <c r="M844" i="5" s="1"/>
  <c r="N844" i="5" s="1"/>
  <c r="J844" i="5"/>
  <c r="G844" i="5"/>
  <c r="F844" i="5"/>
  <c r="E844" i="5"/>
  <c r="V844" i="5" s="1"/>
  <c r="W844" i="5" s="1"/>
  <c r="D844" i="5"/>
  <c r="C844" i="5"/>
  <c r="B844" i="5"/>
  <c r="O843" i="5"/>
  <c r="K843" i="5"/>
  <c r="L843" i="5" s="1"/>
  <c r="M843" i="5" s="1"/>
  <c r="N843" i="5" s="1"/>
  <c r="J843" i="5"/>
  <c r="G843" i="5"/>
  <c r="H843" i="5" s="1"/>
  <c r="I843" i="5" s="1"/>
  <c r="F843" i="5"/>
  <c r="E843" i="5"/>
  <c r="T843" i="5" s="1"/>
  <c r="D843" i="5"/>
  <c r="S843" i="5" s="1"/>
  <c r="AB843" i="5" s="1"/>
  <c r="C843" i="5"/>
  <c r="B843" i="5"/>
  <c r="Z843" i="5" s="1"/>
  <c r="O842" i="5"/>
  <c r="K842" i="5"/>
  <c r="L842" i="5" s="1"/>
  <c r="M842" i="5" s="1"/>
  <c r="N842" i="5" s="1"/>
  <c r="J842" i="5"/>
  <c r="G842" i="5"/>
  <c r="P842" i="5" s="1"/>
  <c r="F842" i="5"/>
  <c r="E842" i="5"/>
  <c r="V842" i="5" s="1"/>
  <c r="W842" i="5" s="1"/>
  <c r="D842" i="5"/>
  <c r="Q842" i="5" s="1"/>
  <c r="C842" i="5"/>
  <c r="B842" i="5"/>
  <c r="Z842" i="5" s="1"/>
  <c r="O841" i="5"/>
  <c r="K841" i="5"/>
  <c r="L841" i="5" s="1"/>
  <c r="M841" i="5" s="1"/>
  <c r="N841" i="5" s="1"/>
  <c r="J841" i="5"/>
  <c r="G841" i="5"/>
  <c r="P841" i="5" s="1"/>
  <c r="F841" i="5"/>
  <c r="E841" i="5"/>
  <c r="T841" i="5" s="1"/>
  <c r="D841" i="5"/>
  <c r="Q841" i="5" s="1"/>
  <c r="C841" i="5"/>
  <c r="B841" i="5"/>
  <c r="Z841" i="5" s="1"/>
  <c r="O840" i="5"/>
  <c r="K840" i="5"/>
  <c r="L840" i="5" s="1"/>
  <c r="M840" i="5" s="1"/>
  <c r="N840" i="5" s="1"/>
  <c r="J840" i="5"/>
  <c r="G840" i="5"/>
  <c r="H840" i="5" s="1"/>
  <c r="F840" i="5"/>
  <c r="E840" i="5"/>
  <c r="V840" i="5" s="1"/>
  <c r="W840" i="5" s="1"/>
  <c r="D840" i="5"/>
  <c r="S840" i="5" s="1"/>
  <c r="AB840" i="5" s="1"/>
  <c r="C840" i="5"/>
  <c r="B840" i="5"/>
  <c r="O839" i="5"/>
  <c r="K839" i="5"/>
  <c r="L839" i="5" s="1"/>
  <c r="M839" i="5" s="1"/>
  <c r="N839" i="5" s="1"/>
  <c r="J839" i="5"/>
  <c r="G839" i="5"/>
  <c r="H839" i="5" s="1"/>
  <c r="I839" i="5" s="1"/>
  <c r="F839" i="5"/>
  <c r="E839" i="5"/>
  <c r="T839" i="5" s="1"/>
  <c r="D839" i="5"/>
  <c r="S839" i="5" s="1"/>
  <c r="AB839" i="5" s="1"/>
  <c r="C839" i="5"/>
  <c r="B839" i="5"/>
  <c r="O838" i="5"/>
  <c r="K838" i="5"/>
  <c r="L838" i="5" s="1"/>
  <c r="M838" i="5" s="1"/>
  <c r="N838" i="5" s="1"/>
  <c r="J838" i="5"/>
  <c r="G838" i="5"/>
  <c r="H838" i="5" s="1"/>
  <c r="I838" i="5" s="1"/>
  <c r="F838" i="5"/>
  <c r="E838" i="5"/>
  <c r="T838" i="5" s="1"/>
  <c r="D838" i="5"/>
  <c r="S838" i="5" s="1"/>
  <c r="AB838" i="5" s="1"/>
  <c r="C838" i="5"/>
  <c r="B838" i="5"/>
  <c r="Z838" i="5" s="1"/>
  <c r="O837" i="5"/>
  <c r="K837" i="5"/>
  <c r="L837" i="5" s="1"/>
  <c r="M837" i="5" s="1"/>
  <c r="N837" i="5" s="1"/>
  <c r="J837" i="5"/>
  <c r="G837" i="5"/>
  <c r="F837" i="5"/>
  <c r="E837" i="5"/>
  <c r="T837" i="5" s="1"/>
  <c r="D837" i="5"/>
  <c r="S837" i="5" s="1"/>
  <c r="AB837" i="5" s="1"/>
  <c r="C837" i="5"/>
  <c r="B837" i="5"/>
  <c r="O836" i="5"/>
  <c r="K836" i="5"/>
  <c r="L836" i="5" s="1"/>
  <c r="M836" i="5" s="1"/>
  <c r="N836" i="5" s="1"/>
  <c r="J836" i="5"/>
  <c r="G836" i="5"/>
  <c r="P836" i="5" s="1"/>
  <c r="F836" i="5"/>
  <c r="E836" i="5"/>
  <c r="V836" i="5" s="1"/>
  <c r="W836" i="5" s="1"/>
  <c r="D836" i="5"/>
  <c r="S836" i="5" s="1"/>
  <c r="AB836" i="5" s="1"/>
  <c r="C836" i="5"/>
  <c r="B836" i="5"/>
  <c r="O835" i="5"/>
  <c r="K835" i="5"/>
  <c r="L835" i="5" s="1"/>
  <c r="M835" i="5" s="1"/>
  <c r="N835" i="5" s="1"/>
  <c r="J835" i="5"/>
  <c r="G835" i="5"/>
  <c r="H835" i="5" s="1"/>
  <c r="I835" i="5" s="1"/>
  <c r="F835" i="5"/>
  <c r="E835" i="5"/>
  <c r="T835" i="5" s="1"/>
  <c r="D835" i="5"/>
  <c r="S835" i="5" s="1"/>
  <c r="AB835" i="5" s="1"/>
  <c r="C835" i="5"/>
  <c r="B835" i="5"/>
  <c r="Z835" i="5" s="1"/>
  <c r="O834" i="5"/>
  <c r="K834" i="5"/>
  <c r="L834" i="5" s="1"/>
  <c r="M834" i="5" s="1"/>
  <c r="N834" i="5" s="1"/>
  <c r="J834" i="5"/>
  <c r="G834" i="5"/>
  <c r="P834" i="5" s="1"/>
  <c r="F834" i="5"/>
  <c r="E834" i="5"/>
  <c r="V834" i="5" s="1"/>
  <c r="W834" i="5" s="1"/>
  <c r="D834" i="5"/>
  <c r="S834" i="5" s="1"/>
  <c r="AB834" i="5" s="1"/>
  <c r="C834" i="5"/>
  <c r="B834" i="5"/>
  <c r="Z834" i="5" s="1"/>
  <c r="O833" i="5"/>
  <c r="K833" i="5"/>
  <c r="L833" i="5" s="1"/>
  <c r="M833" i="5" s="1"/>
  <c r="N833" i="5" s="1"/>
  <c r="J833" i="5"/>
  <c r="G833" i="5"/>
  <c r="P833" i="5" s="1"/>
  <c r="F833" i="5"/>
  <c r="E833" i="5"/>
  <c r="T833" i="5" s="1"/>
  <c r="D833" i="5"/>
  <c r="Q833" i="5" s="1"/>
  <c r="C833" i="5"/>
  <c r="B833" i="5"/>
  <c r="Z833" i="5" s="1"/>
  <c r="O832" i="5"/>
  <c r="K832" i="5"/>
  <c r="L832" i="5" s="1"/>
  <c r="M832" i="5" s="1"/>
  <c r="N832" i="5" s="1"/>
  <c r="J832" i="5"/>
  <c r="G832" i="5"/>
  <c r="H832" i="5" s="1"/>
  <c r="F832" i="5"/>
  <c r="E832" i="5"/>
  <c r="V832" i="5" s="1"/>
  <c r="W832" i="5" s="1"/>
  <c r="D832" i="5"/>
  <c r="S832" i="5" s="1"/>
  <c r="AB832" i="5" s="1"/>
  <c r="C832" i="5"/>
  <c r="B832" i="5"/>
  <c r="O831" i="5"/>
  <c r="K831" i="5"/>
  <c r="L831" i="5" s="1"/>
  <c r="M831" i="5" s="1"/>
  <c r="N831" i="5" s="1"/>
  <c r="J831" i="5"/>
  <c r="G831" i="5"/>
  <c r="P831" i="5" s="1"/>
  <c r="F831" i="5"/>
  <c r="E831" i="5"/>
  <c r="T831" i="5" s="1"/>
  <c r="D831" i="5"/>
  <c r="Q831" i="5" s="1"/>
  <c r="C831" i="5"/>
  <c r="B831" i="5"/>
  <c r="O830" i="5"/>
  <c r="K830" i="5"/>
  <c r="L830" i="5" s="1"/>
  <c r="M830" i="5" s="1"/>
  <c r="N830" i="5" s="1"/>
  <c r="J830" i="5"/>
  <c r="G830" i="5"/>
  <c r="P830" i="5" s="1"/>
  <c r="F830" i="5"/>
  <c r="E830" i="5"/>
  <c r="T830" i="5" s="1"/>
  <c r="D830" i="5"/>
  <c r="S830" i="5" s="1"/>
  <c r="AB830" i="5" s="1"/>
  <c r="C830" i="5"/>
  <c r="B830" i="5"/>
  <c r="Z830" i="5" s="1"/>
  <c r="O829" i="5"/>
  <c r="K829" i="5"/>
  <c r="L829" i="5" s="1"/>
  <c r="M829" i="5" s="1"/>
  <c r="N829" i="5" s="1"/>
  <c r="J829" i="5"/>
  <c r="G829" i="5"/>
  <c r="H829" i="5" s="1"/>
  <c r="I829" i="5" s="1"/>
  <c r="F829" i="5"/>
  <c r="E829" i="5"/>
  <c r="T829" i="5" s="1"/>
  <c r="D829" i="5"/>
  <c r="S829" i="5" s="1"/>
  <c r="AB829" i="5" s="1"/>
  <c r="C829" i="5"/>
  <c r="B829" i="5"/>
  <c r="O828" i="5"/>
  <c r="K828" i="5"/>
  <c r="L828" i="5" s="1"/>
  <c r="M828" i="5" s="1"/>
  <c r="N828" i="5" s="1"/>
  <c r="J828" i="5"/>
  <c r="G828" i="5"/>
  <c r="P828" i="5" s="1"/>
  <c r="F828" i="5"/>
  <c r="E828" i="5"/>
  <c r="V828" i="5" s="1"/>
  <c r="W828" i="5" s="1"/>
  <c r="D828" i="5"/>
  <c r="S828" i="5" s="1"/>
  <c r="AB828" i="5" s="1"/>
  <c r="C828" i="5"/>
  <c r="B828" i="5"/>
  <c r="O827" i="5"/>
  <c r="K827" i="5"/>
  <c r="L827" i="5" s="1"/>
  <c r="M827" i="5" s="1"/>
  <c r="N827" i="5" s="1"/>
  <c r="J827" i="5"/>
  <c r="G827" i="5"/>
  <c r="H827" i="5" s="1"/>
  <c r="I827" i="5" s="1"/>
  <c r="F827" i="5"/>
  <c r="E827" i="5"/>
  <c r="T827" i="5" s="1"/>
  <c r="D827" i="5"/>
  <c r="S827" i="5" s="1"/>
  <c r="AB827" i="5" s="1"/>
  <c r="C827" i="5"/>
  <c r="B827" i="5"/>
  <c r="Z827" i="5" s="1"/>
  <c r="O826" i="5"/>
  <c r="K826" i="5"/>
  <c r="L826" i="5" s="1"/>
  <c r="M826" i="5" s="1"/>
  <c r="N826" i="5" s="1"/>
  <c r="J826" i="5"/>
  <c r="G826" i="5"/>
  <c r="F826" i="5"/>
  <c r="E826" i="5"/>
  <c r="V826" i="5" s="1"/>
  <c r="W826" i="5" s="1"/>
  <c r="D826" i="5"/>
  <c r="S826" i="5" s="1"/>
  <c r="AB826" i="5" s="1"/>
  <c r="C826" i="5"/>
  <c r="B826" i="5"/>
  <c r="Z826" i="5" s="1"/>
  <c r="O825" i="5"/>
  <c r="K825" i="5"/>
  <c r="L825" i="5" s="1"/>
  <c r="M825" i="5" s="1"/>
  <c r="N825" i="5" s="1"/>
  <c r="J825" i="5"/>
  <c r="G825" i="5"/>
  <c r="F825" i="5"/>
  <c r="E825" i="5"/>
  <c r="T825" i="5" s="1"/>
  <c r="D825" i="5"/>
  <c r="S825" i="5" s="1"/>
  <c r="AB825" i="5" s="1"/>
  <c r="C825" i="5"/>
  <c r="B825" i="5"/>
  <c r="Z825" i="5" s="1"/>
  <c r="O824" i="5"/>
  <c r="K824" i="5"/>
  <c r="L824" i="5" s="1"/>
  <c r="M824" i="5" s="1"/>
  <c r="N824" i="5" s="1"/>
  <c r="J824" i="5"/>
  <c r="G824" i="5"/>
  <c r="F824" i="5"/>
  <c r="E824" i="5"/>
  <c r="V824" i="5" s="1"/>
  <c r="W824" i="5" s="1"/>
  <c r="D824" i="5"/>
  <c r="S824" i="5" s="1"/>
  <c r="AB824" i="5" s="1"/>
  <c r="C824" i="5"/>
  <c r="B824" i="5"/>
  <c r="O823" i="5"/>
  <c r="K823" i="5"/>
  <c r="L823" i="5" s="1"/>
  <c r="M823" i="5" s="1"/>
  <c r="N823" i="5" s="1"/>
  <c r="J823" i="5"/>
  <c r="G823" i="5"/>
  <c r="F823" i="5"/>
  <c r="E823" i="5"/>
  <c r="T823" i="5" s="1"/>
  <c r="D823" i="5"/>
  <c r="Q823" i="5" s="1"/>
  <c r="C823" i="5"/>
  <c r="B823" i="5"/>
  <c r="O822" i="5"/>
  <c r="K822" i="5"/>
  <c r="L822" i="5" s="1"/>
  <c r="M822" i="5" s="1"/>
  <c r="N822" i="5" s="1"/>
  <c r="J822" i="5"/>
  <c r="G822" i="5"/>
  <c r="P822" i="5" s="1"/>
  <c r="F822" i="5"/>
  <c r="E822" i="5"/>
  <c r="T822" i="5" s="1"/>
  <c r="D822" i="5"/>
  <c r="Q822" i="5" s="1"/>
  <c r="C822" i="5"/>
  <c r="B822" i="5"/>
  <c r="Z822" i="5" s="1"/>
  <c r="O821" i="5"/>
  <c r="K821" i="5"/>
  <c r="L821" i="5" s="1"/>
  <c r="M821" i="5" s="1"/>
  <c r="N821" i="5" s="1"/>
  <c r="J821" i="5"/>
  <c r="G821" i="5"/>
  <c r="P821" i="5" s="1"/>
  <c r="F821" i="5"/>
  <c r="E821" i="5"/>
  <c r="T821" i="5" s="1"/>
  <c r="D821" i="5"/>
  <c r="S821" i="5" s="1"/>
  <c r="AB821" i="5" s="1"/>
  <c r="C821" i="5"/>
  <c r="B821" i="5"/>
  <c r="O820" i="5"/>
  <c r="K820" i="5"/>
  <c r="L820" i="5" s="1"/>
  <c r="M820" i="5" s="1"/>
  <c r="N820" i="5" s="1"/>
  <c r="J820" i="5"/>
  <c r="G820" i="5"/>
  <c r="H820" i="5" s="1"/>
  <c r="I820" i="5" s="1"/>
  <c r="F820" i="5"/>
  <c r="E820" i="5"/>
  <c r="V820" i="5" s="1"/>
  <c r="W820" i="5" s="1"/>
  <c r="D820" i="5"/>
  <c r="S820" i="5" s="1"/>
  <c r="AB820" i="5" s="1"/>
  <c r="C820" i="5"/>
  <c r="B820" i="5"/>
  <c r="O819" i="5"/>
  <c r="K819" i="5"/>
  <c r="L819" i="5" s="1"/>
  <c r="M819" i="5" s="1"/>
  <c r="N819" i="5" s="1"/>
  <c r="J819" i="5"/>
  <c r="G819" i="5"/>
  <c r="H819" i="5" s="1"/>
  <c r="I819" i="5" s="1"/>
  <c r="F819" i="5"/>
  <c r="E819" i="5"/>
  <c r="T819" i="5" s="1"/>
  <c r="D819" i="5"/>
  <c r="S819" i="5" s="1"/>
  <c r="AB819" i="5" s="1"/>
  <c r="C819" i="5"/>
  <c r="B819" i="5"/>
  <c r="Z819" i="5" s="1"/>
  <c r="O818" i="5"/>
  <c r="K818" i="5"/>
  <c r="L818" i="5" s="1"/>
  <c r="M818" i="5" s="1"/>
  <c r="N818" i="5" s="1"/>
  <c r="J818" i="5"/>
  <c r="G818" i="5"/>
  <c r="F818" i="5"/>
  <c r="E818" i="5"/>
  <c r="V818" i="5" s="1"/>
  <c r="W818" i="5" s="1"/>
  <c r="D818" i="5"/>
  <c r="S818" i="5" s="1"/>
  <c r="AB818" i="5" s="1"/>
  <c r="C818" i="5"/>
  <c r="B818" i="5"/>
  <c r="Z818" i="5" s="1"/>
  <c r="O817" i="5"/>
  <c r="K817" i="5"/>
  <c r="L817" i="5" s="1"/>
  <c r="M817" i="5" s="1"/>
  <c r="N817" i="5" s="1"/>
  <c r="J817" i="5"/>
  <c r="G817" i="5"/>
  <c r="F817" i="5"/>
  <c r="E817" i="5"/>
  <c r="T817" i="5" s="1"/>
  <c r="D817" i="5"/>
  <c r="S817" i="5" s="1"/>
  <c r="AB817" i="5" s="1"/>
  <c r="C817" i="5"/>
  <c r="B817" i="5"/>
  <c r="Z817" i="5" s="1"/>
  <c r="O816" i="5"/>
  <c r="K816" i="5"/>
  <c r="L816" i="5" s="1"/>
  <c r="M816" i="5" s="1"/>
  <c r="N816" i="5" s="1"/>
  <c r="J816" i="5"/>
  <c r="G816" i="5"/>
  <c r="F816" i="5"/>
  <c r="E816" i="5"/>
  <c r="V816" i="5" s="1"/>
  <c r="W816" i="5" s="1"/>
  <c r="D816" i="5"/>
  <c r="S816" i="5" s="1"/>
  <c r="AB816" i="5" s="1"/>
  <c r="C816" i="5"/>
  <c r="B816" i="5"/>
  <c r="O815" i="5"/>
  <c r="K815" i="5"/>
  <c r="L815" i="5" s="1"/>
  <c r="M815" i="5" s="1"/>
  <c r="N815" i="5" s="1"/>
  <c r="J815" i="5"/>
  <c r="G815" i="5"/>
  <c r="F815" i="5"/>
  <c r="E815" i="5"/>
  <c r="T815" i="5" s="1"/>
  <c r="D815" i="5"/>
  <c r="S815" i="5" s="1"/>
  <c r="AB815" i="5" s="1"/>
  <c r="C815" i="5"/>
  <c r="B815" i="5"/>
  <c r="O814" i="5"/>
  <c r="K814" i="5"/>
  <c r="L814" i="5" s="1"/>
  <c r="M814" i="5" s="1"/>
  <c r="N814" i="5" s="1"/>
  <c r="J814" i="5"/>
  <c r="G814" i="5"/>
  <c r="P814" i="5" s="1"/>
  <c r="F814" i="5"/>
  <c r="E814" i="5"/>
  <c r="T814" i="5" s="1"/>
  <c r="D814" i="5"/>
  <c r="Q814" i="5" s="1"/>
  <c r="C814" i="5"/>
  <c r="B814" i="5"/>
  <c r="Z814" i="5" s="1"/>
  <c r="O813" i="5"/>
  <c r="K813" i="5"/>
  <c r="L813" i="5" s="1"/>
  <c r="M813" i="5" s="1"/>
  <c r="N813" i="5" s="1"/>
  <c r="J813" i="5"/>
  <c r="G813" i="5"/>
  <c r="P813" i="5" s="1"/>
  <c r="F813" i="5"/>
  <c r="E813" i="5"/>
  <c r="T813" i="5" s="1"/>
  <c r="D813" i="5"/>
  <c r="Q813" i="5" s="1"/>
  <c r="C813" i="5"/>
  <c r="B813" i="5"/>
  <c r="O812" i="5"/>
  <c r="K812" i="5"/>
  <c r="L812" i="5" s="1"/>
  <c r="M812" i="5" s="1"/>
  <c r="N812" i="5" s="1"/>
  <c r="J812" i="5"/>
  <c r="G812" i="5"/>
  <c r="H812" i="5" s="1"/>
  <c r="I812" i="5" s="1"/>
  <c r="F812" i="5"/>
  <c r="E812" i="5"/>
  <c r="V812" i="5" s="1"/>
  <c r="W812" i="5" s="1"/>
  <c r="D812" i="5"/>
  <c r="S812" i="5" s="1"/>
  <c r="AB812" i="5" s="1"/>
  <c r="C812" i="5"/>
  <c r="B812" i="5"/>
  <c r="O811" i="5"/>
  <c r="K811" i="5"/>
  <c r="L811" i="5" s="1"/>
  <c r="M811" i="5" s="1"/>
  <c r="N811" i="5" s="1"/>
  <c r="J811" i="5"/>
  <c r="G811" i="5"/>
  <c r="H811" i="5" s="1"/>
  <c r="I811" i="5" s="1"/>
  <c r="F811" i="5"/>
  <c r="E811" i="5"/>
  <c r="T811" i="5" s="1"/>
  <c r="D811" i="5"/>
  <c r="S811" i="5" s="1"/>
  <c r="AB811" i="5" s="1"/>
  <c r="C811" i="5"/>
  <c r="B811" i="5"/>
  <c r="Z811" i="5" s="1"/>
  <c r="O810" i="5"/>
  <c r="K810" i="5"/>
  <c r="L810" i="5" s="1"/>
  <c r="M810" i="5" s="1"/>
  <c r="N810" i="5" s="1"/>
  <c r="J810" i="5"/>
  <c r="G810" i="5"/>
  <c r="H810" i="5" s="1"/>
  <c r="F810" i="5"/>
  <c r="E810" i="5"/>
  <c r="V810" i="5" s="1"/>
  <c r="W810" i="5" s="1"/>
  <c r="D810" i="5"/>
  <c r="S810" i="5" s="1"/>
  <c r="AB810" i="5" s="1"/>
  <c r="C810" i="5"/>
  <c r="B810" i="5"/>
  <c r="Z810" i="5" s="1"/>
  <c r="O809" i="5"/>
  <c r="K809" i="5"/>
  <c r="L809" i="5" s="1"/>
  <c r="M809" i="5" s="1"/>
  <c r="N809" i="5" s="1"/>
  <c r="J809" i="5"/>
  <c r="G809" i="5"/>
  <c r="F809" i="5"/>
  <c r="E809" i="5"/>
  <c r="T809" i="5" s="1"/>
  <c r="D809" i="5"/>
  <c r="S809" i="5" s="1"/>
  <c r="AB809" i="5" s="1"/>
  <c r="C809" i="5"/>
  <c r="B809" i="5"/>
  <c r="Z809" i="5" s="1"/>
  <c r="O808" i="5"/>
  <c r="K808" i="5"/>
  <c r="L808" i="5" s="1"/>
  <c r="M808" i="5" s="1"/>
  <c r="N808" i="5" s="1"/>
  <c r="J808" i="5"/>
  <c r="G808" i="5"/>
  <c r="H808" i="5" s="1"/>
  <c r="F808" i="5"/>
  <c r="E808" i="5"/>
  <c r="V808" i="5" s="1"/>
  <c r="W808" i="5" s="1"/>
  <c r="D808" i="5"/>
  <c r="S808" i="5" s="1"/>
  <c r="AB808" i="5" s="1"/>
  <c r="C808" i="5"/>
  <c r="B808" i="5"/>
  <c r="O807" i="5"/>
  <c r="K807" i="5"/>
  <c r="L807" i="5" s="1"/>
  <c r="M807" i="5" s="1"/>
  <c r="N807" i="5" s="1"/>
  <c r="J807" i="5"/>
  <c r="G807" i="5"/>
  <c r="H807" i="5" s="1"/>
  <c r="I807" i="5" s="1"/>
  <c r="F807" i="5"/>
  <c r="E807" i="5"/>
  <c r="T807" i="5" s="1"/>
  <c r="D807" i="5"/>
  <c r="S807" i="5" s="1"/>
  <c r="AB807" i="5" s="1"/>
  <c r="C807" i="5"/>
  <c r="B807" i="5"/>
  <c r="O806" i="5"/>
  <c r="K806" i="5"/>
  <c r="L806" i="5" s="1"/>
  <c r="M806" i="5" s="1"/>
  <c r="N806" i="5" s="1"/>
  <c r="J806" i="5"/>
  <c r="G806" i="5"/>
  <c r="F806" i="5"/>
  <c r="E806" i="5"/>
  <c r="T806" i="5" s="1"/>
  <c r="D806" i="5"/>
  <c r="S806" i="5" s="1"/>
  <c r="AB806" i="5" s="1"/>
  <c r="C806" i="5"/>
  <c r="B806" i="5"/>
  <c r="Z806" i="5" s="1"/>
  <c r="O805" i="5"/>
  <c r="K805" i="5"/>
  <c r="L805" i="5" s="1"/>
  <c r="M805" i="5" s="1"/>
  <c r="N805" i="5" s="1"/>
  <c r="J805" i="5"/>
  <c r="G805" i="5"/>
  <c r="P805" i="5" s="1"/>
  <c r="F805" i="5"/>
  <c r="E805" i="5"/>
  <c r="T805" i="5" s="1"/>
  <c r="D805" i="5"/>
  <c r="Q805" i="5" s="1"/>
  <c r="C805" i="5"/>
  <c r="B805" i="5"/>
  <c r="O804" i="5"/>
  <c r="K804" i="5"/>
  <c r="L804" i="5" s="1"/>
  <c r="M804" i="5" s="1"/>
  <c r="N804" i="5" s="1"/>
  <c r="J804" i="5"/>
  <c r="G804" i="5"/>
  <c r="H804" i="5" s="1"/>
  <c r="I804" i="5" s="1"/>
  <c r="F804" i="5"/>
  <c r="E804" i="5"/>
  <c r="V804" i="5" s="1"/>
  <c r="W804" i="5" s="1"/>
  <c r="D804" i="5"/>
  <c r="C804" i="5"/>
  <c r="B804" i="5"/>
  <c r="Z804" i="5" s="1"/>
  <c r="O803" i="5"/>
  <c r="K803" i="5"/>
  <c r="L803" i="5" s="1"/>
  <c r="M803" i="5" s="1"/>
  <c r="N803" i="5" s="1"/>
  <c r="J803" i="5"/>
  <c r="G803" i="5"/>
  <c r="H803" i="5" s="1"/>
  <c r="I803" i="5" s="1"/>
  <c r="F803" i="5"/>
  <c r="E803" i="5"/>
  <c r="T803" i="5" s="1"/>
  <c r="D803" i="5"/>
  <c r="S803" i="5" s="1"/>
  <c r="AB803" i="5" s="1"/>
  <c r="C803" i="5"/>
  <c r="B803" i="5"/>
  <c r="Z803" i="5" s="1"/>
  <c r="O802" i="5"/>
  <c r="K802" i="5"/>
  <c r="L802" i="5" s="1"/>
  <c r="M802" i="5" s="1"/>
  <c r="N802" i="5" s="1"/>
  <c r="J802" i="5"/>
  <c r="G802" i="5"/>
  <c r="H802" i="5" s="1"/>
  <c r="F802" i="5"/>
  <c r="E802" i="5"/>
  <c r="V802" i="5" s="1"/>
  <c r="W802" i="5" s="1"/>
  <c r="D802" i="5"/>
  <c r="S802" i="5" s="1"/>
  <c r="AB802" i="5" s="1"/>
  <c r="C802" i="5"/>
  <c r="B802" i="5"/>
  <c r="Z802" i="5" s="1"/>
  <c r="O801" i="5"/>
  <c r="K801" i="5"/>
  <c r="L801" i="5" s="1"/>
  <c r="M801" i="5" s="1"/>
  <c r="N801" i="5" s="1"/>
  <c r="J801" i="5"/>
  <c r="G801" i="5"/>
  <c r="F801" i="5"/>
  <c r="E801" i="5"/>
  <c r="T801" i="5" s="1"/>
  <c r="D801" i="5"/>
  <c r="S801" i="5" s="1"/>
  <c r="AB801" i="5" s="1"/>
  <c r="C801" i="5"/>
  <c r="B801" i="5"/>
  <c r="Z801" i="5" s="1"/>
  <c r="O800" i="5"/>
  <c r="K800" i="5"/>
  <c r="L800" i="5" s="1"/>
  <c r="M800" i="5" s="1"/>
  <c r="N800" i="5" s="1"/>
  <c r="J800" i="5"/>
  <c r="G800" i="5"/>
  <c r="P800" i="5" s="1"/>
  <c r="F800" i="5"/>
  <c r="E800" i="5"/>
  <c r="V800" i="5" s="1"/>
  <c r="W800" i="5" s="1"/>
  <c r="D800" i="5"/>
  <c r="S800" i="5" s="1"/>
  <c r="AB800" i="5" s="1"/>
  <c r="C800" i="5"/>
  <c r="B800" i="5"/>
  <c r="O799" i="5"/>
  <c r="K799" i="5"/>
  <c r="L799" i="5" s="1"/>
  <c r="M799" i="5" s="1"/>
  <c r="N799" i="5" s="1"/>
  <c r="J799" i="5"/>
  <c r="G799" i="5"/>
  <c r="F799" i="5"/>
  <c r="E799" i="5"/>
  <c r="T799" i="5" s="1"/>
  <c r="D799" i="5"/>
  <c r="S799" i="5" s="1"/>
  <c r="AB799" i="5" s="1"/>
  <c r="C799" i="5"/>
  <c r="B799" i="5"/>
  <c r="O798" i="5"/>
  <c r="K798" i="5"/>
  <c r="L798" i="5" s="1"/>
  <c r="M798" i="5" s="1"/>
  <c r="N798" i="5" s="1"/>
  <c r="J798" i="5"/>
  <c r="G798" i="5"/>
  <c r="F798" i="5"/>
  <c r="E798" i="5"/>
  <c r="T798" i="5" s="1"/>
  <c r="D798" i="5"/>
  <c r="S798" i="5" s="1"/>
  <c r="AB798" i="5" s="1"/>
  <c r="C798" i="5"/>
  <c r="B798" i="5"/>
  <c r="Z798" i="5" s="1"/>
  <c r="O797" i="5"/>
  <c r="K797" i="5"/>
  <c r="L797" i="5" s="1"/>
  <c r="M797" i="5" s="1"/>
  <c r="N797" i="5" s="1"/>
  <c r="J797" i="5"/>
  <c r="G797" i="5"/>
  <c r="P797" i="5" s="1"/>
  <c r="F797" i="5"/>
  <c r="E797" i="5"/>
  <c r="T797" i="5" s="1"/>
  <c r="D797" i="5"/>
  <c r="S797" i="5" s="1"/>
  <c r="AB797" i="5" s="1"/>
  <c r="C797" i="5"/>
  <c r="B797" i="5"/>
  <c r="O796" i="5"/>
  <c r="K796" i="5"/>
  <c r="L796" i="5" s="1"/>
  <c r="M796" i="5" s="1"/>
  <c r="N796" i="5" s="1"/>
  <c r="J796" i="5"/>
  <c r="G796" i="5"/>
  <c r="P796" i="5" s="1"/>
  <c r="F796" i="5"/>
  <c r="E796" i="5"/>
  <c r="V796" i="5" s="1"/>
  <c r="W796" i="5" s="1"/>
  <c r="D796" i="5"/>
  <c r="C796" i="5"/>
  <c r="B796" i="5"/>
  <c r="O795" i="5"/>
  <c r="K795" i="5"/>
  <c r="L795" i="5" s="1"/>
  <c r="M795" i="5" s="1"/>
  <c r="N795" i="5" s="1"/>
  <c r="J795" i="5"/>
  <c r="G795" i="5"/>
  <c r="H795" i="5" s="1"/>
  <c r="I795" i="5" s="1"/>
  <c r="F795" i="5"/>
  <c r="E795" i="5"/>
  <c r="T795" i="5" s="1"/>
  <c r="D795" i="5"/>
  <c r="Q795" i="5" s="1"/>
  <c r="C795" i="5"/>
  <c r="B795" i="5"/>
  <c r="Z795" i="5" s="1"/>
  <c r="O794" i="5"/>
  <c r="K794" i="5"/>
  <c r="L794" i="5" s="1"/>
  <c r="M794" i="5" s="1"/>
  <c r="N794" i="5" s="1"/>
  <c r="J794" i="5"/>
  <c r="G794" i="5"/>
  <c r="F794" i="5"/>
  <c r="E794" i="5"/>
  <c r="V794" i="5" s="1"/>
  <c r="W794" i="5" s="1"/>
  <c r="D794" i="5"/>
  <c r="S794" i="5" s="1"/>
  <c r="AB794" i="5" s="1"/>
  <c r="C794" i="5"/>
  <c r="B794" i="5"/>
  <c r="Z794" i="5" s="1"/>
  <c r="O793" i="5"/>
  <c r="K793" i="5"/>
  <c r="L793" i="5" s="1"/>
  <c r="M793" i="5" s="1"/>
  <c r="N793" i="5" s="1"/>
  <c r="J793" i="5"/>
  <c r="G793" i="5"/>
  <c r="F793" i="5"/>
  <c r="E793" i="5"/>
  <c r="T793" i="5" s="1"/>
  <c r="D793" i="5"/>
  <c r="S793" i="5" s="1"/>
  <c r="AB793" i="5" s="1"/>
  <c r="C793" i="5"/>
  <c r="B793" i="5"/>
  <c r="Z793" i="5" s="1"/>
  <c r="O792" i="5"/>
  <c r="K792" i="5"/>
  <c r="L792" i="5" s="1"/>
  <c r="M792" i="5" s="1"/>
  <c r="N792" i="5" s="1"/>
  <c r="J792" i="5"/>
  <c r="G792" i="5"/>
  <c r="H792" i="5" s="1"/>
  <c r="F792" i="5"/>
  <c r="E792" i="5"/>
  <c r="V792" i="5" s="1"/>
  <c r="W792" i="5" s="1"/>
  <c r="D792" i="5"/>
  <c r="S792" i="5" s="1"/>
  <c r="AB792" i="5" s="1"/>
  <c r="C792" i="5"/>
  <c r="B792" i="5"/>
  <c r="O791" i="5"/>
  <c r="K791" i="5"/>
  <c r="L791" i="5" s="1"/>
  <c r="M791" i="5" s="1"/>
  <c r="N791" i="5" s="1"/>
  <c r="J791" i="5"/>
  <c r="G791" i="5"/>
  <c r="P791" i="5" s="1"/>
  <c r="F791" i="5"/>
  <c r="E791" i="5"/>
  <c r="T791" i="5" s="1"/>
  <c r="D791" i="5"/>
  <c r="S791" i="5" s="1"/>
  <c r="AB791" i="5" s="1"/>
  <c r="C791" i="5"/>
  <c r="B791" i="5"/>
  <c r="O790" i="5"/>
  <c r="K790" i="5"/>
  <c r="L790" i="5" s="1"/>
  <c r="M790" i="5" s="1"/>
  <c r="N790" i="5" s="1"/>
  <c r="J790" i="5"/>
  <c r="G790" i="5"/>
  <c r="H790" i="5" s="1"/>
  <c r="I790" i="5" s="1"/>
  <c r="F790" i="5"/>
  <c r="E790" i="5"/>
  <c r="T790" i="5" s="1"/>
  <c r="D790" i="5"/>
  <c r="S790" i="5" s="1"/>
  <c r="AB790" i="5" s="1"/>
  <c r="C790" i="5"/>
  <c r="B790" i="5"/>
  <c r="AA790" i="5" s="1"/>
  <c r="O789" i="5"/>
  <c r="K789" i="5"/>
  <c r="L789" i="5" s="1"/>
  <c r="M789" i="5" s="1"/>
  <c r="N789" i="5" s="1"/>
  <c r="J789" i="5"/>
  <c r="G789" i="5"/>
  <c r="F789" i="5"/>
  <c r="E789" i="5"/>
  <c r="T789" i="5" s="1"/>
  <c r="D789" i="5"/>
  <c r="S789" i="5" s="1"/>
  <c r="AB789" i="5" s="1"/>
  <c r="C789" i="5"/>
  <c r="B789" i="5"/>
  <c r="O788" i="5"/>
  <c r="K788" i="5"/>
  <c r="L788" i="5" s="1"/>
  <c r="M788" i="5" s="1"/>
  <c r="N788" i="5" s="1"/>
  <c r="J788" i="5"/>
  <c r="G788" i="5"/>
  <c r="H788" i="5" s="1"/>
  <c r="I788" i="5" s="1"/>
  <c r="F788" i="5"/>
  <c r="E788" i="5"/>
  <c r="V788" i="5" s="1"/>
  <c r="W788" i="5" s="1"/>
  <c r="D788" i="5"/>
  <c r="S788" i="5" s="1"/>
  <c r="AB788" i="5" s="1"/>
  <c r="C788" i="5"/>
  <c r="B788" i="5"/>
  <c r="O787" i="5"/>
  <c r="K787" i="5"/>
  <c r="L787" i="5" s="1"/>
  <c r="M787" i="5" s="1"/>
  <c r="N787" i="5" s="1"/>
  <c r="J787" i="5"/>
  <c r="G787" i="5"/>
  <c r="F787" i="5"/>
  <c r="E787" i="5"/>
  <c r="T787" i="5" s="1"/>
  <c r="D787" i="5"/>
  <c r="Q787" i="5" s="1"/>
  <c r="C787" i="5"/>
  <c r="B787" i="5"/>
  <c r="Z787" i="5" s="1"/>
  <c r="O786" i="5"/>
  <c r="K786" i="5"/>
  <c r="L786" i="5" s="1"/>
  <c r="M786" i="5" s="1"/>
  <c r="N786" i="5" s="1"/>
  <c r="J786" i="5"/>
  <c r="G786" i="5"/>
  <c r="P786" i="5" s="1"/>
  <c r="F786" i="5"/>
  <c r="E786" i="5"/>
  <c r="V786" i="5" s="1"/>
  <c r="W786" i="5" s="1"/>
  <c r="D786" i="5"/>
  <c r="Q786" i="5" s="1"/>
  <c r="C786" i="5"/>
  <c r="B786" i="5"/>
  <c r="Z786" i="5" s="1"/>
  <c r="O785" i="5"/>
  <c r="K785" i="5"/>
  <c r="L785" i="5" s="1"/>
  <c r="M785" i="5" s="1"/>
  <c r="N785" i="5" s="1"/>
  <c r="J785" i="5"/>
  <c r="G785" i="5"/>
  <c r="H785" i="5" s="1"/>
  <c r="I785" i="5" s="1"/>
  <c r="F785" i="5"/>
  <c r="E785" i="5"/>
  <c r="T785" i="5" s="1"/>
  <c r="D785" i="5"/>
  <c r="S785" i="5" s="1"/>
  <c r="AB785" i="5" s="1"/>
  <c r="C785" i="5"/>
  <c r="B785" i="5"/>
  <c r="Z785" i="5" s="1"/>
  <c r="O784" i="5"/>
  <c r="K784" i="5"/>
  <c r="L784" i="5" s="1"/>
  <c r="M784" i="5" s="1"/>
  <c r="N784" i="5" s="1"/>
  <c r="J784" i="5"/>
  <c r="G784" i="5"/>
  <c r="P784" i="5" s="1"/>
  <c r="F784" i="5"/>
  <c r="E784" i="5"/>
  <c r="V784" i="5" s="1"/>
  <c r="W784" i="5" s="1"/>
  <c r="D784" i="5"/>
  <c r="S784" i="5" s="1"/>
  <c r="AB784" i="5" s="1"/>
  <c r="C784" i="5"/>
  <c r="B784" i="5"/>
  <c r="O783" i="5"/>
  <c r="K783" i="5"/>
  <c r="L783" i="5" s="1"/>
  <c r="M783" i="5" s="1"/>
  <c r="N783" i="5" s="1"/>
  <c r="J783" i="5"/>
  <c r="G783" i="5"/>
  <c r="H783" i="5" s="1"/>
  <c r="I783" i="5" s="1"/>
  <c r="F783" i="5"/>
  <c r="E783" i="5"/>
  <c r="T783" i="5" s="1"/>
  <c r="D783" i="5"/>
  <c r="S783" i="5" s="1"/>
  <c r="AB783" i="5" s="1"/>
  <c r="C783" i="5"/>
  <c r="B783" i="5"/>
  <c r="O782" i="5"/>
  <c r="K782" i="5"/>
  <c r="L782" i="5" s="1"/>
  <c r="M782" i="5" s="1"/>
  <c r="N782" i="5" s="1"/>
  <c r="J782" i="5"/>
  <c r="G782" i="5"/>
  <c r="P782" i="5" s="1"/>
  <c r="F782" i="5"/>
  <c r="E782" i="5"/>
  <c r="T782" i="5" s="1"/>
  <c r="D782" i="5"/>
  <c r="S782" i="5" s="1"/>
  <c r="AB782" i="5" s="1"/>
  <c r="C782" i="5"/>
  <c r="B782" i="5"/>
  <c r="Z782" i="5" s="1"/>
  <c r="O781" i="5"/>
  <c r="K781" i="5"/>
  <c r="L781" i="5" s="1"/>
  <c r="M781" i="5" s="1"/>
  <c r="N781" i="5" s="1"/>
  <c r="J781" i="5"/>
  <c r="G781" i="5"/>
  <c r="P781" i="5" s="1"/>
  <c r="F781" i="5"/>
  <c r="E781" i="5"/>
  <c r="T781" i="5" s="1"/>
  <c r="D781" i="5"/>
  <c r="S781" i="5" s="1"/>
  <c r="AB781" i="5" s="1"/>
  <c r="C781" i="5"/>
  <c r="B781" i="5"/>
  <c r="O780" i="5"/>
  <c r="K780" i="5"/>
  <c r="L780" i="5" s="1"/>
  <c r="M780" i="5" s="1"/>
  <c r="N780" i="5" s="1"/>
  <c r="J780" i="5"/>
  <c r="G780" i="5"/>
  <c r="F780" i="5"/>
  <c r="E780" i="5"/>
  <c r="V780" i="5" s="1"/>
  <c r="W780" i="5" s="1"/>
  <c r="D780" i="5"/>
  <c r="S780" i="5" s="1"/>
  <c r="AB780" i="5" s="1"/>
  <c r="C780" i="5"/>
  <c r="B780" i="5"/>
  <c r="O779" i="5"/>
  <c r="K779" i="5"/>
  <c r="L779" i="5" s="1"/>
  <c r="M779" i="5" s="1"/>
  <c r="N779" i="5" s="1"/>
  <c r="J779" i="5"/>
  <c r="G779" i="5"/>
  <c r="H779" i="5" s="1"/>
  <c r="I779" i="5" s="1"/>
  <c r="F779" i="5"/>
  <c r="E779" i="5"/>
  <c r="T779" i="5" s="1"/>
  <c r="D779" i="5"/>
  <c r="S779" i="5" s="1"/>
  <c r="AB779" i="5" s="1"/>
  <c r="C779" i="5"/>
  <c r="B779" i="5"/>
  <c r="Z779" i="5" s="1"/>
  <c r="O778" i="5"/>
  <c r="K778" i="5"/>
  <c r="L778" i="5" s="1"/>
  <c r="M778" i="5" s="1"/>
  <c r="N778" i="5" s="1"/>
  <c r="J778" i="5"/>
  <c r="G778" i="5"/>
  <c r="P778" i="5" s="1"/>
  <c r="F778" i="5"/>
  <c r="E778" i="5"/>
  <c r="V778" i="5" s="1"/>
  <c r="W778" i="5" s="1"/>
  <c r="D778" i="5"/>
  <c r="Q778" i="5" s="1"/>
  <c r="C778" i="5"/>
  <c r="B778" i="5"/>
  <c r="Z778" i="5" s="1"/>
  <c r="O777" i="5"/>
  <c r="K777" i="5"/>
  <c r="L777" i="5" s="1"/>
  <c r="M777" i="5" s="1"/>
  <c r="N777" i="5" s="1"/>
  <c r="J777" i="5"/>
  <c r="G777" i="5"/>
  <c r="F777" i="5"/>
  <c r="E777" i="5"/>
  <c r="T777" i="5" s="1"/>
  <c r="D777" i="5"/>
  <c r="Q777" i="5" s="1"/>
  <c r="C777" i="5"/>
  <c r="B777" i="5"/>
  <c r="Z777" i="5" s="1"/>
  <c r="O776" i="5"/>
  <c r="K776" i="5"/>
  <c r="L776" i="5" s="1"/>
  <c r="M776" i="5" s="1"/>
  <c r="N776" i="5" s="1"/>
  <c r="J776" i="5"/>
  <c r="G776" i="5"/>
  <c r="P776" i="5" s="1"/>
  <c r="F776" i="5"/>
  <c r="E776" i="5"/>
  <c r="V776" i="5" s="1"/>
  <c r="W776" i="5" s="1"/>
  <c r="D776" i="5"/>
  <c r="S776" i="5" s="1"/>
  <c r="AB776" i="5" s="1"/>
  <c r="C776" i="5"/>
  <c r="B776" i="5"/>
  <c r="O775" i="5"/>
  <c r="K775" i="5"/>
  <c r="L775" i="5" s="1"/>
  <c r="M775" i="5" s="1"/>
  <c r="N775" i="5" s="1"/>
  <c r="J775" i="5"/>
  <c r="G775" i="5"/>
  <c r="F775" i="5"/>
  <c r="E775" i="5"/>
  <c r="T775" i="5" s="1"/>
  <c r="D775" i="5"/>
  <c r="S775" i="5" s="1"/>
  <c r="AB775" i="5" s="1"/>
  <c r="C775" i="5"/>
  <c r="B775" i="5"/>
  <c r="O774" i="5"/>
  <c r="K774" i="5"/>
  <c r="L774" i="5" s="1"/>
  <c r="M774" i="5" s="1"/>
  <c r="N774" i="5" s="1"/>
  <c r="J774" i="5"/>
  <c r="G774" i="5"/>
  <c r="H774" i="5" s="1"/>
  <c r="I774" i="5" s="1"/>
  <c r="F774" i="5"/>
  <c r="E774" i="5"/>
  <c r="T774" i="5" s="1"/>
  <c r="D774" i="5"/>
  <c r="S774" i="5" s="1"/>
  <c r="AB774" i="5" s="1"/>
  <c r="C774" i="5"/>
  <c r="B774" i="5"/>
  <c r="Z774" i="5" s="1"/>
  <c r="O773" i="5"/>
  <c r="K773" i="5"/>
  <c r="L773" i="5" s="1"/>
  <c r="M773" i="5" s="1"/>
  <c r="N773" i="5" s="1"/>
  <c r="J773" i="5"/>
  <c r="G773" i="5"/>
  <c r="P773" i="5" s="1"/>
  <c r="F773" i="5"/>
  <c r="E773" i="5"/>
  <c r="T773" i="5" s="1"/>
  <c r="D773" i="5"/>
  <c r="S773" i="5" s="1"/>
  <c r="AB773" i="5" s="1"/>
  <c r="C773" i="5"/>
  <c r="B773" i="5"/>
  <c r="O772" i="5"/>
  <c r="K772" i="5"/>
  <c r="L772" i="5" s="1"/>
  <c r="M772" i="5" s="1"/>
  <c r="N772" i="5" s="1"/>
  <c r="J772" i="5"/>
  <c r="G772" i="5"/>
  <c r="F772" i="5"/>
  <c r="E772" i="5"/>
  <c r="V772" i="5" s="1"/>
  <c r="W772" i="5" s="1"/>
  <c r="D772" i="5"/>
  <c r="S772" i="5" s="1"/>
  <c r="AB772" i="5" s="1"/>
  <c r="C772" i="5"/>
  <c r="B772" i="5"/>
  <c r="O771" i="5"/>
  <c r="K771" i="5"/>
  <c r="L771" i="5" s="1"/>
  <c r="M771" i="5" s="1"/>
  <c r="N771" i="5" s="1"/>
  <c r="J771" i="5"/>
  <c r="G771" i="5"/>
  <c r="P771" i="5" s="1"/>
  <c r="F771" i="5"/>
  <c r="E771" i="5"/>
  <c r="T771" i="5" s="1"/>
  <c r="D771" i="5"/>
  <c r="S771" i="5" s="1"/>
  <c r="AB771" i="5" s="1"/>
  <c r="C771" i="5"/>
  <c r="B771" i="5"/>
  <c r="Z771" i="5" s="1"/>
  <c r="O770" i="5"/>
  <c r="K770" i="5"/>
  <c r="L770" i="5" s="1"/>
  <c r="M770" i="5" s="1"/>
  <c r="N770" i="5" s="1"/>
  <c r="J770" i="5"/>
  <c r="G770" i="5"/>
  <c r="P770" i="5" s="1"/>
  <c r="F770" i="5"/>
  <c r="E770" i="5"/>
  <c r="V770" i="5" s="1"/>
  <c r="W770" i="5" s="1"/>
  <c r="D770" i="5"/>
  <c r="S770" i="5" s="1"/>
  <c r="AB770" i="5" s="1"/>
  <c r="C770" i="5"/>
  <c r="B770" i="5"/>
  <c r="Z770" i="5" s="1"/>
  <c r="O769" i="5"/>
  <c r="K769" i="5"/>
  <c r="L769" i="5" s="1"/>
  <c r="M769" i="5" s="1"/>
  <c r="N769" i="5" s="1"/>
  <c r="J769" i="5"/>
  <c r="G769" i="5"/>
  <c r="F769" i="5"/>
  <c r="E769" i="5"/>
  <c r="T769" i="5" s="1"/>
  <c r="D769" i="5"/>
  <c r="Q769" i="5" s="1"/>
  <c r="C769" i="5"/>
  <c r="B769" i="5"/>
  <c r="Z769" i="5" s="1"/>
  <c r="O768" i="5"/>
  <c r="K768" i="5"/>
  <c r="L768" i="5" s="1"/>
  <c r="M768" i="5" s="1"/>
  <c r="N768" i="5" s="1"/>
  <c r="J768" i="5"/>
  <c r="G768" i="5"/>
  <c r="P768" i="5" s="1"/>
  <c r="F768" i="5"/>
  <c r="E768" i="5"/>
  <c r="V768" i="5" s="1"/>
  <c r="W768" i="5" s="1"/>
  <c r="D768" i="5"/>
  <c r="S768" i="5" s="1"/>
  <c r="AB768" i="5" s="1"/>
  <c r="C768" i="5"/>
  <c r="B768" i="5"/>
  <c r="O767" i="5"/>
  <c r="K767" i="5"/>
  <c r="L767" i="5" s="1"/>
  <c r="M767" i="5" s="1"/>
  <c r="N767" i="5" s="1"/>
  <c r="J767" i="5"/>
  <c r="G767" i="5"/>
  <c r="F767" i="5"/>
  <c r="E767" i="5"/>
  <c r="T767" i="5" s="1"/>
  <c r="D767" i="5"/>
  <c r="Q767" i="5" s="1"/>
  <c r="C767" i="5"/>
  <c r="B767" i="5"/>
  <c r="O766" i="5"/>
  <c r="K766" i="5"/>
  <c r="L766" i="5" s="1"/>
  <c r="M766" i="5" s="1"/>
  <c r="N766" i="5" s="1"/>
  <c r="J766" i="5"/>
  <c r="G766" i="5"/>
  <c r="H766" i="5" s="1"/>
  <c r="I766" i="5" s="1"/>
  <c r="F766" i="5"/>
  <c r="E766" i="5"/>
  <c r="T766" i="5" s="1"/>
  <c r="D766" i="5"/>
  <c r="S766" i="5" s="1"/>
  <c r="AB766" i="5" s="1"/>
  <c r="C766" i="5"/>
  <c r="B766" i="5"/>
  <c r="Z766" i="5" s="1"/>
  <c r="O765" i="5"/>
  <c r="K765" i="5"/>
  <c r="L765" i="5" s="1"/>
  <c r="M765" i="5" s="1"/>
  <c r="N765" i="5" s="1"/>
  <c r="J765" i="5"/>
  <c r="G765" i="5"/>
  <c r="P765" i="5" s="1"/>
  <c r="F765" i="5"/>
  <c r="E765" i="5"/>
  <c r="T765" i="5" s="1"/>
  <c r="D765" i="5"/>
  <c r="S765" i="5" s="1"/>
  <c r="AB765" i="5" s="1"/>
  <c r="C765" i="5"/>
  <c r="B765" i="5"/>
  <c r="O764" i="5"/>
  <c r="K764" i="5"/>
  <c r="L764" i="5" s="1"/>
  <c r="M764" i="5" s="1"/>
  <c r="N764" i="5" s="1"/>
  <c r="J764" i="5"/>
  <c r="G764" i="5"/>
  <c r="F764" i="5"/>
  <c r="E764" i="5"/>
  <c r="V764" i="5" s="1"/>
  <c r="W764" i="5" s="1"/>
  <c r="D764" i="5"/>
  <c r="S764" i="5" s="1"/>
  <c r="AB764" i="5" s="1"/>
  <c r="C764" i="5"/>
  <c r="B764" i="5"/>
  <c r="O763" i="5"/>
  <c r="K763" i="5"/>
  <c r="L763" i="5" s="1"/>
  <c r="M763" i="5" s="1"/>
  <c r="N763" i="5" s="1"/>
  <c r="J763" i="5"/>
  <c r="G763" i="5"/>
  <c r="H763" i="5" s="1"/>
  <c r="I763" i="5" s="1"/>
  <c r="F763" i="5"/>
  <c r="E763" i="5"/>
  <c r="T763" i="5" s="1"/>
  <c r="D763" i="5"/>
  <c r="S763" i="5" s="1"/>
  <c r="AB763" i="5" s="1"/>
  <c r="C763" i="5"/>
  <c r="B763" i="5"/>
  <c r="Z763" i="5" s="1"/>
  <c r="O762" i="5"/>
  <c r="K762" i="5"/>
  <c r="L762" i="5" s="1"/>
  <c r="M762" i="5" s="1"/>
  <c r="N762" i="5" s="1"/>
  <c r="J762" i="5"/>
  <c r="G762" i="5"/>
  <c r="P762" i="5" s="1"/>
  <c r="F762" i="5"/>
  <c r="E762" i="5"/>
  <c r="V762" i="5" s="1"/>
  <c r="W762" i="5" s="1"/>
  <c r="D762" i="5"/>
  <c r="S762" i="5" s="1"/>
  <c r="AB762" i="5" s="1"/>
  <c r="C762" i="5"/>
  <c r="B762" i="5"/>
  <c r="Z762" i="5" s="1"/>
  <c r="O761" i="5"/>
  <c r="K761" i="5"/>
  <c r="L761" i="5" s="1"/>
  <c r="M761" i="5" s="1"/>
  <c r="N761" i="5" s="1"/>
  <c r="J761" i="5"/>
  <c r="G761" i="5"/>
  <c r="P761" i="5" s="1"/>
  <c r="F761" i="5"/>
  <c r="E761" i="5"/>
  <c r="T761" i="5" s="1"/>
  <c r="D761" i="5"/>
  <c r="S761" i="5" s="1"/>
  <c r="AB761" i="5" s="1"/>
  <c r="C761" i="5"/>
  <c r="B761" i="5"/>
  <c r="Z761" i="5" s="1"/>
  <c r="O760" i="5"/>
  <c r="K760" i="5"/>
  <c r="L760" i="5" s="1"/>
  <c r="M760" i="5" s="1"/>
  <c r="N760" i="5" s="1"/>
  <c r="J760" i="5"/>
  <c r="G760" i="5"/>
  <c r="P760" i="5" s="1"/>
  <c r="F760" i="5"/>
  <c r="E760" i="5"/>
  <c r="V760" i="5" s="1"/>
  <c r="W760" i="5" s="1"/>
  <c r="D760" i="5"/>
  <c r="S760" i="5" s="1"/>
  <c r="AB760" i="5" s="1"/>
  <c r="C760" i="5"/>
  <c r="B760" i="5"/>
  <c r="O759" i="5"/>
  <c r="K759" i="5"/>
  <c r="L759" i="5" s="1"/>
  <c r="M759" i="5" s="1"/>
  <c r="N759" i="5" s="1"/>
  <c r="J759" i="5"/>
  <c r="G759" i="5"/>
  <c r="H759" i="5" s="1"/>
  <c r="I759" i="5" s="1"/>
  <c r="F759" i="5"/>
  <c r="E759" i="5"/>
  <c r="T759" i="5" s="1"/>
  <c r="D759" i="5"/>
  <c r="Q759" i="5" s="1"/>
  <c r="C759" i="5"/>
  <c r="B759" i="5"/>
  <c r="O758" i="5"/>
  <c r="K758" i="5"/>
  <c r="L758" i="5" s="1"/>
  <c r="M758" i="5" s="1"/>
  <c r="N758" i="5" s="1"/>
  <c r="J758" i="5"/>
  <c r="G758" i="5"/>
  <c r="P758" i="5" s="1"/>
  <c r="F758" i="5"/>
  <c r="E758" i="5"/>
  <c r="T758" i="5" s="1"/>
  <c r="D758" i="5"/>
  <c r="Q758" i="5" s="1"/>
  <c r="C758" i="5"/>
  <c r="B758" i="5"/>
  <c r="Z758" i="5" s="1"/>
  <c r="O757" i="5"/>
  <c r="K757" i="5"/>
  <c r="L757" i="5" s="1"/>
  <c r="M757" i="5" s="1"/>
  <c r="N757" i="5" s="1"/>
  <c r="J757" i="5"/>
  <c r="G757" i="5"/>
  <c r="H757" i="5" s="1"/>
  <c r="I757" i="5" s="1"/>
  <c r="F757" i="5"/>
  <c r="E757" i="5"/>
  <c r="T757" i="5" s="1"/>
  <c r="D757" i="5"/>
  <c r="S757" i="5" s="1"/>
  <c r="AB757" i="5" s="1"/>
  <c r="C757" i="5"/>
  <c r="B757" i="5"/>
  <c r="O756" i="5"/>
  <c r="K756" i="5"/>
  <c r="L756" i="5" s="1"/>
  <c r="M756" i="5" s="1"/>
  <c r="N756" i="5" s="1"/>
  <c r="J756" i="5"/>
  <c r="G756" i="5"/>
  <c r="F756" i="5"/>
  <c r="E756" i="5"/>
  <c r="V756" i="5" s="1"/>
  <c r="W756" i="5" s="1"/>
  <c r="D756" i="5"/>
  <c r="S756" i="5" s="1"/>
  <c r="AB756" i="5" s="1"/>
  <c r="C756" i="5"/>
  <c r="B756" i="5"/>
  <c r="O755" i="5"/>
  <c r="K755" i="5"/>
  <c r="L755" i="5" s="1"/>
  <c r="M755" i="5" s="1"/>
  <c r="N755" i="5" s="1"/>
  <c r="J755" i="5"/>
  <c r="G755" i="5"/>
  <c r="P755" i="5" s="1"/>
  <c r="F755" i="5"/>
  <c r="E755" i="5"/>
  <c r="T755" i="5" s="1"/>
  <c r="D755" i="5"/>
  <c r="S755" i="5" s="1"/>
  <c r="AB755" i="5" s="1"/>
  <c r="C755" i="5"/>
  <c r="B755" i="5"/>
  <c r="Z755" i="5" s="1"/>
  <c r="O754" i="5"/>
  <c r="K754" i="5"/>
  <c r="L754" i="5" s="1"/>
  <c r="M754" i="5" s="1"/>
  <c r="N754" i="5" s="1"/>
  <c r="J754" i="5"/>
  <c r="G754" i="5"/>
  <c r="P754" i="5" s="1"/>
  <c r="F754" i="5"/>
  <c r="E754" i="5"/>
  <c r="V754" i="5" s="1"/>
  <c r="W754" i="5" s="1"/>
  <c r="D754" i="5"/>
  <c r="S754" i="5" s="1"/>
  <c r="AB754" i="5" s="1"/>
  <c r="C754" i="5"/>
  <c r="B754" i="5"/>
  <c r="Z754" i="5" s="1"/>
  <c r="O753" i="5"/>
  <c r="K753" i="5"/>
  <c r="L753" i="5" s="1"/>
  <c r="M753" i="5" s="1"/>
  <c r="N753" i="5" s="1"/>
  <c r="J753" i="5"/>
  <c r="G753" i="5"/>
  <c r="H753" i="5" s="1"/>
  <c r="I753" i="5" s="1"/>
  <c r="F753" i="5"/>
  <c r="E753" i="5"/>
  <c r="T753" i="5" s="1"/>
  <c r="D753" i="5"/>
  <c r="S753" i="5" s="1"/>
  <c r="AB753" i="5" s="1"/>
  <c r="C753" i="5"/>
  <c r="B753" i="5"/>
  <c r="Z753" i="5" s="1"/>
  <c r="O752" i="5"/>
  <c r="K752" i="5"/>
  <c r="L752" i="5" s="1"/>
  <c r="M752" i="5" s="1"/>
  <c r="N752" i="5" s="1"/>
  <c r="J752" i="5"/>
  <c r="G752" i="5"/>
  <c r="P752" i="5" s="1"/>
  <c r="F752" i="5"/>
  <c r="E752" i="5"/>
  <c r="V752" i="5" s="1"/>
  <c r="W752" i="5" s="1"/>
  <c r="D752" i="5"/>
  <c r="S752" i="5" s="1"/>
  <c r="AB752" i="5" s="1"/>
  <c r="C752" i="5"/>
  <c r="B752" i="5"/>
  <c r="O751" i="5"/>
  <c r="K751" i="5"/>
  <c r="L751" i="5" s="1"/>
  <c r="M751" i="5" s="1"/>
  <c r="N751" i="5" s="1"/>
  <c r="J751" i="5"/>
  <c r="G751" i="5"/>
  <c r="P751" i="5" s="1"/>
  <c r="F751" i="5"/>
  <c r="E751" i="5"/>
  <c r="T751" i="5" s="1"/>
  <c r="D751" i="5"/>
  <c r="S751" i="5" s="1"/>
  <c r="AB751" i="5" s="1"/>
  <c r="C751" i="5"/>
  <c r="B751" i="5"/>
  <c r="O750" i="5"/>
  <c r="K750" i="5"/>
  <c r="L750" i="5" s="1"/>
  <c r="M750" i="5" s="1"/>
  <c r="N750" i="5" s="1"/>
  <c r="J750" i="5"/>
  <c r="G750" i="5"/>
  <c r="H750" i="5" s="1"/>
  <c r="I750" i="5" s="1"/>
  <c r="F750" i="5"/>
  <c r="E750" i="5"/>
  <c r="T750" i="5" s="1"/>
  <c r="D750" i="5"/>
  <c r="Q750" i="5" s="1"/>
  <c r="C750" i="5"/>
  <c r="B750" i="5"/>
  <c r="Z750" i="5" s="1"/>
  <c r="O749" i="5"/>
  <c r="K749" i="5"/>
  <c r="L749" i="5" s="1"/>
  <c r="M749" i="5" s="1"/>
  <c r="N749" i="5" s="1"/>
  <c r="J749" i="5"/>
  <c r="G749" i="5"/>
  <c r="P749" i="5" s="1"/>
  <c r="F749" i="5"/>
  <c r="E749" i="5"/>
  <c r="T749" i="5" s="1"/>
  <c r="D749" i="5"/>
  <c r="Q749" i="5" s="1"/>
  <c r="C749" i="5"/>
  <c r="B749" i="5"/>
  <c r="O748" i="5"/>
  <c r="K748" i="5"/>
  <c r="L748" i="5" s="1"/>
  <c r="M748" i="5" s="1"/>
  <c r="N748" i="5" s="1"/>
  <c r="J748" i="5"/>
  <c r="G748" i="5"/>
  <c r="F748" i="5"/>
  <c r="E748" i="5"/>
  <c r="V748" i="5" s="1"/>
  <c r="W748" i="5" s="1"/>
  <c r="D748" i="5"/>
  <c r="S748" i="5" s="1"/>
  <c r="AB748" i="5" s="1"/>
  <c r="C748" i="5"/>
  <c r="B748" i="5"/>
  <c r="O747" i="5"/>
  <c r="K747" i="5"/>
  <c r="L747" i="5" s="1"/>
  <c r="M747" i="5" s="1"/>
  <c r="N747" i="5" s="1"/>
  <c r="J747" i="5"/>
  <c r="G747" i="5"/>
  <c r="H747" i="5" s="1"/>
  <c r="I747" i="5" s="1"/>
  <c r="F747" i="5"/>
  <c r="E747" i="5"/>
  <c r="T747" i="5" s="1"/>
  <c r="D747" i="5"/>
  <c r="S747" i="5" s="1"/>
  <c r="AB747" i="5" s="1"/>
  <c r="C747" i="5"/>
  <c r="B747" i="5"/>
  <c r="Z747" i="5" s="1"/>
  <c r="O746" i="5"/>
  <c r="K746" i="5"/>
  <c r="L746" i="5" s="1"/>
  <c r="M746" i="5" s="1"/>
  <c r="N746" i="5" s="1"/>
  <c r="J746" i="5"/>
  <c r="G746" i="5"/>
  <c r="P746" i="5" s="1"/>
  <c r="F746" i="5"/>
  <c r="E746" i="5"/>
  <c r="V746" i="5" s="1"/>
  <c r="W746" i="5" s="1"/>
  <c r="D746" i="5"/>
  <c r="S746" i="5" s="1"/>
  <c r="AB746" i="5" s="1"/>
  <c r="C746" i="5"/>
  <c r="B746" i="5"/>
  <c r="Z746" i="5" s="1"/>
  <c r="O745" i="5"/>
  <c r="K745" i="5"/>
  <c r="L745" i="5" s="1"/>
  <c r="M745" i="5" s="1"/>
  <c r="N745" i="5" s="1"/>
  <c r="J745" i="5"/>
  <c r="G745" i="5"/>
  <c r="F745" i="5"/>
  <c r="E745" i="5"/>
  <c r="T745" i="5" s="1"/>
  <c r="D745" i="5"/>
  <c r="S745" i="5" s="1"/>
  <c r="AB745" i="5" s="1"/>
  <c r="C745" i="5"/>
  <c r="B745" i="5"/>
  <c r="Z745" i="5" s="1"/>
  <c r="O744" i="5"/>
  <c r="K744" i="5"/>
  <c r="L744" i="5" s="1"/>
  <c r="M744" i="5" s="1"/>
  <c r="N744" i="5" s="1"/>
  <c r="J744" i="5"/>
  <c r="G744" i="5"/>
  <c r="P744" i="5" s="1"/>
  <c r="F744" i="5"/>
  <c r="E744" i="5"/>
  <c r="V744" i="5" s="1"/>
  <c r="W744" i="5" s="1"/>
  <c r="D744" i="5"/>
  <c r="S744" i="5" s="1"/>
  <c r="AB744" i="5" s="1"/>
  <c r="C744" i="5"/>
  <c r="B744" i="5"/>
  <c r="O743" i="5"/>
  <c r="K743" i="5"/>
  <c r="L743" i="5" s="1"/>
  <c r="M743" i="5" s="1"/>
  <c r="N743" i="5" s="1"/>
  <c r="J743" i="5"/>
  <c r="G743" i="5"/>
  <c r="F743" i="5"/>
  <c r="E743" i="5"/>
  <c r="T743" i="5" s="1"/>
  <c r="D743" i="5"/>
  <c r="S743" i="5" s="1"/>
  <c r="AB743" i="5" s="1"/>
  <c r="C743" i="5"/>
  <c r="B743" i="5"/>
  <c r="O742" i="5"/>
  <c r="K742" i="5"/>
  <c r="L742" i="5" s="1"/>
  <c r="M742" i="5" s="1"/>
  <c r="N742" i="5" s="1"/>
  <c r="J742" i="5"/>
  <c r="G742" i="5"/>
  <c r="P742" i="5" s="1"/>
  <c r="F742" i="5"/>
  <c r="E742" i="5"/>
  <c r="T742" i="5" s="1"/>
  <c r="D742" i="5"/>
  <c r="S742" i="5" s="1"/>
  <c r="AB742" i="5" s="1"/>
  <c r="C742" i="5"/>
  <c r="B742" i="5"/>
  <c r="Z742" i="5" s="1"/>
  <c r="O741" i="5"/>
  <c r="K741" i="5"/>
  <c r="L741" i="5" s="1"/>
  <c r="M741" i="5" s="1"/>
  <c r="N741" i="5" s="1"/>
  <c r="J741" i="5"/>
  <c r="G741" i="5"/>
  <c r="H741" i="5" s="1"/>
  <c r="I741" i="5" s="1"/>
  <c r="F741" i="5"/>
  <c r="E741" i="5"/>
  <c r="T741" i="5" s="1"/>
  <c r="D741" i="5"/>
  <c r="Q741" i="5" s="1"/>
  <c r="C741" i="5"/>
  <c r="B741" i="5"/>
  <c r="O740" i="5"/>
  <c r="K740" i="5"/>
  <c r="L740" i="5" s="1"/>
  <c r="M740" i="5" s="1"/>
  <c r="N740" i="5" s="1"/>
  <c r="J740" i="5"/>
  <c r="G740" i="5"/>
  <c r="F740" i="5"/>
  <c r="E740" i="5"/>
  <c r="V740" i="5" s="1"/>
  <c r="W740" i="5" s="1"/>
  <c r="D740" i="5"/>
  <c r="C740" i="5"/>
  <c r="B740" i="5"/>
  <c r="Z740" i="5" s="1"/>
  <c r="O739" i="5"/>
  <c r="K739" i="5"/>
  <c r="L739" i="5" s="1"/>
  <c r="M739" i="5" s="1"/>
  <c r="N739" i="5" s="1"/>
  <c r="J739" i="5"/>
  <c r="G739" i="5"/>
  <c r="F739" i="5"/>
  <c r="E739" i="5"/>
  <c r="T739" i="5" s="1"/>
  <c r="D739" i="5"/>
  <c r="S739" i="5" s="1"/>
  <c r="AB739" i="5" s="1"/>
  <c r="C739" i="5"/>
  <c r="B739" i="5"/>
  <c r="Z739" i="5" s="1"/>
  <c r="O738" i="5"/>
  <c r="K738" i="5"/>
  <c r="L738" i="5" s="1"/>
  <c r="M738" i="5" s="1"/>
  <c r="N738" i="5" s="1"/>
  <c r="J738" i="5"/>
  <c r="G738" i="5"/>
  <c r="P738" i="5" s="1"/>
  <c r="F738" i="5"/>
  <c r="E738" i="5"/>
  <c r="V738" i="5" s="1"/>
  <c r="W738" i="5" s="1"/>
  <c r="D738" i="5"/>
  <c r="S738" i="5" s="1"/>
  <c r="AB738" i="5" s="1"/>
  <c r="C738" i="5"/>
  <c r="B738" i="5"/>
  <c r="Z738" i="5" s="1"/>
  <c r="O737" i="5"/>
  <c r="K737" i="5"/>
  <c r="L737" i="5" s="1"/>
  <c r="M737" i="5" s="1"/>
  <c r="N737" i="5" s="1"/>
  <c r="J737" i="5"/>
  <c r="G737" i="5"/>
  <c r="H737" i="5" s="1"/>
  <c r="I737" i="5" s="1"/>
  <c r="F737" i="5"/>
  <c r="E737" i="5"/>
  <c r="T737" i="5" s="1"/>
  <c r="D737" i="5"/>
  <c r="S737" i="5" s="1"/>
  <c r="AB737" i="5" s="1"/>
  <c r="C737" i="5"/>
  <c r="B737" i="5"/>
  <c r="Z737" i="5" s="1"/>
  <c r="O736" i="5"/>
  <c r="K736" i="5"/>
  <c r="L736" i="5" s="1"/>
  <c r="M736" i="5" s="1"/>
  <c r="N736" i="5" s="1"/>
  <c r="J736" i="5"/>
  <c r="G736" i="5"/>
  <c r="F736" i="5"/>
  <c r="E736" i="5"/>
  <c r="V736" i="5" s="1"/>
  <c r="W736" i="5" s="1"/>
  <c r="D736" i="5"/>
  <c r="S736" i="5" s="1"/>
  <c r="AB736" i="5" s="1"/>
  <c r="C736" i="5"/>
  <c r="B736" i="5"/>
  <c r="O735" i="5"/>
  <c r="K735" i="5"/>
  <c r="L735" i="5" s="1"/>
  <c r="M735" i="5" s="1"/>
  <c r="N735" i="5" s="1"/>
  <c r="J735" i="5"/>
  <c r="G735" i="5"/>
  <c r="H735" i="5" s="1"/>
  <c r="I735" i="5" s="1"/>
  <c r="F735" i="5"/>
  <c r="E735" i="5"/>
  <c r="T735" i="5" s="1"/>
  <c r="D735" i="5"/>
  <c r="S735" i="5" s="1"/>
  <c r="AB735" i="5" s="1"/>
  <c r="C735" i="5"/>
  <c r="B735" i="5"/>
  <c r="O734" i="5"/>
  <c r="K734" i="5"/>
  <c r="L734" i="5" s="1"/>
  <c r="M734" i="5" s="1"/>
  <c r="N734" i="5" s="1"/>
  <c r="J734" i="5"/>
  <c r="G734" i="5"/>
  <c r="H734" i="5" s="1"/>
  <c r="I734" i="5" s="1"/>
  <c r="F734" i="5"/>
  <c r="E734" i="5"/>
  <c r="T734" i="5" s="1"/>
  <c r="D734" i="5"/>
  <c r="S734" i="5" s="1"/>
  <c r="AB734" i="5" s="1"/>
  <c r="C734" i="5"/>
  <c r="B734" i="5"/>
  <c r="Z734" i="5" s="1"/>
  <c r="O733" i="5"/>
  <c r="K733" i="5"/>
  <c r="L733" i="5" s="1"/>
  <c r="M733" i="5" s="1"/>
  <c r="N733" i="5" s="1"/>
  <c r="J733" i="5"/>
  <c r="G733" i="5"/>
  <c r="F733" i="5"/>
  <c r="E733" i="5"/>
  <c r="T733" i="5" s="1"/>
  <c r="D733" i="5"/>
  <c r="S733" i="5" s="1"/>
  <c r="AB733" i="5" s="1"/>
  <c r="C733" i="5"/>
  <c r="B733" i="5"/>
  <c r="O732" i="5"/>
  <c r="K732" i="5"/>
  <c r="L732" i="5" s="1"/>
  <c r="M732" i="5" s="1"/>
  <c r="N732" i="5" s="1"/>
  <c r="J732" i="5"/>
  <c r="G732" i="5"/>
  <c r="F732" i="5"/>
  <c r="E732" i="5"/>
  <c r="V732" i="5" s="1"/>
  <c r="W732" i="5" s="1"/>
  <c r="D732" i="5"/>
  <c r="C732" i="5"/>
  <c r="B732" i="5"/>
  <c r="O731" i="5"/>
  <c r="K731" i="5"/>
  <c r="L731" i="5" s="1"/>
  <c r="M731" i="5" s="1"/>
  <c r="N731" i="5" s="1"/>
  <c r="J731" i="5"/>
  <c r="G731" i="5"/>
  <c r="F731" i="5"/>
  <c r="E731" i="5"/>
  <c r="T731" i="5" s="1"/>
  <c r="D731" i="5"/>
  <c r="Q731" i="5" s="1"/>
  <c r="C731" i="5"/>
  <c r="B731" i="5"/>
  <c r="Z731" i="5" s="1"/>
  <c r="O730" i="5"/>
  <c r="K730" i="5"/>
  <c r="L730" i="5" s="1"/>
  <c r="M730" i="5" s="1"/>
  <c r="N730" i="5" s="1"/>
  <c r="J730" i="5"/>
  <c r="G730" i="5"/>
  <c r="H730" i="5" s="1"/>
  <c r="F730" i="5"/>
  <c r="E730" i="5"/>
  <c r="V730" i="5" s="1"/>
  <c r="W730" i="5" s="1"/>
  <c r="D730" i="5"/>
  <c r="S730" i="5" s="1"/>
  <c r="AB730" i="5" s="1"/>
  <c r="C730" i="5"/>
  <c r="B730" i="5"/>
  <c r="Z730" i="5" s="1"/>
  <c r="O729" i="5"/>
  <c r="K729" i="5"/>
  <c r="L729" i="5" s="1"/>
  <c r="M729" i="5" s="1"/>
  <c r="N729" i="5" s="1"/>
  <c r="J729" i="5"/>
  <c r="G729" i="5"/>
  <c r="H729" i="5" s="1"/>
  <c r="I729" i="5" s="1"/>
  <c r="F729" i="5"/>
  <c r="E729" i="5"/>
  <c r="T729" i="5" s="1"/>
  <c r="D729" i="5"/>
  <c r="S729" i="5" s="1"/>
  <c r="AB729" i="5" s="1"/>
  <c r="C729" i="5"/>
  <c r="B729" i="5"/>
  <c r="Z729" i="5" s="1"/>
  <c r="O728" i="5"/>
  <c r="K728" i="5"/>
  <c r="L728" i="5" s="1"/>
  <c r="M728" i="5" s="1"/>
  <c r="N728" i="5" s="1"/>
  <c r="J728" i="5"/>
  <c r="G728" i="5"/>
  <c r="H728" i="5" s="1"/>
  <c r="F728" i="5"/>
  <c r="E728" i="5"/>
  <c r="V728" i="5" s="1"/>
  <c r="W728" i="5" s="1"/>
  <c r="D728" i="5"/>
  <c r="S728" i="5" s="1"/>
  <c r="AB728" i="5" s="1"/>
  <c r="C728" i="5"/>
  <c r="B728" i="5"/>
  <c r="O727" i="5"/>
  <c r="K727" i="5"/>
  <c r="L727" i="5" s="1"/>
  <c r="M727" i="5" s="1"/>
  <c r="N727" i="5" s="1"/>
  <c r="J727" i="5"/>
  <c r="G727" i="5"/>
  <c r="H727" i="5" s="1"/>
  <c r="I727" i="5" s="1"/>
  <c r="F727" i="5"/>
  <c r="E727" i="5"/>
  <c r="T727" i="5" s="1"/>
  <c r="D727" i="5"/>
  <c r="S727" i="5" s="1"/>
  <c r="AB727" i="5" s="1"/>
  <c r="C727" i="5"/>
  <c r="B727" i="5"/>
  <c r="O726" i="5"/>
  <c r="K726" i="5"/>
  <c r="L726" i="5" s="1"/>
  <c r="M726" i="5" s="1"/>
  <c r="N726" i="5" s="1"/>
  <c r="J726" i="5"/>
  <c r="G726" i="5"/>
  <c r="F726" i="5"/>
  <c r="E726" i="5"/>
  <c r="T726" i="5" s="1"/>
  <c r="D726" i="5"/>
  <c r="S726" i="5" s="1"/>
  <c r="AB726" i="5" s="1"/>
  <c r="C726" i="5"/>
  <c r="B726" i="5"/>
  <c r="Z726" i="5" s="1"/>
  <c r="O725" i="5"/>
  <c r="K725" i="5"/>
  <c r="L725" i="5" s="1"/>
  <c r="M725" i="5" s="1"/>
  <c r="N725" i="5" s="1"/>
  <c r="J725" i="5"/>
  <c r="G725" i="5"/>
  <c r="H725" i="5" s="1"/>
  <c r="I725" i="5" s="1"/>
  <c r="F725" i="5"/>
  <c r="E725" i="5"/>
  <c r="T725" i="5" s="1"/>
  <c r="D725" i="5"/>
  <c r="S725" i="5" s="1"/>
  <c r="AB725" i="5" s="1"/>
  <c r="C725" i="5"/>
  <c r="B725" i="5"/>
  <c r="O724" i="5"/>
  <c r="K724" i="5"/>
  <c r="L724" i="5" s="1"/>
  <c r="M724" i="5" s="1"/>
  <c r="N724" i="5" s="1"/>
  <c r="J724" i="5"/>
  <c r="G724" i="5"/>
  <c r="F724" i="5"/>
  <c r="E724" i="5"/>
  <c r="U724" i="5" s="1"/>
  <c r="D724" i="5"/>
  <c r="S724" i="5" s="1"/>
  <c r="AB724" i="5" s="1"/>
  <c r="C724" i="5"/>
  <c r="B724" i="5"/>
  <c r="O723" i="5"/>
  <c r="K723" i="5"/>
  <c r="L723" i="5" s="1"/>
  <c r="M723" i="5" s="1"/>
  <c r="N723" i="5" s="1"/>
  <c r="J723" i="5"/>
  <c r="G723" i="5"/>
  <c r="H723" i="5" s="1"/>
  <c r="I723" i="5" s="1"/>
  <c r="F723" i="5"/>
  <c r="E723" i="5"/>
  <c r="T723" i="5" s="1"/>
  <c r="D723" i="5"/>
  <c r="Q723" i="5" s="1"/>
  <c r="C723" i="5"/>
  <c r="B723" i="5"/>
  <c r="Z723" i="5" s="1"/>
  <c r="O722" i="5"/>
  <c r="K722" i="5"/>
  <c r="L722" i="5" s="1"/>
  <c r="M722" i="5" s="1"/>
  <c r="N722" i="5" s="1"/>
  <c r="J722" i="5"/>
  <c r="G722" i="5"/>
  <c r="H722" i="5" s="1"/>
  <c r="F722" i="5"/>
  <c r="E722" i="5"/>
  <c r="V722" i="5" s="1"/>
  <c r="W722" i="5" s="1"/>
  <c r="D722" i="5"/>
  <c r="Q722" i="5" s="1"/>
  <c r="C722" i="5"/>
  <c r="B722" i="5"/>
  <c r="Z722" i="5" s="1"/>
  <c r="O721" i="5"/>
  <c r="K721" i="5"/>
  <c r="L721" i="5" s="1"/>
  <c r="M721" i="5" s="1"/>
  <c r="N721" i="5" s="1"/>
  <c r="J721" i="5"/>
  <c r="G721" i="5"/>
  <c r="F721" i="5"/>
  <c r="E721" i="5"/>
  <c r="T721" i="5" s="1"/>
  <c r="D721" i="5"/>
  <c r="S721" i="5" s="1"/>
  <c r="AB721" i="5" s="1"/>
  <c r="C721" i="5"/>
  <c r="B721" i="5"/>
  <c r="Z721" i="5" s="1"/>
  <c r="O720" i="5"/>
  <c r="K720" i="5"/>
  <c r="L720" i="5" s="1"/>
  <c r="M720" i="5" s="1"/>
  <c r="N720" i="5" s="1"/>
  <c r="J720" i="5"/>
  <c r="G720" i="5"/>
  <c r="H720" i="5" s="1"/>
  <c r="F720" i="5"/>
  <c r="E720" i="5"/>
  <c r="V720" i="5" s="1"/>
  <c r="W720" i="5" s="1"/>
  <c r="D720" i="5"/>
  <c r="S720" i="5" s="1"/>
  <c r="AB720" i="5" s="1"/>
  <c r="C720" i="5"/>
  <c r="B720" i="5"/>
  <c r="O719" i="5"/>
  <c r="K719" i="5"/>
  <c r="L719" i="5" s="1"/>
  <c r="M719" i="5" s="1"/>
  <c r="N719" i="5" s="1"/>
  <c r="J719" i="5"/>
  <c r="G719" i="5"/>
  <c r="H719" i="5" s="1"/>
  <c r="I719" i="5" s="1"/>
  <c r="F719" i="5"/>
  <c r="E719" i="5"/>
  <c r="T719" i="5" s="1"/>
  <c r="D719" i="5"/>
  <c r="S719" i="5" s="1"/>
  <c r="AB719" i="5" s="1"/>
  <c r="C719" i="5"/>
  <c r="B719" i="5"/>
  <c r="O718" i="5"/>
  <c r="K718" i="5"/>
  <c r="L718" i="5" s="1"/>
  <c r="M718" i="5" s="1"/>
  <c r="N718" i="5" s="1"/>
  <c r="J718" i="5"/>
  <c r="G718" i="5"/>
  <c r="H718" i="5" s="1"/>
  <c r="I718" i="5" s="1"/>
  <c r="F718" i="5"/>
  <c r="E718" i="5"/>
  <c r="T718" i="5" s="1"/>
  <c r="D718" i="5"/>
  <c r="S718" i="5" s="1"/>
  <c r="AB718" i="5" s="1"/>
  <c r="C718" i="5"/>
  <c r="B718" i="5"/>
  <c r="Z718" i="5" s="1"/>
  <c r="O717" i="5"/>
  <c r="K717" i="5"/>
  <c r="L717" i="5" s="1"/>
  <c r="M717" i="5" s="1"/>
  <c r="N717" i="5" s="1"/>
  <c r="J717" i="5"/>
  <c r="G717" i="5"/>
  <c r="F717" i="5"/>
  <c r="E717" i="5"/>
  <c r="T717" i="5" s="1"/>
  <c r="D717" i="5"/>
  <c r="S717" i="5" s="1"/>
  <c r="AB717" i="5" s="1"/>
  <c r="C717" i="5"/>
  <c r="B717" i="5"/>
  <c r="O716" i="5"/>
  <c r="K716" i="5"/>
  <c r="L716" i="5" s="1"/>
  <c r="M716" i="5" s="1"/>
  <c r="N716" i="5" s="1"/>
  <c r="J716" i="5"/>
  <c r="G716" i="5"/>
  <c r="P716" i="5" s="1"/>
  <c r="F716" i="5"/>
  <c r="E716" i="5"/>
  <c r="V716" i="5" s="1"/>
  <c r="W716" i="5" s="1"/>
  <c r="D716" i="5"/>
  <c r="S716" i="5" s="1"/>
  <c r="AB716" i="5" s="1"/>
  <c r="C716" i="5"/>
  <c r="B716" i="5"/>
  <c r="O715" i="5"/>
  <c r="K715" i="5"/>
  <c r="L715" i="5" s="1"/>
  <c r="M715" i="5" s="1"/>
  <c r="N715" i="5" s="1"/>
  <c r="J715" i="5"/>
  <c r="G715" i="5"/>
  <c r="F715" i="5"/>
  <c r="E715" i="5"/>
  <c r="T715" i="5" s="1"/>
  <c r="D715" i="5"/>
  <c r="C715" i="5"/>
  <c r="B715" i="5"/>
  <c r="Z715" i="5" s="1"/>
  <c r="O714" i="5"/>
  <c r="K714" i="5"/>
  <c r="L714" i="5" s="1"/>
  <c r="M714" i="5" s="1"/>
  <c r="N714" i="5" s="1"/>
  <c r="J714" i="5"/>
  <c r="G714" i="5"/>
  <c r="F714" i="5"/>
  <c r="E714" i="5"/>
  <c r="V714" i="5" s="1"/>
  <c r="W714" i="5" s="1"/>
  <c r="D714" i="5"/>
  <c r="Q714" i="5" s="1"/>
  <c r="C714" i="5"/>
  <c r="B714" i="5"/>
  <c r="Z714" i="5" s="1"/>
  <c r="O713" i="5"/>
  <c r="K713" i="5"/>
  <c r="L713" i="5" s="1"/>
  <c r="M713" i="5" s="1"/>
  <c r="N713" i="5" s="1"/>
  <c r="J713" i="5"/>
  <c r="G713" i="5"/>
  <c r="H713" i="5" s="1"/>
  <c r="I713" i="5" s="1"/>
  <c r="F713" i="5"/>
  <c r="E713" i="5"/>
  <c r="T713" i="5" s="1"/>
  <c r="D713" i="5"/>
  <c r="Q713" i="5" s="1"/>
  <c r="C713" i="5"/>
  <c r="B713" i="5"/>
  <c r="Z713" i="5" s="1"/>
  <c r="O712" i="5"/>
  <c r="K712" i="5"/>
  <c r="L712" i="5" s="1"/>
  <c r="M712" i="5" s="1"/>
  <c r="N712" i="5" s="1"/>
  <c r="J712" i="5"/>
  <c r="G712" i="5"/>
  <c r="F712" i="5"/>
  <c r="E712" i="5"/>
  <c r="V712" i="5" s="1"/>
  <c r="W712" i="5" s="1"/>
  <c r="D712" i="5"/>
  <c r="S712" i="5" s="1"/>
  <c r="AB712" i="5" s="1"/>
  <c r="C712" i="5"/>
  <c r="B712" i="5"/>
  <c r="O711" i="5"/>
  <c r="K711" i="5"/>
  <c r="L711" i="5" s="1"/>
  <c r="M711" i="5" s="1"/>
  <c r="N711" i="5" s="1"/>
  <c r="J711" i="5"/>
  <c r="G711" i="5"/>
  <c r="P711" i="5" s="1"/>
  <c r="F711" i="5"/>
  <c r="E711" i="5"/>
  <c r="T711" i="5" s="1"/>
  <c r="D711" i="5"/>
  <c r="S711" i="5" s="1"/>
  <c r="AB711" i="5" s="1"/>
  <c r="C711" i="5"/>
  <c r="B711" i="5"/>
  <c r="O710" i="5"/>
  <c r="K710" i="5"/>
  <c r="L710" i="5" s="1"/>
  <c r="M710" i="5" s="1"/>
  <c r="N710" i="5" s="1"/>
  <c r="J710" i="5"/>
  <c r="G710" i="5"/>
  <c r="F710" i="5"/>
  <c r="E710" i="5"/>
  <c r="T710" i="5" s="1"/>
  <c r="D710" i="5"/>
  <c r="S710" i="5" s="1"/>
  <c r="AB710" i="5" s="1"/>
  <c r="C710" i="5"/>
  <c r="B710" i="5"/>
  <c r="Z710" i="5" s="1"/>
  <c r="O709" i="5"/>
  <c r="K709" i="5"/>
  <c r="L709" i="5" s="1"/>
  <c r="M709" i="5" s="1"/>
  <c r="N709" i="5" s="1"/>
  <c r="J709" i="5"/>
  <c r="G709" i="5"/>
  <c r="P709" i="5" s="1"/>
  <c r="F709" i="5"/>
  <c r="E709" i="5"/>
  <c r="T709" i="5" s="1"/>
  <c r="D709" i="5"/>
  <c r="S709" i="5" s="1"/>
  <c r="AB709" i="5" s="1"/>
  <c r="C709" i="5"/>
  <c r="B709" i="5"/>
  <c r="O708" i="5"/>
  <c r="K708" i="5"/>
  <c r="L708" i="5" s="1"/>
  <c r="M708" i="5" s="1"/>
  <c r="N708" i="5" s="1"/>
  <c r="J708" i="5"/>
  <c r="G708" i="5"/>
  <c r="P708" i="5" s="1"/>
  <c r="F708" i="5"/>
  <c r="E708" i="5"/>
  <c r="V708" i="5" s="1"/>
  <c r="W708" i="5" s="1"/>
  <c r="D708" i="5"/>
  <c r="S708" i="5" s="1"/>
  <c r="AB708" i="5" s="1"/>
  <c r="C708" i="5"/>
  <c r="B708" i="5"/>
  <c r="O707" i="5"/>
  <c r="K707" i="5"/>
  <c r="L707" i="5" s="1"/>
  <c r="M707" i="5" s="1"/>
  <c r="N707" i="5" s="1"/>
  <c r="J707" i="5"/>
  <c r="G707" i="5"/>
  <c r="H707" i="5" s="1"/>
  <c r="I707" i="5" s="1"/>
  <c r="F707" i="5"/>
  <c r="E707" i="5"/>
  <c r="T707" i="5" s="1"/>
  <c r="D707" i="5"/>
  <c r="S707" i="5" s="1"/>
  <c r="AB707" i="5" s="1"/>
  <c r="C707" i="5"/>
  <c r="B707" i="5"/>
  <c r="Z707" i="5" s="1"/>
  <c r="O706" i="5"/>
  <c r="K706" i="5"/>
  <c r="L706" i="5" s="1"/>
  <c r="M706" i="5" s="1"/>
  <c r="N706" i="5" s="1"/>
  <c r="J706" i="5"/>
  <c r="G706" i="5"/>
  <c r="F706" i="5"/>
  <c r="E706" i="5"/>
  <c r="V706" i="5" s="1"/>
  <c r="W706" i="5" s="1"/>
  <c r="D706" i="5"/>
  <c r="S706" i="5" s="1"/>
  <c r="AB706" i="5" s="1"/>
  <c r="C706" i="5"/>
  <c r="B706" i="5"/>
  <c r="Z706" i="5" s="1"/>
  <c r="O705" i="5"/>
  <c r="K705" i="5"/>
  <c r="L705" i="5" s="1"/>
  <c r="M705" i="5" s="1"/>
  <c r="N705" i="5" s="1"/>
  <c r="J705" i="5"/>
  <c r="G705" i="5"/>
  <c r="H705" i="5" s="1"/>
  <c r="I705" i="5" s="1"/>
  <c r="F705" i="5"/>
  <c r="E705" i="5"/>
  <c r="T705" i="5" s="1"/>
  <c r="D705" i="5"/>
  <c r="Q705" i="5" s="1"/>
  <c r="C705" i="5"/>
  <c r="B705" i="5"/>
  <c r="Z705" i="5" s="1"/>
  <c r="O704" i="5"/>
  <c r="K704" i="5"/>
  <c r="L704" i="5" s="1"/>
  <c r="M704" i="5" s="1"/>
  <c r="N704" i="5" s="1"/>
  <c r="J704" i="5"/>
  <c r="G704" i="5"/>
  <c r="F704" i="5"/>
  <c r="E704" i="5"/>
  <c r="V704" i="5" s="1"/>
  <c r="W704" i="5" s="1"/>
  <c r="D704" i="5"/>
  <c r="S704" i="5" s="1"/>
  <c r="AB704" i="5" s="1"/>
  <c r="C704" i="5"/>
  <c r="B704" i="5"/>
  <c r="O703" i="5"/>
  <c r="K703" i="5"/>
  <c r="L703" i="5" s="1"/>
  <c r="M703" i="5" s="1"/>
  <c r="N703" i="5" s="1"/>
  <c r="J703" i="5"/>
  <c r="G703" i="5"/>
  <c r="H703" i="5" s="1"/>
  <c r="I703" i="5" s="1"/>
  <c r="F703" i="5"/>
  <c r="E703" i="5"/>
  <c r="T703" i="5" s="1"/>
  <c r="D703" i="5"/>
  <c r="Q703" i="5" s="1"/>
  <c r="C703" i="5"/>
  <c r="B703" i="5"/>
  <c r="O702" i="5"/>
  <c r="K702" i="5"/>
  <c r="L702" i="5" s="1"/>
  <c r="M702" i="5" s="1"/>
  <c r="N702" i="5" s="1"/>
  <c r="J702" i="5"/>
  <c r="G702" i="5"/>
  <c r="P702" i="5" s="1"/>
  <c r="F702" i="5"/>
  <c r="E702" i="5"/>
  <c r="T702" i="5" s="1"/>
  <c r="D702" i="5"/>
  <c r="S702" i="5" s="1"/>
  <c r="AB702" i="5" s="1"/>
  <c r="C702" i="5"/>
  <c r="B702" i="5"/>
  <c r="Z702" i="5" s="1"/>
  <c r="O701" i="5"/>
  <c r="K701" i="5"/>
  <c r="L701" i="5" s="1"/>
  <c r="M701" i="5" s="1"/>
  <c r="N701" i="5" s="1"/>
  <c r="J701" i="5"/>
  <c r="G701" i="5"/>
  <c r="F701" i="5"/>
  <c r="E701" i="5"/>
  <c r="T701" i="5" s="1"/>
  <c r="D701" i="5"/>
  <c r="S701" i="5" s="1"/>
  <c r="AB701" i="5" s="1"/>
  <c r="C701" i="5"/>
  <c r="B701" i="5"/>
  <c r="O700" i="5"/>
  <c r="K700" i="5"/>
  <c r="L700" i="5" s="1"/>
  <c r="M700" i="5" s="1"/>
  <c r="N700" i="5" s="1"/>
  <c r="J700" i="5"/>
  <c r="G700" i="5"/>
  <c r="P700" i="5" s="1"/>
  <c r="F700" i="5"/>
  <c r="E700" i="5"/>
  <c r="V700" i="5" s="1"/>
  <c r="W700" i="5" s="1"/>
  <c r="D700" i="5"/>
  <c r="S700" i="5" s="1"/>
  <c r="AB700" i="5" s="1"/>
  <c r="C700" i="5"/>
  <c r="B700" i="5"/>
  <c r="O699" i="5"/>
  <c r="K699" i="5"/>
  <c r="L699" i="5" s="1"/>
  <c r="M699" i="5" s="1"/>
  <c r="N699" i="5" s="1"/>
  <c r="J699" i="5"/>
  <c r="G699" i="5"/>
  <c r="P699" i="5" s="1"/>
  <c r="F699" i="5"/>
  <c r="E699" i="5"/>
  <c r="T699" i="5" s="1"/>
  <c r="D699" i="5"/>
  <c r="S699" i="5" s="1"/>
  <c r="AB699" i="5" s="1"/>
  <c r="C699" i="5"/>
  <c r="B699" i="5"/>
  <c r="Z699" i="5" s="1"/>
  <c r="O698" i="5"/>
  <c r="K698" i="5"/>
  <c r="L698" i="5" s="1"/>
  <c r="M698" i="5" s="1"/>
  <c r="N698" i="5" s="1"/>
  <c r="J698" i="5"/>
  <c r="G698" i="5"/>
  <c r="P698" i="5" s="1"/>
  <c r="F698" i="5"/>
  <c r="E698" i="5"/>
  <c r="V698" i="5" s="1"/>
  <c r="W698" i="5" s="1"/>
  <c r="D698" i="5"/>
  <c r="S698" i="5" s="1"/>
  <c r="AB698" i="5" s="1"/>
  <c r="C698" i="5"/>
  <c r="B698" i="5"/>
  <c r="Z698" i="5" s="1"/>
  <c r="O697" i="5"/>
  <c r="K697" i="5"/>
  <c r="L697" i="5" s="1"/>
  <c r="M697" i="5" s="1"/>
  <c r="N697" i="5" s="1"/>
  <c r="J697" i="5"/>
  <c r="G697" i="5"/>
  <c r="P697" i="5" s="1"/>
  <c r="F697" i="5"/>
  <c r="E697" i="5"/>
  <c r="T697" i="5" s="1"/>
  <c r="D697" i="5"/>
  <c r="S697" i="5" s="1"/>
  <c r="AB697" i="5" s="1"/>
  <c r="C697" i="5"/>
  <c r="B697" i="5"/>
  <c r="Z697" i="5" s="1"/>
  <c r="O696" i="5"/>
  <c r="K696" i="5"/>
  <c r="L696" i="5" s="1"/>
  <c r="M696" i="5" s="1"/>
  <c r="N696" i="5" s="1"/>
  <c r="J696" i="5"/>
  <c r="G696" i="5"/>
  <c r="P696" i="5" s="1"/>
  <c r="F696" i="5"/>
  <c r="E696" i="5"/>
  <c r="V696" i="5" s="1"/>
  <c r="W696" i="5" s="1"/>
  <c r="D696" i="5"/>
  <c r="S696" i="5" s="1"/>
  <c r="AB696" i="5" s="1"/>
  <c r="C696" i="5"/>
  <c r="B696" i="5"/>
  <c r="O695" i="5"/>
  <c r="K695" i="5"/>
  <c r="L695" i="5" s="1"/>
  <c r="M695" i="5" s="1"/>
  <c r="N695" i="5" s="1"/>
  <c r="J695" i="5"/>
  <c r="G695" i="5"/>
  <c r="P695" i="5" s="1"/>
  <c r="F695" i="5"/>
  <c r="E695" i="5"/>
  <c r="T695" i="5" s="1"/>
  <c r="D695" i="5"/>
  <c r="Q695" i="5" s="1"/>
  <c r="C695" i="5"/>
  <c r="B695" i="5"/>
  <c r="O694" i="5"/>
  <c r="K694" i="5"/>
  <c r="L694" i="5" s="1"/>
  <c r="M694" i="5" s="1"/>
  <c r="N694" i="5" s="1"/>
  <c r="J694" i="5"/>
  <c r="G694" i="5"/>
  <c r="P694" i="5" s="1"/>
  <c r="F694" i="5"/>
  <c r="E694" i="5"/>
  <c r="T694" i="5" s="1"/>
  <c r="D694" i="5"/>
  <c r="Q694" i="5" s="1"/>
  <c r="C694" i="5"/>
  <c r="B694" i="5"/>
  <c r="Z694" i="5" s="1"/>
  <c r="O693" i="5"/>
  <c r="K693" i="5"/>
  <c r="L693" i="5" s="1"/>
  <c r="M693" i="5" s="1"/>
  <c r="N693" i="5" s="1"/>
  <c r="J693" i="5"/>
  <c r="G693" i="5"/>
  <c r="P693" i="5" s="1"/>
  <c r="F693" i="5"/>
  <c r="E693" i="5"/>
  <c r="T693" i="5" s="1"/>
  <c r="D693" i="5"/>
  <c r="S693" i="5" s="1"/>
  <c r="AB693" i="5" s="1"/>
  <c r="C693" i="5"/>
  <c r="B693" i="5"/>
  <c r="O692" i="5"/>
  <c r="K692" i="5"/>
  <c r="L692" i="5" s="1"/>
  <c r="M692" i="5" s="1"/>
  <c r="N692" i="5" s="1"/>
  <c r="J692" i="5"/>
  <c r="G692" i="5"/>
  <c r="P692" i="5" s="1"/>
  <c r="F692" i="5"/>
  <c r="E692" i="5"/>
  <c r="V692" i="5" s="1"/>
  <c r="W692" i="5" s="1"/>
  <c r="D692" i="5"/>
  <c r="S692" i="5" s="1"/>
  <c r="AB692" i="5" s="1"/>
  <c r="C692" i="5"/>
  <c r="B692" i="5"/>
  <c r="O691" i="5"/>
  <c r="K691" i="5"/>
  <c r="L691" i="5" s="1"/>
  <c r="M691" i="5" s="1"/>
  <c r="N691" i="5" s="1"/>
  <c r="J691" i="5"/>
  <c r="G691" i="5"/>
  <c r="H691" i="5" s="1"/>
  <c r="I691" i="5" s="1"/>
  <c r="F691" i="5"/>
  <c r="E691" i="5"/>
  <c r="T691" i="5" s="1"/>
  <c r="D691" i="5"/>
  <c r="S691" i="5" s="1"/>
  <c r="AB691" i="5" s="1"/>
  <c r="C691" i="5"/>
  <c r="B691" i="5"/>
  <c r="Z691" i="5" s="1"/>
  <c r="O690" i="5"/>
  <c r="K690" i="5"/>
  <c r="L690" i="5" s="1"/>
  <c r="M690" i="5" s="1"/>
  <c r="N690" i="5" s="1"/>
  <c r="J690" i="5"/>
  <c r="G690" i="5"/>
  <c r="F690" i="5"/>
  <c r="E690" i="5"/>
  <c r="V690" i="5" s="1"/>
  <c r="W690" i="5" s="1"/>
  <c r="D690" i="5"/>
  <c r="S690" i="5" s="1"/>
  <c r="AB690" i="5" s="1"/>
  <c r="C690" i="5"/>
  <c r="B690" i="5"/>
  <c r="Z690" i="5" s="1"/>
  <c r="O689" i="5"/>
  <c r="K689" i="5"/>
  <c r="L689" i="5" s="1"/>
  <c r="M689" i="5" s="1"/>
  <c r="N689" i="5" s="1"/>
  <c r="J689" i="5"/>
  <c r="G689" i="5"/>
  <c r="H689" i="5" s="1"/>
  <c r="I689" i="5" s="1"/>
  <c r="F689" i="5"/>
  <c r="E689" i="5"/>
  <c r="T689" i="5" s="1"/>
  <c r="D689" i="5"/>
  <c r="S689" i="5" s="1"/>
  <c r="AB689" i="5" s="1"/>
  <c r="C689" i="5"/>
  <c r="B689" i="5"/>
  <c r="Z689" i="5" s="1"/>
  <c r="O688" i="5"/>
  <c r="K688" i="5"/>
  <c r="L688" i="5" s="1"/>
  <c r="M688" i="5" s="1"/>
  <c r="N688" i="5" s="1"/>
  <c r="J688" i="5"/>
  <c r="G688" i="5"/>
  <c r="F688" i="5"/>
  <c r="E688" i="5"/>
  <c r="V688" i="5" s="1"/>
  <c r="W688" i="5" s="1"/>
  <c r="D688" i="5"/>
  <c r="S688" i="5" s="1"/>
  <c r="AB688" i="5" s="1"/>
  <c r="C688" i="5"/>
  <c r="B688" i="5"/>
  <c r="O687" i="5"/>
  <c r="K687" i="5"/>
  <c r="L687" i="5" s="1"/>
  <c r="M687" i="5" s="1"/>
  <c r="N687" i="5" s="1"/>
  <c r="J687" i="5"/>
  <c r="G687" i="5"/>
  <c r="H687" i="5" s="1"/>
  <c r="I687" i="5" s="1"/>
  <c r="F687" i="5"/>
  <c r="E687" i="5"/>
  <c r="T687" i="5" s="1"/>
  <c r="D687" i="5"/>
  <c r="S687" i="5" s="1"/>
  <c r="AB687" i="5" s="1"/>
  <c r="C687" i="5"/>
  <c r="B687" i="5"/>
  <c r="O686" i="5"/>
  <c r="K686" i="5"/>
  <c r="L686" i="5" s="1"/>
  <c r="M686" i="5" s="1"/>
  <c r="N686" i="5" s="1"/>
  <c r="J686" i="5"/>
  <c r="G686" i="5"/>
  <c r="F686" i="5"/>
  <c r="E686" i="5"/>
  <c r="T686" i="5" s="1"/>
  <c r="D686" i="5"/>
  <c r="Q686" i="5" s="1"/>
  <c r="C686" i="5"/>
  <c r="B686" i="5"/>
  <c r="Z686" i="5" s="1"/>
  <c r="O685" i="5"/>
  <c r="K685" i="5"/>
  <c r="L685" i="5" s="1"/>
  <c r="M685" i="5" s="1"/>
  <c r="N685" i="5" s="1"/>
  <c r="J685" i="5"/>
  <c r="G685" i="5"/>
  <c r="P685" i="5" s="1"/>
  <c r="F685" i="5"/>
  <c r="E685" i="5"/>
  <c r="T685" i="5" s="1"/>
  <c r="D685" i="5"/>
  <c r="Q685" i="5" s="1"/>
  <c r="C685" i="5"/>
  <c r="B685" i="5"/>
  <c r="O684" i="5"/>
  <c r="K684" i="5"/>
  <c r="L684" i="5" s="1"/>
  <c r="M684" i="5" s="1"/>
  <c r="N684" i="5" s="1"/>
  <c r="J684" i="5"/>
  <c r="G684" i="5"/>
  <c r="P684" i="5" s="1"/>
  <c r="F684" i="5"/>
  <c r="E684" i="5"/>
  <c r="V684" i="5" s="1"/>
  <c r="W684" i="5" s="1"/>
  <c r="D684" i="5"/>
  <c r="S684" i="5" s="1"/>
  <c r="AB684" i="5" s="1"/>
  <c r="C684" i="5"/>
  <c r="B684" i="5"/>
  <c r="O683" i="5"/>
  <c r="K683" i="5"/>
  <c r="L683" i="5" s="1"/>
  <c r="M683" i="5" s="1"/>
  <c r="N683" i="5" s="1"/>
  <c r="J683" i="5"/>
  <c r="G683" i="5"/>
  <c r="F683" i="5"/>
  <c r="E683" i="5"/>
  <c r="T683" i="5" s="1"/>
  <c r="D683" i="5"/>
  <c r="S683" i="5" s="1"/>
  <c r="AB683" i="5" s="1"/>
  <c r="C683" i="5"/>
  <c r="B683" i="5"/>
  <c r="Z683" i="5" s="1"/>
  <c r="O682" i="5"/>
  <c r="K682" i="5"/>
  <c r="L682" i="5" s="1"/>
  <c r="M682" i="5" s="1"/>
  <c r="N682" i="5" s="1"/>
  <c r="J682" i="5"/>
  <c r="G682" i="5"/>
  <c r="H682" i="5" s="1"/>
  <c r="F682" i="5"/>
  <c r="E682" i="5"/>
  <c r="V682" i="5" s="1"/>
  <c r="W682" i="5" s="1"/>
  <c r="D682" i="5"/>
  <c r="S682" i="5" s="1"/>
  <c r="AB682" i="5" s="1"/>
  <c r="C682" i="5"/>
  <c r="B682" i="5"/>
  <c r="Z682" i="5" s="1"/>
  <c r="O681" i="5"/>
  <c r="K681" i="5"/>
  <c r="L681" i="5" s="1"/>
  <c r="M681" i="5" s="1"/>
  <c r="N681" i="5" s="1"/>
  <c r="J681" i="5"/>
  <c r="G681" i="5"/>
  <c r="P681" i="5" s="1"/>
  <c r="F681" i="5"/>
  <c r="E681" i="5"/>
  <c r="V681" i="5" s="1"/>
  <c r="W681" i="5" s="1"/>
  <c r="D681" i="5"/>
  <c r="S681" i="5" s="1"/>
  <c r="AB681" i="5" s="1"/>
  <c r="C681" i="5"/>
  <c r="B681" i="5"/>
  <c r="AA681" i="5" s="1"/>
  <c r="O680" i="5"/>
  <c r="K680" i="5"/>
  <c r="L680" i="5" s="1"/>
  <c r="M680" i="5" s="1"/>
  <c r="N680" i="5" s="1"/>
  <c r="J680" i="5"/>
  <c r="G680" i="5"/>
  <c r="P680" i="5" s="1"/>
  <c r="F680" i="5"/>
  <c r="E680" i="5"/>
  <c r="D680" i="5"/>
  <c r="S680" i="5" s="1"/>
  <c r="AB680" i="5" s="1"/>
  <c r="C680" i="5"/>
  <c r="B680" i="5"/>
  <c r="O679" i="5"/>
  <c r="K679" i="5"/>
  <c r="L679" i="5" s="1"/>
  <c r="M679" i="5" s="1"/>
  <c r="N679" i="5" s="1"/>
  <c r="J679" i="5"/>
  <c r="G679" i="5"/>
  <c r="F679" i="5"/>
  <c r="E679" i="5"/>
  <c r="V679" i="5" s="1"/>
  <c r="W679" i="5" s="1"/>
  <c r="D679" i="5"/>
  <c r="S679" i="5" s="1"/>
  <c r="AB679" i="5" s="1"/>
  <c r="C679" i="5"/>
  <c r="B679" i="5"/>
  <c r="O678" i="5"/>
  <c r="K678" i="5"/>
  <c r="L678" i="5" s="1"/>
  <c r="M678" i="5" s="1"/>
  <c r="N678" i="5" s="1"/>
  <c r="J678" i="5"/>
  <c r="G678" i="5"/>
  <c r="H678" i="5" s="1"/>
  <c r="F678" i="5"/>
  <c r="E678" i="5"/>
  <c r="D678" i="5"/>
  <c r="S678" i="5" s="1"/>
  <c r="AB678" i="5" s="1"/>
  <c r="C678" i="5"/>
  <c r="B678" i="5"/>
  <c r="O677" i="5"/>
  <c r="K677" i="5"/>
  <c r="L677" i="5" s="1"/>
  <c r="M677" i="5" s="1"/>
  <c r="N677" i="5" s="1"/>
  <c r="J677" i="5"/>
  <c r="G677" i="5"/>
  <c r="H677" i="5" s="1"/>
  <c r="F677" i="5"/>
  <c r="E677" i="5"/>
  <c r="V677" i="5" s="1"/>
  <c r="W677" i="5" s="1"/>
  <c r="D677" i="5"/>
  <c r="S677" i="5" s="1"/>
  <c r="AB677" i="5" s="1"/>
  <c r="C677" i="5"/>
  <c r="B677" i="5"/>
  <c r="Z677" i="5" s="1"/>
  <c r="O676" i="5"/>
  <c r="K676" i="5"/>
  <c r="L676" i="5" s="1"/>
  <c r="M676" i="5" s="1"/>
  <c r="N676" i="5" s="1"/>
  <c r="J676" i="5"/>
  <c r="G676" i="5"/>
  <c r="H676" i="5" s="1"/>
  <c r="F676" i="5"/>
  <c r="E676" i="5"/>
  <c r="D676" i="5"/>
  <c r="S676" i="5" s="1"/>
  <c r="AB676" i="5" s="1"/>
  <c r="C676" i="5"/>
  <c r="B676" i="5"/>
  <c r="O675" i="5"/>
  <c r="K675" i="5"/>
  <c r="L675" i="5" s="1"/>
  <c r="M675" i="5" s="1"/>
  <c r="N675" i="5" s="1"/>
  <c r="J675" i="5"/>
  <c r="G675" i="5"/>
  <c r="H675" i="5" s="1"/>
  <c r="F675" i="5"/>
  <c r="E675" i="5"/>
  <c r="D675" i="5"/>
  <c r="Q675" i="5" s="1"/>
  <c r="C675" i="5"/>
  <c r="B675" i="5"/>
  <c r="Z675" i="5" s="1"/>
  <c r="O674" i="5"/>
  <c r="K674" i="5"/>
  <c r="L674" i="5" s="1"/>
  <c r="M674" i="5" s="1"/>
  <c r="N674" i="5" s="1"/>
  <c r="J674" i="5"/>
  <c r="G674" i="5"/>
  <c r="H674" i="5" s="1"/>
  <c r="I674" i="5" s="1"/>
  <c r="F674" i="5"/>
  <c r="E674" i="5"/>
  <c r="V674" i="5" s="1"/>
  <c r="W674" i="5" s="1"/>
  <c r="D674" i="5"/>
  <c r="C674" i="5"/>
  <c r="B674" i="5"/>
  <c r="Z674" i="5" s="1"/>
  <c r="O673" i="5"/>
  <c r="K673" i="5"/>
  <c r="L673" i="5" s="1"/>
  <c r="M673" i="5" s="1"/>
  <c r="N673" i="5" s="1"/>
  <c r="J673" i="5"/>
  <c r="G673" i="5"/>
  <c r="P673" i="5" s="1"/>
  <c r="F673" i="5"/>
  <c r="E673" i="5"/>
  <c r="V673" i="5" s="1"/>
  <c r="W673" i="5" s="1"/>
  <c r="D673" i="5"/>
  <c r="S673" i="5" s="1"/>
  <c r="AB673" i="5" s="1"/>
  <c r="C673" i="5"/>
  <c r="B673" i="5"/>
  <c r="Z673" i="5" s="1"/>
  <c r="O672" i="5"/>
  <c r="K672" i="5"/>
  <c r="L672" i="5" s="1"/>
  <c r="M672" i="5" s="1"/>
  <c r="N672" i="5" s="1"/>
  <c r="J672" i="5"/>
  <c r="G672" i="5"/>
  <c r="F672" i="5"/>
  <c r="E672" i="5"/>
  <c r="D672" i="5"/>
  <c r="S672" i="5" s="1"/>
  <c r="AB672" i="5" s="1"/>
  <c r="C672" i="5"/>
  <c r="B672" i="5"/>
  <c r="Z672" i="5" s="1"/>
  <c r="O671" i="5"/>
  <c r="K671" i="5"/>
  <c r="L671" i="5" s="1"/>
  <c r="M671" i="5" s="1"/>
  <c r="N671" i="5" s="1"/>
  <c r="J671" i="5"/>
  <c r="G671" i="5"/>
  <c r="P671" i="5" s="1"/>
  <c r="F671" i="5"/>
  <c r="E671" i="5"/>
  <c r="V671" i="5" s="1"/>
  <c r="W671" i="5" s="1"/>
  <c r="D671" i="5"/>
  <c r="S671" i="5" s="1"/>
  <c r="AB671" i="5" s="1"/>
  <c r="C671" i="5"/>
  <c r="B671" i="5"/>
  <c r="O670" i="5"/>
  <c r="K670" i="5"/>
  <c r="L670" i="5" s="1"/>
  <c r="M670" i="5" s="1"/>
  <c r="N670" i="5" s="1"/>
  <c r="J670" i="5"/>
  <c r="G670" i="5"/>
  <c r="H670" i="5" s="1"/>
  <c r="F670" i="5"/>
  <c r="E670" i="5"/>
  <c r="D670" i="5"/>
  <c r="S670" i="5" s="1"/>
  <c r="AB670" i="5" s="1"/>
  <c r="C670" i="5"/>
  <c r="B670" i="5"/>
  <c r="O669" i="5"/>
  <c r="K669" i="5"/>
  <c r="L669" i="5" s="1"/>
  <c r="M669" i="5" s="1"/>
  <c r="N669" i="5" s="1"/>
  <c r="J669" i="5"/>
  <c r="G669" i="5"/>
  <c r="P669" i="5" s="1"/>
  <c r="F669" i="5"/>
  <c r="E669" i="5"/>
  <c r="V669" i="5" s="1"/>
  <c r="W669" i="5" s="1"/>
  <c r="D669" i="5"/>
  <c r="S669" i="5" s="1"/>
  <c r="AB669" i="5" s="1"/>
  <c r="C669" i="5"/>
  <c r="B669" i="5"/>
  <c r="O668" i="5"/>
  <c r="K668" i="5"/>
  <c r="L668" i="5" s="1"/>
  <c r="M668" i="5" s="1"/>
  <c r="N668" i="5" s="1"/>
  <c r="J668" i="5"/>
  <c r="G668" i="5"/>
  <c r="H668" i="5" s="1"/>
  <c r="F668" i="5"/>
  <c r="E668" i="5"/>
  <c r="V668" i="5" s="1"/>
  <c r="W668" i="5" s="1"/>
  <c r="D668" i="5"/>
  <c r="S668" i="5" s="1"/>
  <c r="AB668" i="5" s="1"/>
  <c r="C668" i="5"/>
  <c r="B668" i="5"/>
  <c r="O667" i="5"/>
  <c r="K667" i="5"/>
  <c r="L667" i="5" s="1"/>
  <c r="M667" i="5" s="1"/>
  <c r="N667" i="5" s="1"/>
  <c r="J667" i="5"/>
  <c r="G667" i="5"/>
  <c r="H667" i="5" s="1"/>
  <c r="F667" i="5"/>
  <c r="E667" i="5"/>
  <c r="D667" i="5"/>
  <c r="S667" i="5" s="1"/>
  <c r="AB667" i="5" s="1"/>
  <c r="C667" i="5"/>
  <c r="B667" i="5"/>
  <c r="O666" i="5"/>
  <c r="K666" i="5"/>
  <c r="L666" i="5" s="1"/>
  <c r="M666" i="5" s="1"/>
  <c r="N666" i="5" s="1"/>
  <c r="J666" i="5"/>
  <c r="G666" i="5"/>
  <c r="H666" i="5" s="1"/>
  <c r="F666" i="5"/>
  <c r="E666" i="5"/>
  <c r="V666" i="5" s="1"/>
  <c r="W666" i="5" s="1"/>
  <c r="D666" i="5"/>
  <c r="S666" i="5" s="1"/>
  <c r="AB666" i="5" s="1"/>
  <c r="C666" i="5"/>
  <c r="B666" i="5"/>
  <c r="Z666" i="5" s="1"/>
  <c r="O665" i="5"/>
  <c r="K665" i="5"/>
  <c r="L665" i="5" s="1"/>
  <c r="M665" i="5" s="1"/>
  <c r="N665" i="5" s="1"/>
  <c r="J665" i="5"/>
  <c r="G665" i="5"/>
  <c r="P665" i="5" s="1"/>
  <c r="F665" i="5"/>
  <c r="E665" i="5"/>
  <c r="V665" i="5" s="1"/>
  <c r="W665" i="5" s="1"/>
  <c r="D665" i="5"/>
  <c r="S665" i="5" s="1"/>
  <c r="AB665" i="5" s="1"/>
  <c r="C665" i="5"/>
  <c r="B665" i="5"/>
  <c r="Z665" i="5" s="1"/>
  <c r="O664" i="5"/>
  <c r="K664" i="5"/>
  <c r="L664" i="5" s="1"/>
  <c r="M664" i="5" s="1"/>
  <c r="N664" i="5" s="1"/>
  <c r="J664" i="5"/>
  <c r="G664" i="5"/>
  <c r="H664" i="5" s="1"/>
  <c r="F664" i="5"/>
  <c r="E664" i="5"/>
  <c r="D664" i="5"/>
  <c r="S664" i="5" s="1"/>
  <c r="AB664" i="5" s="1"/>
  <c r="C664" i="5"/>
  <c r="B664" i="5"/>
  <c r="Z664" i="5" s="1"/>
  <c r="O663" i="5"/>
  <c r="K663" i="5"/>
  <c r="L663" i="5" s="1"/>
  <c r="M663" i="5" s="1"/>
  <c r="N663" i="5" s="1"/>
  <c r="J663" i="5"/>
  <c r="G663" i="5"/>
  <c r="H663" i="5" s="1"/>
  <c r="I663" i="5" s="1"/>
  <c r="F663" i="5"/>
  <c r="E663" i="5"/>
  <c r="V663" i="5" s="1"/>
  <c r="W663" i="5" s="1"/>
  <c r="D663" i="5"/>
  <c r="C663" i="5"/>
  <c r="B663" i="5"/>
  <c r="O662" i="5"/>
  <c r="K662" i="5"/>
  <c r="L662" i="5" s="1"/>
  <c r="M662" i="5" s="1"/>
  <c r="N662" i="5" s="1"/>
  <c r="J662" i="5"/>
  <c r="G662" i="5"/>
  <c r="H662" i="5" s="1"/>
  <c r="F662" i="5"/>
  <c r="E662" i="5"/>
  <c r="D662" i="5"/>
  <c r="Q662" i="5" s="1"/>
  <c r="C662" i="5"/>
  <c r="B662" i="5"/>
  <c r="Z662" i="5" s="1"/>
  <c r="O661" i="5"/>
  <c r="K661" i="5"/>
  <c r="L661" i="5" s="1"/>
  <c r="M661" i="5" s="1"/>
  <c r="N661" i="5" s="1"/>
  <c r="J661" i="5"/>
  <c r="G661" i="5"/>
  <c r="P661" i="5" s="1"/>
  <c r="F661" i="5"/>
  <c r="E661" i="5"/>
  <c r="V661" i="5" s="1"/>
  <c r="W661" i="5" s="1"/>
  <c r="D661" i="5"/>
  <c r="S661" i="5" s="1"/>
  <c r="AB661" i="5" s="1"/>
  <c r="C661" i="5"/>
  <c r="B661" i="5"/>
  <c r="O660" i="5"/>
  <c r="K660" i="5"/>
  <c r="L660" i="5" s="1"/>
  <c r="M660" i="5" s="1"/>
  <c r="N660" i="5" s="1"/>
  <c r="J660" i="5"/>
  <c r="G660" i="5"/>
  <c r="F660" i="5"/>
  <c r="E660" i="5"/>
  <c r="V660" i="5" s="1"/>
  <c r="W660" i="5" s="1"/>
  <c r="D660" i="5"/>
  <c r="S660" i="5" s="1"/>
  <c r="AB660" i="5" s="1"/>
  <c r="C660" i="5"/>
  <c r="B660" i="5"/>
  <c r="O659" i="5"/>
  <c r="K659" i="5"/>
  <c r="L659" i="5" s="1"/>
  <c r="M659" i="5" s="1"/>
  <c r="N659" i="5" s="1"/>
  <c r="J659" i="5"/>
  <c r="G659" i="5"/>
  <c r="H659" i="5" s="1"/>
  <c r="F659" i="5"/>
  <c r="E659" i="5"/>
  <c r="D659" i="5"/>
  <c r="S659" i="5" s="1"/>
  <c r="AB659" i="5" s="1"/>
  <c r="C659" i="5"/>
  <c r="B659" i="5"/>
  <c r="Z659" i="5" s="1"/>
  <c r="O658" i="5"/>
  <c r="K658" i="5"/>
  <c r="L658" i="5" s="1"/>
  <c r="M658" i="5" s="1"/>
  <c r="N658" i="5" s="1"/>
  <c r="J658" i="5"/>
  <c r="G658" i="5"/>
  <c r="P658" i="5" s="1"/>
  <c r="F658" i="5"/>
  <c r="E658" i="5"/>
  <c r="V658" i="5" s="1"/>
  <c r="W658" i="5" s="1"/>
  <c r="D658" i="5"/>
  <c r="S658" i="5" s="1"/>
  <c r="AB658" i="5" s="1"/>
  <c r="C658" i="5"/>
  <c r="B658" i="5"/>
  <c r="O657" i="5"/>
  <c r="K657" i="5"/>
  <c r="L657" i="5" s="1"/>
  <c r="M657" i="5" s="1"/>
  <c r="N657" i="5" s="1"/>
  <c r="J657" i="5"/>
  <c r="G657" i="5"/>
  <c r="F657" i="5"/>
  <c r="E657" i="5"/>
  <c r="V657" i="5" s="1"/>
  <c r="W657" i="5" s="1"/>
  <c r="D657" i="5"/>
  <c r="S657" i="5" s="1"/>
  <c r="AB657" i="5" s="1"/>
  <c r="C657" i="5"/>
  <c r="B657" i="5"/>
  <c r="Z657" i="5" s="1"/>
  <c r="O656" i="5"/>
  <c r="K656" i="5"/>
  <c r="L656" i="5" s="1"/>
  <c r="M656" i="5" s="1"/>
  <c r="N656" i="5" s="1"/>
  <c r="J656" i="5"/>
  <c r="G656" i="5"/>
  <c r="H656" i="5" s="1"/>
  <c r="I656" i="5" s="1"/>
  <c r="F656" i="5"/>
  <c r="E656" i="5"/>
  <c r="D656" i="5"/>
  <c r="S656" i="5" s="1"/>
  <c r="AB656" i="5" s="1"/>
  <c r="C656" i="5"/>
  <c r="B656" i="5"/>
  <c r="Z656" i="5" s="1"/>
  <c r="O655" i="5"/>
  <c r="K655" i="5"/>
  <c r="L655" i="5" s="1"/>
  <c r="M655" i="5" s="1"/>
  <c r="N655" i="5" s="1"/>
  <c r="J655" i="5"/>
  <c r="G655" i="5"/>
  <c r="P655" i="5" s="1"/>
  <c r="F655" i="5"/>
  <c r="E655" i="5"/>
  <c r="D655" i="5"/>
  <c r="S655" i="5" s="1"/>
  <c r="AB655" i="5" s="1"/>
  <c r="C655" i="5"/>
  <c r="B655" i="5"/>
  <c r="O654" i="5"/>
  <c r="K654" i="5"/>
  <c r="L654" i="5" s="1"/>
  <c r="M654" i="5" s="1"/>
  <c r="N654" i="5" s="1"/>
  <c r="J654" i="5"/>
  <c r="G654" i="5"/>
  <c r="H654" i="5" s="1"/>
  <c r="F654" i="5"/>
  <c r="E654" i="5"/>
  <c r="D654" i="5"/>
  <c r="S654" i="5" s="1"/>
  <c r="AB654" i="5" s="1"/>
  <c r="C654" i="5"/>
  <c r="B654" i="5"/>
  <c r="Z654" i="5" s="1"/>
  <c r="O653" i="5"/>
  <c r="K653" i="5"/>
  <c r="L653" i="5" s="1"/>
  <c r="M653" i="5" s="1"/>
  <c r="N653" i="5" s="1"/>
  <c r="J653" i="5"/>
  <c r="G653" i="5"/>
  <c r="H653" i="5" s="1"/>
  <c r="F653" i="5"/>
  <c r="E653" i="5"/>
  <c r="V653" i="5" s="1"/>
  <c r="W653" i="5" s="1"/>
  <c r="D653" i="5"/>
  <c r="S653" i="5" s="1"/>
  <c r="AB653" i="5" s="1"/>
  <c r="C653" i="5"/>
  <c r="B653" i="5"/>
  <c r="Z653" i="5" s="1"/>
  <c r="O652" i="5"/>
  <c r="K652" i="5"/>
  <c r="L652" i="5" s="1"/>
  <c r="M652" i="5" s="1"/>
  <c r="N652" i="5" s="1"/>
  <c r="J652" i="5"/>
  <c r="G652" i="5"/>
  <c r="H652" i="5" s="1"/>
  <c r="F652" i="5"/>
  <c r="E652" i="5"/>
  <c r="V652" i="5" s="1"/>
  <c r="W652" i="5" s="1"/>
  <c r="D652" i="5"/>
  <c r="S652" i="5" s="1"/>
  <c r="AB652" i="5" s="1"/>
  <c r="C652" i="5"/>
  <c r="B652" i="5"/>
  <c r="O651" i="5"/>
  <c r="K651" i="5"/>
  <c r="L651" i="5" s="1"/>
  <c r="M651" i="5" s="1"/>
  <c r="N651" i="5" s="1"/>
  <c r="J651" i="5"/>
  <c r="G651" i="5"/>
  <c r="F651" i="5"/>
  <c r="E651" i="5"/>
  <c r="D651" i="5"/>
  <c r="Q651" i="5" s="1"/>
  <c r="C651" i="5"/>
  <c r="B651" i="5"/>
  <c r="O650" i="5"/>
  <c r="K650" i="5"/>
  <c r="L650" i="5" s="1"/>
  <c r="M650" i="5" s="1"/>
  <c r="N650" i="5" s="1"/>
  <c r="J650" i="5"/>
  <c r="G650" i="5"/>
  <c r="H650" i="5" s="1"/>
  <c r="F650" i="5"/>
  <c r="E650" i="5"/>
  <c r="V650" i="5" s="1"/>
  <c r="W650" i="5" s="1"/>
  <c r="D650" i="5"/>
  <c r="Q650" i="5" s="1"/>
  <c r="C650" i="5"/>
  <c r="B650" i="5"/>
  <c r="Z650" i="5" s="1"/>
  <c r="O649" i="5"/>
  <c r="K649" i="5"/>
  <c r="L649" i="5" s="1"/>
  <c r="M649" i="5" s="1"/>
  <c r="N649" i="5" s="1"/>
  <c r="J649" i="5"/>
  <c r="G649" i="5"/>
  <c r="F649" i="5"/>
  <c r="E649" i="5"/>
  <c r="V649" i="5" s="1"/>
  <c r="W649" i="5" s="1"/>
  <c r="D649" i="5"/>
  <c r="S649" i="5" s="1"/>
  <c r="AB649" i="5" s="1"/>
  <c r="C649" i="5"/>
  <c r="B649" i="5"/>
  <c r="O648" i="5"/>
  <c r="K648" i="5"/>
  <c r="L648" i="5" s="1"/>
  <c r="M648" i="5" s="1"/>
  <c r="N648" i="5" s="1"/>
  <c r="J648" i="5"/>
  <c r="G648" i="5"/>
  <c r="H648" i="5" s="1"/>
  <c r="F648" i="5"/>
  <c r="E648" i="5"/>
  <c r="D648" i="5"/>
  <c r="S648" i="5" s="1"/>
  <c r="AB648" i="5" s="1"/>
  <c r="C648" i="5"/>
  <c r="B648" i="5"/>
  <c r="Z648" i="5" s="1"/>
  <c r="O647" i="5"/>
  <c r="K647" i="5"/>
  <c r="L647" i="5" s="1"/>
  <c r="M647" i="5" s="1"/>
  <c r="N647" i="5" s="1"/>
  <c r="J647" i="5"/>
  <c r="G647" i="5"/>
  <c r="P647" i="5" s="1"/>
  <c r="F647" i="5"/>
  <c r="E647" i="5"/>
  <c r="V647" i="5" s="1"/>
  <c r="W647" i="5" s="1"/>
  <c r="D647" i="5"/>
  <c r="S647" i="5" s="1"/>
  <c r="AB647" i="5" s="1"/>
  <c r="C647" i="5"/>
  <c r="B647" i="5"/>
  <c r="O646" i="5"/>
  <c r="K646" i="5"/>
  <c r="L646" i="5" s="1"/>
  <c r="M646" i="5" s="1"/>
  <c r="N646" i="5" s="1"/>
  <c r="J646" i="5"/>
  <c r="G646" i="5"/>
  <c r="H646" i="5" s="1"/>
  <c r="F646" i="5"/>
  <c r="E646" i="5"/>
  <c r="D646" i="5"/>
  <c r="S646" i="5" s="1"/>
  <c r="AB646" i="5" s="1"/>
  <c r="C646" i="5"/>
  <c r="B646" i="5"/>
  <c r="Z646" i="5" s="1"/>
  <c r="O645" i="5"/>
  <c r="K645" i="5"/>
  <c r="L645" i="5" s="1"/>
  <c r="M645" i="5" s="1"/>
  <c r="N645" i="5" s="1"/>
  <c r="J645" i="5"/>
  <c r="G645" i="5"/>
  <c r="H645" i="5" s="1"/>
  <c r="F645" i="5"/>
  <c r="E645" i="5"/>
  <c r="V645" i="5" s="1"/>
  <c r="W645" i="5" s="1"/>
  <c r="D645" i="5"/>
  <c r="S645" i="5" s="1"/>
  <c r="AB645" i="5" s="1"/>
  <c r="C645" i="5"/>
  <c r="B645" i="5"/>
  <c r="Z645" i="5" s="1"/>
  <c r="O644" i="5"/>
  <c r="K644" i="5"/>
  <c r="L644" i="5" s="1"/>
  <c r="M644" i="5" s="1"/>
  <c r="N644" i="5" s="1"/>
  <c r="J644" i="5"/>
  <c r="G644" i="5"/>
  <c r="H644" i="5" s="1"/>
  <c r="F644" i="5"/>
  <c r="E644" i="5"/>
  <c r="D644" i="5"/>
  <c r="S644" i="5" s="1"/>
  <c r="AB644" i="5" s="1"/>
  <c r="C644" i="5"/>
  <c r="B644" i="5"/>
  <c r="O643" i="5"/>
  <c r="K643" i="5"/>
  <c r="L643" i="5" s="1"/>
  <c r="M643" i="5" s="1"/>
  <c r="N643" i="5" s="1"/>
  <c r="J643" i="5"/>
  <c r="G643" i="5"/>
  <c r="F643" i="5"/>
  <c r="E643" i="5"/>
  <c r="D643" i="5"/>
  <c r="S643" i="5" s="1"/>
  <c r="AB643" i="5" s="1"/>
  <c r="C643" i="5"/>
  <c r="B643" i="5"/>
  <c r="O642" i="5"/>
  <c r="K642" i="5"/>
  <c r="L642" i="5" s="1"/>
  <c r="M642" i="5" s="1"/>
  <c r="N642" i="5" s="1"/>
  <c r="J642" i="5"/>
  <c r="G642" i="5"/>
  <c r="H642" i="5" s="1"/>
  <c r="I642" i="5" s="1"/>
  <c r="F642" i="5"/>
  <c r="E642" i="5"/>
  <c r="V642" i="5" s="1"/>
  <c r="W642" i="5" s="1"/>
  <c r="D642" i="5"/>
  <c r="S642" i="5" s="1"/>
  <c r="AB642" i="5" s="1"/>
  <c r="C642" i="5"/>
  <c r="B642" i="5"/>
  <c r="O641" i="5"/>
  <c r="K641" i="5"/>
  <c r="L641" i="5" s="1"/>
  <c r="M641" i="5" s="1"/>
  <c r="N641" i="5" s="1"/>
  <c r="J641" i="5"/>
  <c r="G641" i="5"/>
  <c r="F641" i="5"/>
  <c r="E641" i="5"/>
  <c r="V641" i="5" s="1"/>
  <c r="W641" i="5" s="1"/>
  <c r="D641" i="5"/>
  <c r="S641" i="5" s="1"/>
  <c r="AB641" i="5" s="1"/>
  <c r="C641" i="5"/>
  <c r="B641" i="5"/>
  <c r="Z641" i="5" s="1"/>
  <c r="O640" i="5"/>
  <c r="K640" i="5"/>
  <c r="L640" i="5" s="1"/>
  <c r="M640" i="5" s="1"/>
  <c r="N640" i="5" s="1"/>
  <c r="J640" i="5"/>
  <c r="G640" i="5"/>
  <c r="H640" i="5" s="1"/>
  <c r="F640" i="5"/>
  <c r="E640" i="5"/>
  <c r="D640" i="5"/>
  <c r="S640" i="5" s="1"/>
  <c r="AB640" i="5" s="1"/>
  <c r="C640" i="5"/>
  <c r="B640" i="5"/>
  <c r="O639" i="5"/>
  <c r="K639" i="5"/>
  <c r="L639" i="5" s="1"/>
  <c r="M639" i="5" s="1"/>
  <c r="N639" i="5" s="1"/>
  <c r="J639" i="5"/>
  <c r="G639" i="5"/>
  <c r="P639" i="5" s="1"/>
  <c r="F639" i="5"/>
  <c r="E639" i="5"/>
  <c r="V639" i="5" s="1"/>
  <c r="W639" i="5" s="1"/>
  <c r="D639" i="5"/>
  <c r="Q639" i="5" s="1"/>
  <c r="C639" i="5"/>
  <c r="B639" i="5"/>
  <c r="O638" i="5"/>
  <c r="K638" i="5"/>
  <c r="L638" i="5" s="1"/>
  <c r="M638" i="5" s="1"/>
  <c r="N638" i="5" s="1"/>
  <c r="J638" i="5"/>
  <c r="G638" i="5"/>
  <c r="H638" i="5" s="1"/>
  <c r="F638" i="5"/>
  <c r="E638" i="5"/>
  <c r="D638" i="5"/>
  <c r="Q638" i="5" s="1"/>
  <c r="C638" i="5"/>
  <c r="B638" i="5"/>
  <c r="Z638" i="5" s="1"/>
  <c r="O637" i="5"/>
  <c r="K637" i="5"/>
  <c r="L637" i="5" s="1"/>
  <c r="M637" i="5" s="1"/>
  <c r="N637" i="5" s="1"/>
  <c r="J637" i="5"/>
  <c r="G637" i="5"/>
  <c r="H637" i="5" s="1"/>
  <c r="F637" i="5"/>
  <c r="E637" i="5"/>
  <c r="V637" i="5" s="1"/>
  <c r="W637" i="5" s="1"/>
  <c r="D637" i="5"/>
  <c r="S637" i="5" s="1"/>
  <c r="AB637" i="5" s="1"/>
  <c r="C637" i="5"/>
  <c r="B637" i="5"/>
  <c r="Z637" i="5" s="1"/>
  <c r="O636" i="5"/>
  <c r="K636" i="5"/>
  <c r="L636" i="5" s="1"/>
  <c r="M636" i="5" s="1"/>
  <c r="N636" i="5" s="1"/>
  <c r="J636" i="5"/>
  <c r="G636" i="5"/>
  <c r="H636" i="5" s="1"/>
  <c r="F636" i="5"/>
  <c r="E636" i="5"/>
  <c r="V636" i="5" s="1"/>
  <c r="W636" i="5" s="1"/>
  <c r="D636" i="5"/>
  <c r="S636" i="5" s="1"/>
  <c r="AB636" i="5" s="1"/>
  <c r="C636" i="5"/>
  <c r="B636" i="5"/>
  <c r="O635" i="5"/>
  <c r="K635" i="5"/>
  <c r="L635" i="5" s="1"/>
  <c r="M635" i="5" s="1"/>
  <c r="N635" i="5" s="1"/>
  <c r="J635" i="5"/>
  <c r="G635" i="5"/>
  <c r="F635" i="5"/>
  <c r="E635" i="5"/>
  <c r="D635" i="5"/>
  <c r="S635" i="5" s="1"/>
  <c r="AB635" i="5" s="1"/>
  <c r="C635" i="5"/>
  <c r="B635" i="5"/>
  <c r="Z635" i="5" s="1"/>
  <c r="O634" i="5"/>
  <c r="K634" i="5"/>
  <c r="L634" i="5" s="1"/>
  <c r="M634" i="5" s="1"/>
  <c r="N634" i="5" s="1"/>
  <c r="J634" i="5"/>
  <c r="G634" i="5"/>
  <c r="H634" i="5" s="1"/>
  <c r="F634" i="5"/>
  <c r="E634" i="5"/>
  <c r="T634" i="5" s="1"/>
  <c r="D634" i="5"/>
  <c r="S634" i="5" s="1"/>
  <c r="AB634" i="5" s="1"/>
  <c r="C634" i="5"/>
  <c r="B634" i="5"/>
  <c r="O633" i="5"/>
  <c r="K633" i="5"/>
  <c r="L633" i="5" s="1"/>
  <c r="M633" i="5" s="1"/>
  <c r="N633" i="5" s="1"/>
  <c r="J633" i="5"/>
  <c r="G633" i="5"/>
  <c r="F633" i="5"/>
  <c r="E633" i="5"/>
  <c r="V633" i="5" s="1"/>
  <c r="W633" i="5" s="1"/>
  <c r="D633" i="5"/>
  <c r="S633" i="5" s="1"/>
  <c r="AB633" i="5" s="1"/>
  <c r="C633" i="5"/>
  <c r="B633" i="5"/>
  <c r="O632" i="5"/>
  <c r="K632" i="5"/>
  <c r="L632" i="5" s="1"/>
  <c r="M632" i="5" s="1"/>
  <c r="N632" i="5" s="1"/>
  <c r="J632" i="5"/>
  <c r="G632" i="5"/>
  <c r="P632" i="5" s="1"/>
  <c r="F632" i="5"/>
  <c r="E632" i="5"/>
  <c r="D632" i="5"/>
  <c r="S632" i="5" s="1"/>
  <c r="AB632" i="5" s="1"/>
  <c r="C632" i="5"/>
  <c r="B632" i="5"/>
  <c r="Z632" i="5" s="1"/>
  <c r="O631" i="5"/>
  <c r="K631" i="5"/>
  <c r="L631" i="5" s="1"/>
  <c r="M631" i="5" s="1"/>
  <c r="N631" i="5" s="1"/>
  <c r="J631" i="5"/>
  <c r="G631" i="5"/>
  <c r="H631" i="5" s="1"/>
  <c r="I631" i="5" s="1"/>
  <c r="F631" i="5"/>
  <c r="E631" i="5"/>
  <c r="V631" i="5" s="1"/>
  <c r="W631" i="5" s="1"/>
  <c r="D631" i="5"/>
  <c r="S631" i="5" s="1"/>
  <c r="AB631" i="5" s="1"/>
  <c r="C631" i="5"/>
  <c r="B631" i="5"/>
  <c r="O630" i="5"/>
  <c r="K630" i="5"/>
  <c r="L630" i="5" s="1"/>
  <c r="M630" i="5" s="1"/>
  <c r="N630" i="5" s="1"/>
  <c r="J630" i="5"/>
  <c r="G630" i="5"/>
  <c r="P630" i="5" s="1"/>
  <c r="F630" i="5"/>
  <c r="E630" i="5"/>
  <c r="D630" i="5"/>
  <c r="S630" i="5" s="1"/>
  <c r="AB630" i="5" s="1"/>
  <c r="C630" i="5"/>
  <c r="B630" i="5"/>
  <c r="O629" i="5"/>
  <c r="K629" i="5"/>
  <c r="L629" i="5" s="1"/>
  <c r="M629" i="5" s="1"/>
  <c r="N629" i="5" s="1"/>
  <c r="J629" i="5"/>
  <c r="G629" i="5"/>
  <c r="H629" i="5" s="1"/>
  <c r="F629" i="5"/>
  <c r="E629" i="5"/>
  <c r="V629" i="5" s="1"/>
  <c r="W629" i="5" s="1"/>
  <c r="D629" i="5"/>
  <c r="S629" i="5" s="1"/>
  <c r="AB629" i="5" s="1"/>
  <c r="C629" i="5"/>
  <c r="B629" i="5"/>
  <c r="Z629" i="5" s="1"/>
  <c r="O628" i="5"/>
  <c r="K628" i="5"/>
  <c r="L628" i="5" s="1"/>
  <c r="M628" i="5" s="1"/>
  <c r="N628" i="5" s="1"/>
  <c r="J628" i="5"/>
  <c r="G628" i="5"/>
  <c r="F628" i="5"/>
  <c r="E628" i="5"/>
  <c r="V628" i="5" s="1"/>
  <c r="W628" i="5" s="1"/>
  <c r="D628" i="5"/>
  <c r="S628" i="5" s="1"/>
  <c r="AB628" i="5" s="1"/>
  <c r="C628" i="5"/>
  <c r="B628" i="5"/>
  <c r="O627" i="5"/>
  <c r="K627" i="5"/>
  <c r="L627" i="5" s="1"/>
  <c r="M627" i="5" s="1"/>
  <c r="N627" i="5" s="1"/>
  <c r="J627" i="5"/>
  <c r="G627" i="5"/>
  <c r="P627" i="5" s="1"/>
  <c r="F627" i="5"/>
  <c r="E627" i="5"/>
  <c r="D627" i="5"/>
  <c r="Q627" i="5" s="1"/>
  <c r="C627" i="5"/>
  <c r="B627" i="5"/>
  <c r="Z627" i="5" s="1"/>
  <c r="O626" i="5"/>
  <c r="K626" i="5"/>
  <c r="L626" i="5" s="1"/>
  <c r="M626" i="5" s="1"/>
  <c r="N626" i="5" s="1"/>
  <c r="J626" i="5"/>
  <c r="G626" i="5"/>
  <c r="F626" i="5"/>
  <c r="E626" i="5"/>
  <c r="V626" i="5" s="1"/>
  <c r="W626" i="5" s="1"/>
  <c r="D626" i="5"/>
  <c r="S626" i="5" s="1"/>
  <c r="AB626" i="5" s="1"/>
  <c r="C626" i="5"/>
  <c r="B626" i="5"/>
  <c r="Z626" i="5" s="1"/>
  <c r="O625" i="5"/>
  <c r="K625" i="5"/>
  <c r="L625" i="5" s="1"/>
  <c r="M625" i="5" s="1"/>
  <c r="N625" i="5" s="1"/>
  <c r="J625" i="5"/>
  <c r="G625" i="5"/>
  <c r="H625" i="5" s="1"/>
  <c r="F625" i="5"/>
  <c r="E625" i="5"/>
  <c r="V625" i="5" s="1"/>
  <c r="W625" i="5" s="1"/>
  <c r="D625" i="5"/>
  <c r="S625" i="5" s="1"/>
  <c r="AB625" i="5" s="1"/>
  <c r="C625" i="5"/>
  <c r="B625" i="5"/>
  <c r="O624" i="5"/>
  <c r="K624" i="5"/>
  <c r="L624" i="5" s="1"/>
  <c r="M624" i="5" s="1"/>
  <c r="N624" i="5" s="1"/>
  <c r="J624" i="5"/>
  <c r="G624" i="5"/>
  <c r="F624" i="5"/>
  <c r="E624" i="5"/>
  <c r="D624" i="5"/>
  <c r="Q624" i="5" s="1"/>
  <c r="C624" i="5"/>
  <c r="B624" i="5"/>
  <c r="O623" i="5"/>
  <c r="K623" i="5"/>
  <c r="L623" i="5" s="1"/>
  <c r="M623" i="5" s="1"/>
  <c r="N623" i="5" s="1"/>
  <c r="J623" i="5"/>
  <c r="G623" i="5"/>
  <c r="P623" i="5" s="1"/>
  <c r="F623" i="5"/>
  <c r="E623" i="5"/>
  <c r="D623" i="5"/>
  <c r="S623" i="5" s="1"/>
  <c r="AB623" i="5" s="1"/>
  <c r="C623" i="5"/>
  <c r="B623" i="5"/>
  <c r="O622" i="5"/>
  <c r="K622" i="5"/>
  <c r="L622" i="5" s="1"/>
  <c r="M622" i="5" s="1"/>
  <c r="N622" i="5" s="1"/>
  <c r="J622" i="5"/>
  <c r="G622" i="5"/>
  <c r="H622" i="5" s="1"/>
  <c r="F622" i="5"/>
  <c r="E622" i="5"/>
  <c r="D622" i="5"/>
  <c r="S622" i="5" s="1"/>
  <c r="AB622" i="5" s="1"/>
  <c r="C622" i="5"/>
  <c r="B622" i="5"/>
  <c r="Z622" i="5" s="1"/>
  <c r="O621" i="5"/>
  <c r="K621" i="5"/>
  <c r="L621" i="5" s="1"/>
  <c r="M621" i="5" s="1"/>
  <c r="N621" i="5" s="1"/>
  <c r="J621" i="5"/>
  <c r="G621" i="5"/>
  <c r="P621" i="5" s="1"/>
  <c r="F621" i="5"/>
  <c r="E621" i="5"/>
  <c r="V621" i="5" s="1"/>
  <c r="W621" i="5" s="1"/>
  <c r="D621" i="5"/>
  <c r="S621" i="5" s="1"/>
  <c r="AB621" i="5" s="1"/>
  <c r="C621" i="5"/>
  <c r="B621" i="5"/>
  <c r="O620" i="5"/>
  <c r="K620" i="5"/>
  <c r="L620" i="5" s="1"/>
  <c r="M620" i="5" s="1"/>
  <c r="N620" i="5" s="1"/>
  <c r="J620" i="5"/>
  <c r="G620" i="5"/>
  <c r="H620" i="5" s="1"/>
  <c r="F620" i="5"/>
  <c r="E620" i="5"/>
  <c r="V620" i="5" s="1"/>
  <c r="W620" i="5" s="1"/>
  <c r="D620" i="5"/>
  <c r="S620" i="5" s="1"/>
  <c r="AB620" i="5" s="1"/>
  <c r="C620" i="5"/>
  <c r="B620" i="5"/>
  <c r="O619" i="5"/>
  <c r="K619" i="5"/>
  <c r="L619" i="5" s="1"/>
  <c r="M619" i="5" s="1"/>
  <c r="N619" i="5" s="1"/>
  <c r="J619" i="5"/>
  <c r="G619" i="5"/>
  <c r="P619" i="5" s="1"/>
  <c r="F619" i="5"/>
  <c r="E619" i="5"/>
  <c r="D619" i="5"/>
  <c r="S619" i="5" s="1"/>
  <c r="AB619" i="5" s="1"/>
  <c r="C619" i="5"/>
  <c r="B619" i="5"/>
  <c r="Z619" i="5" s="1"/>
  <c r="O618" i="5"/>
  <c r="K618" i="5"/>
  <c r="L618" i="5" s="1"/>
  <c r="M618" i="5" s="1"/>
  <c r="N618" i="5" s="1"/>
  <c r="J618" i="5"/>
  <c r="G618" i="5"/>
  <c r="P618" i="5" s="1"/>
  <c r="F618" i="5"/>
  <c r="E618" i="5"/>
  <c r="V618" i="5" s="1"/>
  <c r="W618" i="5" s="1"/>
  <c r="D618" i="5"/>
  <c r="S618" i="5" s="1"/>
  <c r="AB618" i="5" s="1"/>
  <c r="C618" i="5"/>
  <c r="B618" i="5"/>
  <c r="Z618" i="5" s="1"/>
  <c r="O617" i="5"/>
  <c r="K617" i="5"/>
  <c r="L617" i="5" s="1"/>
  <c r="M617" i="5" s="1"/>
  <c r="N617" i="5" s="1"/>
  <c r="J617" i="5"/>
  <c r="G617" i="5"/>
  <c r="P617" i="5" s="1"/>
  <c r="F617" i="5"/>
  <c r="E617" i="5"/>
  <c r="V617" i="5" s="1"/>
  <c r="W617" i="5" s="1"/>
  <c r="D617" i="5"/>
  <c r="S617" i="5" s="1"/>
  <c r="AB617" i="5" s="1"/>
  <c r="C617" i="5"/>
  <c r="B617" i="5"/>
  <c r="Z617" i="5" s="1"/>
  <c r="O616" i="5"/>
  <c r="K616" i="5"/>
  <c r="L616" i="5" s="1"/>
  <c r="M616" i="5" s="1"/>
  <c r="N616" i="5" s="1"/>
  <c r="J616" i="5"/>
  <c r="G616" i="5"/>
  <c r="H616" i="5" s="1"/>
  <c r="F616" i="5"/>
  <c r="E616" i="5"/>
  <c r="D616" i="5"/>
  <c r="S616" i="5" s="1"/>
  <c r="AB616" i="5" s="1"/>
  <c r="C616" i="5"/>
  <c r="B616" i="5"/>
  <c r="O615" i="5"/>
  <c r="K615" i="5"/>
  <c r="L615" i="5" s="1"/>
  <c r="M615" i="5" s="1"/>
  <c r="N615" i="5" s="1"/>
  <c r="J615" i="5"/>
  <c r="G615" i="5"/>
  <c r="P615" i="5" s="1"/>
  <c r="F615" i="5"/>
  <c r="E615" i="5"/>
  <c r="V615" i="5" s="1"/>
  <c r="W615" i="5" s="1"/>
  <c r="D615" i="5"/>
  <c r="S615" i="5" s="1"/>
  <c r="AB615" i="5" s="1"/>
  <c r="C615" i="5"/>
  <c r="B615" i="5"/>
  <c r="O614" i="5"/>
  <c r="K614" i="5"/>
  <c r="L614" i="5" s="1"/>
  <c r="M614" i="5" s="1"/>
  <c r="N614" i="5" s="1"/>
  <c r="J614" i="5"/>
  <c r="G614" i="5"/>
  <c r="H614" i="5" s="1"/>
  <c r="F614" i="5"/>
  <c r="E614" i="5"/>
  <c r="V614" i="5" s="1"/>
  <c r="W614" i="5" s="1"/>
  <c r="D614" i="5"/>
  <c r="Q614" i="5" s="1"/>
  <c r="C614" i="5"/>
  <c r="B614" i="5"/>
  <c r="O613" i="5"/>
  <c r="K613" i="5"/>
  <c r="L613" i="5" s="1"/>
  <c r="M613" i="5" s="1"/>
  <c r="N613" i="5" s="1"/>
  <c r="J613" i="5"/>
  <c r="G613" i="5"/>
  <c r="P613" i="5" s="1"/>
  <c r="F613" i="5"/>
  <c r="E613" i="5"/>
  <c r="V613" i="5" s="1"/>
  <c r="W613" i="5" s="1"/>
  <c r="D613" i="5"/>
  <c r="S613" i="5" s="1"/>
  <c r="AB613" i="5" s="1"/>
  <c r="C613" i="5"/>
  <c r="B613" i="5"/>
  <c r="Z613" i="5" s="1"/>
  <c r="O612" i="5"/>
  <c r="K612" i="5"/>
  <c r="L612" i="5" s="1"/>
  <c r="M612" i="5" s="1"/>
  <c r="N612" i="5" s="1"/>
  <c r="J612" i="5"/>
  <c r="G612" i="5"/>
  <c r="H612" i="5" s="1"/>
  <c r="F612" i="5"/>
  <c r="E612" i="5"/>
  <c r="D612" i="5"/>
  <c r="Q612" i="5" s="1"/>
  <c r="C612" i="5"/>
  <c r="B612" i="5"/>
  <c r="O611" i="5"/>
  <c r="K611" i="5"/>
  <c r="L611" i="5" s="1"/>
  <c r="M611" i="5" s="1"/>
  <c r="N611" i="5" s="1"/>
  <c r="J611" i="5"/>
  <c r="G611" i="5"/>
  <c r="F611" i="5"/>
  <c r="E611" i="5"/>
  <c r="D611" i="5"/>
  <c r="S611" i="5" s="1"/>
  <c r="AB611" i="5" s="1"/>
  <c r="C611" i="5"/>
  <c r="B611" i="5"/>
  <c r="Z611" i="5" s="1"/>
  <c r="O610" i="5"/>
  <c r="K610" i="5"/>
  <c r="L610" i="5" s="1"/>
  <c r="M610" i="5" s="1"/>
  <c r="N610" i="5" s="1"/>
  <c r="J610" i="5"/>
  <c r="G610" i="5"/>
  <c r="P610" i="5" s="1"/>
  <c r="F610" i="5"/>
  <c r="E610" i="5"/>
  <c r="V610" i="5" s="1"/>
  <c r="W610" i="5" s="1"/>
  <c r="D610" i="5"/>
  <c r="S610" i="5" s="1"/>
  <c r="AB610" i="5" s="1"/>
  <c r="C610" i="5"/>
  <c r="B610" i="5"/>
  <c r="Z610" i="5" s="1"/>
  <c r="O609" i="5"/>
  <c r="K609" i="5"/>
  <c r="L609" i="5" s="1"/>
  <c r="M609" i="5" s="1"/>
  <c r="N609" i="5" s="1"/>
  <c r="J609" i="5"/>
  <c r="G609" i="5"/>
  <c r="P609" i="5" s="1"/>
  <c r="F609" i="5"/>
  <c r="E609" i="5"/>
  <c r="V609" i="5" s="1"/>
  <c r="W609" i="5" s="1"/>
  <c r="D609" i="5"/>
  <c r="S609" i="5" s="1"/>
  <c r="AB609" i="5" s="1"/>
  <c r="C609" i="5"/>
  <c r="B609" i="5"/>
  <c r="Z609" i="5" s="1"/>
  <c r="O608" i="5"/>
  <c r="K608" i="5"/>
  <c r="L608" i="5" s="1"/>
  <c r="M608" i="5" s="1"/>
  <c r="N608" i="5" s="1"/>
  <c r="J608" i="5"/>
  <c r="G608" i="5"/>
  <c r="H608" i="5" s="1"/>
  <c r="F608" i="5"/>
  <c r="E608" i="5"/>
  <c r="V608" i="5" s="1"/>
  <c r="W608" i="5" s="1"/>
  <c r="D608" i="5"/>
  <c r="S608" i="5" s="1"/>
  <c r="AB608" i="5" s="1"/>
  <c r="C608" i="5"/>
  <c r="B608" i="5"/>
  <c r="Z608" i="5" s="1"/>
  <c r="O607" i="5"/>
  <c r="K607" i="5"/>
  <c r="L607" i="5" s="1"/>
  <c r="M607" i="5" s="1"/>
  <c r="N607" i="5" s="1"/>
  <c r="J607" i="5"/>
  <c r="G607" i="5"/>
  <c r="F607" i="5"/>
  <c r="E607" i="5"/>
  <c r="V607" i="5" s="1"/>
  <c r="W607" i="5" s="1"/>
  <c r="D607" i="5"/>
  <c r="S607" i="5" s="1"/>
  <c r="AB607" i="5" s="1"/>
  <c r="C607" i="5"/>
  <c r="B607" i="5"/>
  <c r="O606" i="5"/>
  <c r="K606" i="5"/>
  <c r="L606" i="5" s="1"/>
  <c r="M606" i="5" s="1"/>
  <c r="N606" i="5" s="1"/>
  <c r="J606" i="5"/>
  <c r="G606" i="5"/>
  <c r="F606" i="5"/>
  <c r="E606" i="5"/>
  <c r="D606" i="5"/>
  <c r="S606" i="5" s="1"/>
  <c r="AB606" i="5" s="1"/>
  <c r="C606" i="5"/>
  <c r="B606" i="5"/>
  <c r="O605" i="5"/>
  <c r="K605" i="5"/>
  <c r="L605" i="5" s="1"/>
  <c r="M605" i="5" s="1"/>
  <c r="N605" i="5" s="1"/>
  <c r="J605" i="5"/>
  <c r="G605" i="5"/>
  <c r="F605" i="5"/>
  <c r="E605" i="5"/>
  <c r="V605" i="5" s="1"/>
  <c r="W605" i="5" s="1"/>
  <c r="D605" i="5"/>
  <c r="S605" i="5" s="1"/>
  <c r="AB605" i="5" s="1"/>
  <c r="C605" i="5"/>
  <c r="B605" i="5"/>
  <c r="O604" i="5"/>
  <c r="K604" i="5"/>
  <c r="L604" i="5" s="1"/>
  <c r="M604" i="5" s="1"/>
  <c r="N604" i="5" s="1"/>
  <c r="J604" i="5"/>
  <c r="G604" i="5"/>
  <c r="F604" i="5"/>
  <c r="E604" i="5"/>
  <c r="V604" i="5" s="1"/>
  <c r="W604" i="5" s="1"/>
  <c r="D604" i="5"/>
  <c r="S604" i="5" s="1"/>
  <c r="AB604" i="5" s="1"/>
  <c r="C604" i="5"/>
  <c r="B604" i="5"/>
  <c r="O603" i="5"/>
  <c r="K603" i="5"/>
  <c r="L603" i="5" s="1"/>
  <c r="M603" i="5" s="1"/>
  <c r="N603" i="5" s="1"/>
  <c r="J603" i="5"/>
  <c r="G603" i="5"/>
  <c r="F603" i="5"/>
  <c r="E603" i="5"/>
  <c r="D603" i="5"/>
  <c r="S603" i="5" s="1"/>
  <c r="AB603" i="5" s="1"/>
  <c r="C603" i="5"/>
  <c r="B603" i="5"/>
  <c r="O602" i="5"/>
  <c r="K602" i="5"/>
  <c r="L602" i="5" s="1"/>
  <c r="M602" i="5" s="1"/>
  <c r="N602" i="5" s="1"/>
  <c r="J602" i="5"/>
  <c r="G602" i="5"/>
  <c r="F602" i="5"/>
  <c r="E602" i="5"/>
  <c r="V602" i="5" s="1"/>
  <c r="W602" i="5" s="1"/>
  <c r="D602" i="5"/>
  <c r="S602" i="5" s="1"/>
  <c r="AB602" i="5" s="1"/>
  <c r="C602" i="5"/>
  <c r="B602" i="5"/>
  <c r="Z602" i="5" s="1"/>
  <c r="O601" i="5"/>
  <c r="K601" i="5"/>
  <c r="L601" i="5" s="1"/>
  <c r="M601" i="5" s="1"/>
  <c r="N601" i="5" s="1"/>
  <c r="J601" i="5"/>
  <c r="G601" i="5"/>
  <c r="F601" i="5"/>
  <c r="E601" i="5"/>
  <c r="V601" i="5" s="1"/>
  <c r="W601" i="5" s="1"/>
  <c r="D601" i="5"/>
  <c r="S601" i="5" s="1"/>
  <c r="AB601" i="5" s="1"/>
  <c r="C601" i="5"/>
  <c r="B601" i="5"/>
  <c r="Z601" i="5" s="1"/>
  <c r="O600" i="5"/>
  <c r="K600" i="5"/>
  <c r="L600" i="5" s="1"/>
  <c r="M600" i="5" s="1"/>
  <c r="N600" i="5" s="1"/>
  <c r="J600" i="5"/>
  <c r="G600" i="5"/>
  <c r="F600" i="5"/>
  <c r="E600" i="5"/>
  <c r="D600" i="5"/>
  <c r="Q600" i="5" s="1"/>
  <c r="C600" i="5"/>
  <c r="B600" i="5"/>
  <c r="Z600" i="5" s="1"/>
  <c r="O599" i="5"/>
  <c r="K599" i="5"/>
  <c r="L599" i="5" s="1"/>
  <c r="M599" i="5" s="1"/>
  <c r="N599" i="5" s="1"/>
  <c r="J599" i="5"/>
  <c r="G599" i="5"/>
  <c r="F599" i="5"/>
  <c r="E599" i="5"/>
  <c r="V599" i="5" s="1"/>
  <c r="W599" i="5" s="1"/>
  <c r="D599" i="5"/>
  <c r="C599" i="5"/>
  <c r="B599" i="5"/>
  <c r="O598" i="5"/>
  <c r="K598" i="5"/>
  <c r="L598" i="5" s="1"/>
  <c r="M598" i="5" s="1"/>
  <c r="N598" i="5" s="1"/>
  <c r="J598" i="5"/>
  <c r="G598" i="5"/>
  <c r="F598" i="5"/>
  <c r="E598" i="5"/>
  <c r="D598" i="5"/>
  <c r="S598" i="5" s="1"/>
  <c r="AB598" i="5" s="1"/>
  <c r="C598" i="5"/>
  <c r="B598" i="5"/>
  <c r="Z598" i="5" s="1"/>
  <c r="O597" i="5"/>
  <c r="K597" i="5"/>
  <c r="L597" i="5" s="1"/>
  <c r="M597" i="5" s="1"/>
  <c r="N597" i="5" s="1"/>
  <c r="J597" i="5"/>
  <c r="G597" i="5"/>
  <c r="F597" i="5"/>
  <c r="E597" i="5"/>
  <c r="V597" i="5" s="1"/>
  <c r="W597" i="5" s="1"/>
  <c r="D597" i="5"/>
  <c r="S597" i="5" s="1"/>
  <c r="AB597" i="5" s="1"/>
  <c r="C597" i="5"/>
  <c r="B597" i="5"/>
  <c r="O596" i="5"/>
  <c r="K596" i="5"/>
  <c r="L596" i="5" s="1"/>
  <c r="M596" i="5" s="1"/>
  <c r="N596" i="5" s="1"/>
  <c r="J596" i="5"/>
  <c r="G596" i="5"/>
  <c r="F596" i="5"/>
  <c r="E596" i="5"/>
  <c r="D596" i="5"/>
  <c r="S596" i="5" s="1"/>
  <c r="AB596" i="5" s="1"/>
  <c r="C596" i="5"/>
  <c r="B596" i="5"/>
  <c r="O595" i="5"/>
  <c r="K595" i="5"/>
  <c r="L595" i="5" s="1"/>
  <c r="M595" i="5" s="1"/>
  <c r="N595" i="5" s="1"/>
  <c r="J595" i="5"/>
  <c r="G595" i="5"/>
  <c r="F595" i="5"/>
  <c r="E595" i="5"/>
  <c r="V595" i="5" s="1"/>
  <c r="W595" i="5" s="1"/>
  <c r="D595" i="5"/>
  <c r="S595" i="5" s="1"/>
  <c r="AB595" i="5" s="1"/>
  <c r="C595" i="5"/>
  <c r="B595" i="5"/>
  <c r="Z595" i="5" s="1"/>
  <c r="O594" i="5"/>
  <c r="K594" i="5"/>
  <c r="L594" i="5" s="1"/>
  <c r="M594" i="5" s="1"/>
  <c r="N594" i="5" s="1"/>
  <c r="J594" i="5"/>
  <c r="G594" i="5"/>
  <c r="F594" i="5"/>
  <c r="E594" i="5"/>
  <c r="V594" i="5" s="1"/>
  <c r="W594" i="5" s="1"/>
  <c r="D594" i="5"/>
  <c r="S594" i="5" s="1"/>
  <c r="AB594" i="5" s="1"/>
  <c r="C594" i="5"/>
  <c r="B594" i="5"/>
  <c r="O593" i="5"/>
  <c r="K593" i="5"/>
  <c r="L593" i="5" s="1"/>
  <c r="M593" i="5" s="1"/>
  <c r="N593" i="5" s="1"/>
  <c r="J593" i="5"/>
  <c r="G593" i="5"/>
  <c r="F593" i="5"/>
  <c r="E593" i="5"/>
  <c r="V593" i="5" s="1"/>
  <c r="W593" i="5" s="1"/>
  <c r="D593" i="5"/>
  <c r="S593" i="5" s="1"/>
  <c r="AB593" i="5" s="1"/>
  <c r="C593" i="5"/>
  <c r="B593" i="5"/>
  <c r="Z593" i="5" s="1"/>
  <c r="O592" i="5"/>
  <c r="K592" i="5"/>
  <c r="L592" i="5" s="1"/>
  <c r="M592" i="5" s="1"/>
  <c r="N592" i="5" s="1"/>
  <c r="J592" i="5"/>
  <c r="G592" i="5"/>
  <c r="F592" i="5"/>
  <c r="E592" i="5"/>
  <c r="V592" i="5" s="1"/>
  <c r="W592" i="5" s="1"/>
  <c r="D592" i="5"/>
  <c r="S592" i="5" s="1"/>
  <c r="AB592" i="5" s="1"/>
  <c r="C592" i="5"/>
  <c r="B592" i="5"/>
  <c r="Z592" i="5" s="1"/>
  <c r="O591" i="5"/>
  <c r="K591" i="5"/>
  <c r="L591" i="5" s="1"/>
  <c r="M591" i="5" s="1"/>
  <c r="N591" i="5" s="1"/>
  <c r="J591" i="5"/>
  <c r="G591" i="5"/>
  <c r="F591" i="5"/>
  <c r="E591" i="5"/>
  <c r="V591" i="5" s="1"/>
  <c r="W591" i="5" s="1"/>
  <c r="D591" i="5"/>
  <c r="S591" i="5" s="1"/>
  <c r="AB591" i="5" s="1"/>
  <c r="C591" i="5"/>
  <c r="B591" i="5"/>
  <c r="O590" i="5"/>
  <c r="K590" i="5"/>
  <c r="L590" i="5" s="1"/>
  <c r="M590" i="5" s="1"/>
  <c r="N590" i="5" s="1"/>
  <c r="J590" i="5"/>
  <c r="G590" i="5"/>
  <c r="F590" i="5"/>
  <c r="E590" i="5"/>
  <c r="D590" i="5"/>
  <c r="S590" i="5" s="1"/>
  <c r="AB590" i="5" s="1"/>
  <c r="C590" i="5"/>
  <c r="B590" i="5"/>
  <c r="Z590" i="5" s="1"/>
  <c r="O589" i="5"/>
  <c r="K589" i="5"/>
  <c r="L589" i="5" s="1"/>
  <c r="M589" i="5" s="1"/>
  <c r="N589" i="5" s="1"/>
  <c r="J589" i="5"/>
  <c r="G589" i="5"/>
  <c r="F589" i="5"/>
  <c r="E589" i="5"/>
  <c r="V589" i="5" s="1"/>
  <c r="W589" i="5" s="1"/>
  <c r="D589" i="5"/>
  <c r="S589" i="5" s="1"/>
  <c r="AB589" i="5" s="1"/>
  <c r="C589" i="5"/>
  <c r="B589" i="5"/>
  <c r="Z589" i="5" s="1"/>
  <c r="O588" i="5"/>
  <c r="K588" i="5"/>
  <c r="L588" i="5" s="1"/>
  <c r="M588" i="5" s="1"/>
  <c r="N588" i="5" s="1"/>
  <c r="J588" i="5"/>
  <c r="G588" i="5"/>
  <c r="F588" i="5"/>
  <c r="E588" i="5"/>
  <c r="V588" i="5" s="1"/>
  <c r="W588" i="5" s="1"/>
  <c r="D588" i="5"/>
  <c r="S588" i="5" s="1"/>
  <c r="AB588" i="5" s="1"/>
  <c r="C588" i="5"/>
  <c r="B588" i="5"/>
  <c r="O587" i="5"/>
  <c r="K587" i="5"/>
  <c r="L587" i="5" s="1"/>
  <c r="M587" i="5" s="1"/>
  <c r="N587" i="5" s="1"/>
  <c r="J587" i="5"/>
  <c r="G587" i="5"/>
  <c r="F587" i="5"/>
  <c r="E587" i="5"/>
  <c r="D587" i="5"/>
  <c r="S587" i="5" s="1"/>
  <c r="AB587" i="5" s="1"/>
  <c r="C587" i="5"/>
  <c r="B587" i="5"/>
  <c r="O586" i="5"/>
  <c r="K586" i="5"/>
  <c r="L586" i="5" s="1"/>
  <c r="M586" i="5" s="1"/>
  <c r="N586" i="5" s="1"/>
  <c r="J586" i="5"/>
  <c r="G586" i="5"/>
  <c r="F586" i="5"/>
  <c r="E586" i="5"/>
  <c r="V586" i="5" s="1"/>
  <c r="W586" i="5" s="1"/>
  <c r="D586" i="5"/>
  <c r="C586" i="5"/>
  <c r="B586" i="5"/>
  <c r="Z586" i="5" s="1"/>
  <c r="O585" i="5"/>
  <c r="K585" i="5"/>
  <c r="L585" i="5" s="1"/>
  <c r="M585" i="5" s="1"/>
  <c r="N585" i="5" s="1"/>
  <c r="J585" i="5"/>
  <c r="G585" i="5"/>
  <c r="F585" i="5"/>
  <c r="E585" i="5"/>
  <c r="V585" i="5" s="1"/>
  <c r="W585" i="5" s="1"/>
  <c r="D585" i="5"/>
  <c r="S585" i="5" s="1"/>
  <c r="AB585" i="5" s="1"/>
  <c r="C585" i="5"/>
  <c r="B585" i="5"/>
  <c r="O584" i="5"/>
  <c r="K584" i="5"/>
  <c r="L584" i="5" s="1"/>
  <c r="M584" i="5" s="1"/>
  <c r="N584" i="5" s="1"/>
  <c r="J584" i="5"/>
  <c r="G584" i="5"/>
  <c r="F584" i="5"/>
  <c r="E584" i="5"/>
  <c r="D584" i="5"/>
  <c r="Q584" i="5" s="1"/>
  <c r="C584" i="5"/>
  <c r="B584" i="5"/>
  <c r="Z584" i="5" s="1"/>
  <c r="O583" i="5"/>
  <c r="K583" i="5"/>
  <c r="L583" i="5" s="1"/>
  <c r="M583" i="5" s="1"/>
  <c r="N583" i="5" s="1"/>
  <c r="J583" i="5"/>
  <c r="G583" i="5"/>
  <c r="F583" i="5"/>
  <c r="E583" i="5"/>
  <c r="V583" i="5" s="1"/>
  <c r="W583" i="5" s="1"/>
  <c r="D583" i="5"/>
  <c r="S583" i="5" s="1"/>
  <c r="AB583" i="5" s="1"/>
  <c r="C583" i="5"/>
  <c r="B583" i="5"/>
  <c r="O582" i="5"/>
  <c r="K582" i="5"/>
  <c r="L582" i="5" s="1"/>
  <c r="M582" i="5" s="1"/>
  <c r="N582" i="5" s="1"/>
  <c r="J582" i="5"/>
  <c r="G582" i="5"/>
  <c r="F582" i="5"/>
  <c r="E582" i="5"/>
  <c r="V582" i="5" s="1"/>
  <c r="W582" i="5" s="1"/>
  <c r="D582" i="5"/>
  <c r="S582" i="5" s="1"/>
  <c r="AB582" i="5" s="1"/>
  <c r="C582" i="5"/>
  <c r="B582" i="5"/>
  <c r="Z582" i="5" s="1"/>
  <c r="O581" i="5"/>
  <c r="K581" i="5"/>
  <c r="L581" i="5" s="1"/>
  <c r="M581" i="5" s="1"/>
  <c r="N581" i="5" s="1"/>
  <c r="J581" i="5"/>
  <c r="G581" i="5"/>
  <c r="F581" i="5"/>
  <c r="E581" i="5"/>
  <c r="V581" i="5" s="1"/>
  <c r="W581" i="5" s="1"/>
  <c r="D581" i="5"/>
  <c r="S581" i="5" s="1"/>
  <c r="AB581" i="5" s="1"/>
  <c r="C581" i="5"/>
  <c r="B581" i="5"/>
  <c r="Z581" i="5" s="1"/>
  <c r="O580" i="5"/>
  <c r="K580" i="5"/>
  <c r="L580" i="5" s="1"/>
  <c r="M580" i="5" s="1"/>
  <c r="N580" i="5" s="1"/>
  <c r="J580" i="5"/>
  <c r="G580" i="5"/>
  <c r="F580" i="5"/>
  <c r="E580" i="5"/>
  <c r="D580" i="5"/>
  <c r="S580" i="5" s="1"/>
  <c r="AB580" i="5" s="1"/>
  <c r="C580" i="5"/>
  <c r="B580" i="5"/>
  <c r="O579" i="5"/>
  <c r="K579" i="5"/>
  <c r="L579" i="5" s="1"/>
  <c r="M579" i="5" s="1"/>
  <c r="N579" i="5" s="1"/>
  <c r="J579" i="5"/>
  <c r="G579" i="5"/>
  <c r="F579" i="5"/>
  <c r="E579" i="5"/>
  <c r="V579" i="5" s="1"/>
  <c r="W579" i="5" s="1"/>
  <c r="D579" i="5"/>
  <c r="S579" i="5" s="1"/>
  <c r="AB579" i="5" s="1"/>
  <c r="C579" i="5"/>
  <c r="B579" i="5"/>
  <c r="O578" i="5"/>
  <c r="K578" i="5"/>
  <c r="L578" i="5" s="1"/>
  <c r="M578" i="5" s="1"/>
  <c r="N578" i="5" s="1"/>
  <c r="J578" i="5"/>
  <c r="G578" i="5"/>
  <c r="F578" i="5"/>
  <c r="E578" i="5"/>
  <c r="V578" i="5" s="1"/>
  <c r="W578" i="5" s="1"/>
  <c r="D578" i="5"/>
  <c r="S578" i="5" s="1"/>
  <c r="AB578" i="5" s="1"/>
  <c r="C578" i="5"/>
  <c r="B578" i="5"/>
  <c r="O577" i="5"/>
  <c r="K577" i="5"/>
  <c r="L577" i="5" s="1"/>
  <c r="M577" i="5" s="1"/>
  <c r="N577" i="5" s="1"/>
  <c r="J577" i="5"/>
  <c r="G577" i="5"/>
  <c r="F577" i="5"/>
  <c r="E577" i="5"/>
  <c r="V577" i="5" s="1"/>
  <c r="W577" i="5" s="1"/>
  <c r="D577" i="5"/>
  <c r="S577" i="5" s="1"/>
  <c r="AB577" i="5" s="1"/>
  <c r="C577" i="5"/>
  <c r="B577" i="5"/>
  <c r="Z577" i="5" s="1"/>
  <c r="O576" i="5"/>
  <c r="K576" i="5"/>
  <c r="L576" i="5" s="1"/>
  <c r="M576" i="5" s="1"/>
  <c r="N576" i="5" s="1"/>
  <c r="J576" i="5"/>
  <c r="G576" i="5"/>
  <c r="F576" i="5"/>
  <c r="E576" i="5"/>
  <c r="V576" i="5" s="1"/>
  <c r="W576" i="5" s="1"/>
  <c r="D576" i="5"/>
  <c r="S576" i="5" s="1"/>
  <c r="AB576" i="5" s="1"/>
  <c r="C576" i="5"/>
  <c r="B576" i="5"/>
  <c r="O575" i="5"/>
  <c r="K575" i="5"/>
  <c r="L575" i="5" s="1"/>
  <c r="M575" i="5" s="1"/>
  <c r="N575" i="5" s="1"/>
  <c r="J575" i="5"/>
  <c r="G575" i="5"/>
  <c r="F575" i="5"/>
  <c r="E575" i="5"/>
  <c r="V575" i="5" s="1"/>
  <c r="W575" i="5" s="1"/>
  <c r="D575" i="5"/>
  <c r="S575" i="5" s="1"/>
  <c r="AB575" i="5" s="1"/>
  <c r="C575" i="5"/>
  <c r="B575" i="5"/>
  <c r="O574" i="5"/>
  <c r="K574" i="5"/>
  <c r="L574" i="5" s="1"/>
  <c r="M574" i="5" s="1"/>
  <c r="N574" i="5" s="1"/>
  <c r="J574" i="5"/>
  <c r="G574" i="5"/>
  <c r="F574" i="5"/>
  <c r="E574" i="5"/>
  <c r="D574" i="5"/>
  <c r="S574" i="5" s="1"/>
  <c r="AB574" i="5" s="1"/>
  <c r="C574" i="5"/>
  <c r="B574" i="5"/>
  <c r="Z574" i="5" s="1"/>
  <c r="O573" i="5"/>
  <c r="K573" i="5"/>
  <c r="L573" i="5" s="1"/>
  <c r="M573" i="5" s="1"/>
  <c r="N573" i="5" s="1"/>
  <c r="J573" i="5"/>
  <c r="G573" i="5"/>
  <c r="F573" i="5"/>
  <c r="E573" i="5"/>
  <c r="V573" i="5" s="1"/>
  <c r="W573" i="5" s="1"/>
  <c r="D573" i="5"/>
  <c r="S573" i="5" s="1"/>
  <c r="AB573" i="5" s="1"/>
  <c r="C573" i="5"/>
  <c r="B573" i="5"/>
  <c r="Z573" i="5" s="1"/>
  <c r="O572" i="5"/>
  <c r="K572" i="5"/>
  <c r="L572" i="5" s="1"/>
  <c r="M572" i="5" s="1"/>
  <c r="N572" i="5" s="1"/>
  <c r="J572" i="5"/>
  <c r="G572" i="5"/>
  <c r="F572" i="5"/>
  <c r="E572" i="5"/>
  <c r="D572" i="5"/>
  <c r="R572" i="5" s="1"/>
  <c r="C572" i="5"/>
  <c r="B572" i="5"/>
  <c r="O571" i="5"/>
  <c r="K571" i="5"/>
  <c r="L571" i="5" s="1"/>
  <c r="M571" i="5" s="1"/>
  <c r="N571" i="5" s="1"/>
  <c r="J571" i="5"/>
  <c r="G571" i="5"/>
  <c r="P571" i="5" s="1"/>
  <c r="F571" i="5"/>
  <c r="E571" i="5"/>
  <c r="D571" i="5"/>
  <c r="Q571" i="5" s="1"/>
  <c r="C571" i="5"/>
  <c r="B571" i="5"/>
  <c r="Z571" i="5" s="1"/>
  <c r="O570" i="5"/>
  <c r="K570" i="5"/>
  <c r="L570" i="5" s="1"/>
  <c r="M570" i="5" s="1"/>
  <c r="N570" i="5" s="1"/>
  <c r="J570" i="5"/>
  <c r="G570" i="5"/>
  <c r="P570" i="5" s="1"/>
  <c r="F570" i="5"/>
  <c r="E570" i="5"/>
  <c r="V570" i="5" s="1"/>
  <c r="W570" i="5" s="1"/>
  <c r="D570" i="5"/>
  <c r="C570" i="5"/>
  <c r="B570" i="5"/>
  <c r="O569" i="5"/>
  <c r="K569" i="5"/>
  <c r="L569" i="5" s="1"/>
  <c r="M569" i="5" s="1"/>
  <c r="N569" i="5" s="1"/>
  <c r="J569" i="5"/>
  <c r="G569" i="5"/>
  <c r="P569" i="5" s="1"/>
  <c r="F569" i="5"/>
  <c r="E569" i="5"/>
  <c r="V569" i="5" s="1"/>
  <c r="W569" i="5" s="1"/>
  <c r="D569" i="5"/>
  <c r="S569" i="5" s="1"/>
  <c r="AB569" i="5" s="1"/>
  <c r="C569" i="5"/>
  <c r="B569" i="5"/>
  <c r="O568" i="5"/>
  <c r="K568" i="5"/>
  <c r="L568" i="5" s="1"/>
  <c r="M568" i="5" s="1"/>
  <c r="N568" i="5" s="1"/>
  <c r="J568" i="5"/>
  <c r="G568" i="5"/>
  <c r="P568" i="5" s="1"/>
  <c r="F568" i="5"/>
  <c r="E568" i="5"/>
  <c r="D568" i="5"/>
  <c r="S568" i="5" s="1"/>
  <c r="AB568" i="5" s="1"/>
  <c r="C568" i="5"/>
  <c r="B568" i="5"/>
  <c r="Z568" i="5" s="1"/>
  <c r="O567" i="5"/>
  <c r="K567" i="5"/>
  <c r="L567" i="5" s="1"/>
  <c r="M567" i="5" s="1"/>
  <c r="N567" i="5" s="1"/>
  <c r="J567" i="5"/>
  <c r="G567" i="5"/>
  <c r="P567" i="5" s="1"/>
  <c r="F567" i="5"/>
  <c r="E567" i="5"/>
  <c r="V567" i="5" s="1"/>
  <c r="W567" i="5" s="1"/>
  <c r="D567" i="5"/>
  <c r="S567" i="5" s="1"/>
  <c r="AB567" i="5" s="1"/>
  <c r="C567" i="5"/>
  <c r="B567" i="5"/>
  <c r="O566" i="5"/>
  <c r="K566" i="5"/>
  <c r="L566" i="5" s="1"/>
  <c r="M566" i="5" s="1"/>
  <c r="N566" i="5" s="1"/>
  <c r="J566" i="5"/>
  <c r="G566" i="5"/>
  <c r="P566" i="5" s="1"/>
  <c r="F566" i="5"/>
  <c r="E566" i="5"/>
  <c r="V566" i="5" s="1"/>
  <c r="W566" i="5" s="1"/>
  <c r="D566" i="5"/>
  <c r="S566" i="5" s="1"/>
  <c r="AB566" i="5" s="1"/>
  <c r="C566" i="5"/>
  <c r="B566" i="5"/>
  <c r="O565" i="5"/>
  <c r="K565" i="5"/>
  <c r="L565" i="5" s="1"/>
  <c r="M565" i="5" s="1"/>
  <c r="N565" i="5" s="1"/>
  <c r="J565" i="5"/>
  <c r="G565" i="5"/>
  <c r="P565" i="5" s="1"/>
  <c r="F565" i="5"/>
  <c r="E565" i="5"/>
  <c r="V565" i="5" s="1"/>
  <c r="W565" i="5" s="1"/>
  <c r="D565" i="5"/>
  <c r="S565" i="5" s="1"/>
  <c r="AB565" i="5" s="1"/>
  <c r="C565" i="5"/>
  <c r="B565" i="5"/>
  <c r="Z565" i="5" s="1"/>
  <c r="O564" i="5"/>
  <c r="K564" i="5"/>
  <c r="L564" i="5" s="1"/>
  <c r="M564" i="5" s="1"/>
  <c r="N564" i="5" s="1"/>
  <c r="J564" i="5"/>
  <c r="G564" i="5"/>
  <c r="F564" i="5"/>
  <c r="E564" i="5"/>
  <c r="D564" i="5"/>
  <c r="S564" i="5" s="1"/>
  <c r="AB564" i="5" s="1"/>
  <c r="C564" i="5"/>
  <c r="B564" i="5"/>
  <c r="O563" i="5"/>
  <c r="K563" i="5"/>
  <c r="L563" i="5" s="1"/>
  <c r="M563" i="5" s="1"/>
  <c r="N563" i="5" s="1"/>
  <c r="J563" i="5"/>
  <c r="G563" i="5"/>
  <c r="F563" i="5"/>
  <c r="E563" i="5"/>
  <c r="V563" i="5" s="1"/>
  <c r="W563" i="5" s="1"/>
  <c r="D563" i="5"/>
  <c r="S563" i="5" s="1"/>
  <c r="AB563" i="5" s="1"/>
  <c r="C563" i="5"/>
  <c r="B563" i="5"/>
  <c r="Z563" i="5" s="1"/>
  <c r="O562" i="5"/>
  <c r="K562" i="5"/>
  <c r="L562" i="5" s="1"/>
  <c r="M562" i="5" s="1"/>
  <c r="N562" i="5" s="1"/>
  <c r="J562" i="5"/>
  <c r="G562" i="5"/>
  <c r="F562" i="5"/>
  <c r="E562" i="5"/>
  <c r="V562" i="5" s="1"/>
  <c r="W562" i="5" s="1"/>
  <c r="D562" i="5"/>
  <c r="S562" i="5" s="1"/>
  <c r="AB562" i="5" s="1"/>
  <c r="C562" i="5"/>
  <c r="B562" i="5"/>
  <c r="Z562" i="5" s="1"/>
  <c r="O561" i="5"/>
  <c r="K561" i="5"/>
  <c r="L561" i="5" s="1"/>
  <c r="M561" i="5" s="1"/>
  <c r="N561" i="5" s="1"/>
  <c r="J561" i="5"/>
  <c r="G561" i="5"/>
  <c r="F561" i="5"/>
  <c r="E561" i="5"/>
  <c r="V561" i="5" s="1"/>
  <c r="W561" i="5" s="1"/>
  <c r="D561" i="5"/>
  <c r="S561" i="5" s="1"/>
  <c r="AB561" i="5" s="1"/>
  <c r="C561" i="5"/>
  <c r="B561" i="5"/>
  <c r="O560" i="5"/>
  <c r="K560" i="5"/>
  <c r="L560" i="5" s="1"/>
  <c r="M560" i="5" s="1"/>
  <c r="N560" i="5" s="1"/>
  <c r="J560" i="5"/>
  <c r="G560" i="5"/>
  <c r="F560" i="5"/>
  <c r="E560" i="5"/>
  <c r="D560" i="5"/>
  <c r="S560" i="5" s="1"/>
  <c r="AB560" i="5" s="1"/>
  <c r="C560" i="5"/>
  <c r="B560" i="5"/>
  <c r="O559" i="5"/>
  <c r="K559" i="5"/>
  <c r="L559" i="5" s="1"/>
  <c r="M559" i="5" s="1"/>
  <c r="N559" i="5" s="1"/>
  <c r="J559" i="5"/>
  <c r="G559" i="5"/>
  <c r="F559" i="5"/>
  <c r="E559" i="5"/>
  <c r="V559" i="5" s="1"/>
  <c r="W559" i="5" s="1"/>
  <c r="D559" i="5"/>
  <c r="S559" i="5" s="1"/>
  <c r="AB559" i="5" s="1"/>
  <c r="C559" i="5"/>
  <c r="B559" i="5"/>
  <c r="O558" i="5"/>
  <c r="K558" i="5"/>
  <c r="L558" i="5" s="1"/>
  <c r="M558" i="5" s="1"/>
  <c r="N558" i="5" s="1"/>
  <c r="J558" i="5"/>
  <c r="G558" i="5"/>
  <c r="F558" i="5"/>
  <c r="E558" i="5"/>
  <c r="D558" i="5"/>
  <c r="S558" i="5" s="1"/>
  <c r="AB558" i="5" s="1"/>
  <c r="C558" i="5"/>
  <c r="B558" i="5"/>
  <c r="Z558" i="5" s="1"/>
  <c r="O557" i="5"/>
  <c r="K557" i="5"/>
  <c r="L557" i="5" s="1"/>
  <c r="M557" i="5" s="1"/>
  <c r="N557" i="5" s="1"/>
  <c r="J557" i="5"/>
  <c r="G557" i="5"/>
  <c r="F557" i="5"/>
  <c r="E557" i="5"/>
  <c r="V557" i="5" s="1"/>
  <c r="W557" i="5" s="1"/>
  <c r="D557" i="5"/>
  <c r="S557" i="5" s="1"/>
  <c r="AB557" i="5" s="1"/>
  <c r="C557" i="5"/>
  <c r="B557" i="5"/>
  <c r="O556" i="5"/>
  <c r="K556" i="5"/>
  <c r="L556" i="5" s="1"/>
  <c r="M556" i="5" s="1"/>
  <c r="N556" i="5" s="1"/>
  <c r="J556" i="5"/>
  <c r="G556" i="5"/>
  <c r="F556" i="5"/>
  <c r="E556" i="5"/>
  <c r="V556" i="5" s="1"/>
  <c r="W556" i="5" s="1"/>
  <c r="D556" i="5"/>
  <c r="C556" i="5"/>
  <c r="B556" i="5"/>
  <c r="O555" i="5"/>
  <c r="K555" i="5"/>
  <c r="L555" i="5" s="1"/>
  <c r="M555" i="5" s="1"/>
  <c r="N555" i="5" s="1"/>
  <c r="J555" i="5"/>
  <c r="G555" i="5"/>
  <c r="F555" i="5"/>
  <c r="E555" i="5"/>
  <c r="D555" i="5"/>
  <c r="C555" i="5"/>
  <c r="B555" i="5"/>
  <c r="Z555" i="5" s="1"/>
  <c r="O554" i="5"/>
  <c r="K554" i="5"/>
  <c r="L554" i="5" s="1"/>
  <c r="M554" i="5" s="1"/>
  <c r="N554" i="5" s="1"/>
  <c r="J554" i="5"/>
  <c r="G554" i="5"/>
  <c r="F554" i="5"/>
  <c r="E554" i="5"/>
  <c r="V554" i="5" s="1"/>
  <c r="W554" i="5" s="1"/>
  <c r="D554" i="5"/>
  <c r="S554" i="5" s="1"/>
  <c r="AB554" i="5" s="1"/>
  <c r="C554" i="5"/>
  <c r="B554" i="5"/>
  <c r="Z554" i="5" s="1"/>
  <c r="O553" i="5"/>
  <c r="K553" i="5"/>
  <c r="L553" i="5" s="1"/>
  <c r="M553" i="5" s="1"/>
  <c r="N553" i="5" s="1"/>
  <c r="J553" i="5"/>
  <c r="G553" i="5"/>
  <c r="F553" i="5"/>
  <c r="E553" i="5"/>
  <c r="V553" i="5" s="1"/>
  <c r="W553" i="5" s="1"/>
  <c r="D553" i="5"/>
  <c r="S553" i="5" s="1"/>
  <c r="AB553" i="5" s="1"/>
  <c r="C553" i="5"/>
  <c r="B553" i="5"/>
  <c r="AA553" i="5" s="1"/>
  <c r="O552" i="5"/>
  <c r="K552" i="5"/>
  <c r="L552" i="5" s="1"/>
  <c r="M552" i="5" s="1"/>
  <c r="N552" i="5" s="1"/>
  <c r="J552" i="5"/>
  <c r="G552" i="5"/>
  <c r="F552" i="5"/>
  <c r="E552" i="5"/>
  <c r="D552" i="5"/>
  <c r="S552" i="5" s="1"/>
  <c r="AB552" i="5" s="1"/>
  <c r="C552" i="5"/>
  <c r="B552" i="5"/>
  <c r="O551" i="5"/>
  <c r="K551" i="5"/>
  <c r="L551" i="5" s="1"/>
  <c r="M551" i="5" s="1"/>
  <c r="N551" i="5" s="1"/>
  <c r="J551" i="5"/>
  <c r="G551" i="5"/>
  <c r="F551" i="5"/>
  <c r="E551" i="5"/>
  <c r="V551" i="5" s="1"/>
  <c r="W551" i="5" s="1"/>
  <c r="D551" i="5"/>
  <c r="S551" i="5" s="1"/>
  <c r="AB551" i="5" s="1"/>
  <c r="C551" i="5"/>
  <c r="B551" i="5"/>
  <c r="O550" i="5"/>
  <c r="K550" i="5"/>
  <c r="L550" i="5" s="1"/>
  <c r="M550" i="5" s="1"/>
  <c r="N550" i="5" s="1"/>
  <c r="J550" i="5"/>
  <c r="G550" i="5"/>
  <c r="F550" i="5"/>
  <c r="E550" i="5"/>
  <c r="V550" i="5" s="1"/>
  <c r="W550" i="5" s="1"/>
  <c r="D550" i="5"/>
  <c r="S550" i="5" s="1"/>
  <c r="AB550" i="5" s="1"/>
  <c r="C550" i="5"/>
  <c r="B550" i="5"/>
  <c r="O549" i="5"/>
  <c r="K549" i="5"/>
  <c r="L549" i="5" s="1"/>
  <c r="M549" i="5" s="1"/>
  <c r="N549" i="5" s="1"/>
  <c r="J549" i="5"/>
  <c r="G549" i="5"/>
  <c r="F549" i="5"/>
  <c r="E549" i="5"/>
  <c r="V549" i="5" s="1"/>
  <c r="W549" i="5" s="1"/>
  <c r="D549" i="5"/>
  <c r="S549" i="5" s="1"/>
  <c r="AB549" i="5" s="1"/>
  <c r="C549" i="5"/>
  <c r="B549" i="5"/>
  <c r="Z549" i="5" s="1"/>
  <c r="O548" i="5"/>
  <c r="K548" i="5"/>
  <c r="L548" i="5" s="1"/>
  <c r="M548" i="5" s="1"/>
  <c r="N548" i="5" s="1"/>
  <c r="J548" i="5"/>
  <c r="G548" i="5"/>
  <c r="F548" i="5"/>
  <c r="E548" i="5"/>
  <c r="D548" i="5"/>
  <c r="S548" i="5" s="1"/>
  <c r="AB548" i="5" s="1"/>
  <c r="C548" i="5"/>
  <c r="B548" i="5"/>
  <c r="O547" i="5"/>
  <c r="K547" i="5"/>
  <c r="L547" i="5" s="1"/>
  <c r="M547" i="5" s="1"/>
  <c r="N547" i="5" s="1"/>
  <c r="J547" i="5"/>
  <c r="G547" i="5"/>
  <c r="F547" i="5"/>
  <c r="E547" i="5"/>
  <c r="D547" i="5"/>
  <c r="S547" i="5" s="1"/>
  <c r="AB547" i="5" s="1"/>
  <c r="C547" i="5"/>
  <c r="B547" i="5"/>
  <c r="Z547" i="5" s="1"/>
  <c r="O546" i="5"/>
  <c r="K546" i="5"/>
  <c r="L546" i="5" s="1"/>
  <c r="M546" i="5" s="1"/>
  <c r="N546" i="5" s="1"/>
  <c r="J546" i="5"/>
  <c r="G546" i="5"/>
  <c r="F546" i="5"/>
  <c r="E546" i="5"/>
  <c r="V546" i="5" s="1"/>
  <c r="W546" i="5" s="1"/>
  <c r="D546" i="5"/>
  <c r="S546" i="5" s="1"/>
  <c r="AB546" i="5" s="1"/>
  <c r="C546" i="5"/>
  <c r="B546" i="5"/>
  <c r="Z546" i="5" s="1"/>
  <c r="O545" i="5"/>
  <c r="K545" i="5"/>
  <c r="L545" i="5" s="1"/>
  <c r="M545" i="5" s="1"/>
  <c r="N545" i="5" s="1"/>
  <c r="J545" i="5"/>
  <c r="G545" i="5"/>
  <c r="F545" i="5"/>
  <c r="E545" i="5"/>
  <c r="V545" i="5" s="1"/>
  <c r="W545" i="5" s="1"/>
  <c r="D545" i="5"/>
  <c r="S545" i="5" s="1"/>
  <c r="AB545" i="5" s="1"/>
  <c r="C545" i="5"/>
  <c r="B545" i="5"/>
  <c r="Z545" i="5" s="1"/>
  <c r="O544" i="5"/>
  <c r="K544" i="5"/>
  <c r="L544" i="5" s="1"/>
  <c r="M544" i="5" s="1"/>
  <c r="N544" i="5" s="1"/>
  <c r="J544" i="5"/>
  <c r="G544" i="5"/>
  <c r="F544" i="5"/>
  <c r="E544" i="5"/>
  <c r="V544" i="5" s="1"/>
  <c r="W544" i="5" s="1"/>
  <c r="D544" i="5"/>
  <c r="S544" i="5" s="1"/>
  <c r="AB544" i="5" s="1"/>
  <c r="C544" i="5"/>
  <c r="B544" i="5"/>
  <c r="Z544" i="5" s="1"/>
  <c r="O543" i="5"/>
  <c r="K543" i="5"/>
  <c r="L543" i="5" s="1"/>
  <c r="M543" i="5" s="1"/>
  <c r="N543" i="5" s="1"/>
  <c r="J543" i="5"/>
  <c r="G543" i="5"/>
  <c r="F543" i="5"/>
  <c r="E543" i="5"/>
  <c r="V543" i="5" s="1"/>
  <c r="W543" i="5" s="1"/>
  <c r="D543" i="5"/>
  <c r="C543" i="5"/>
  <c r="B543" i="5"/>
  <c r="O542" i="5"/>
  <c r="K542" i="5"/>
  <c r="L542" i="5" s="1"/>
  <c r="M542" i="5" s="1"/>
  <c r="N542" i="5" s="1"/>
  <c r="J542" i="5"/>
  <c r="G542" i="5"/>
  <c r="F542" i="5"/>
  <c r="E542" i="5"/>
  <c r="D542" i="5"/>
  <c r="S542" i="5" s="1"/>
  <c r="AB542" i="5" s="1"/>
  <c r="C542" i="5"/>
  <c r="B542" i="5"/>
  <c r="O541" i="5"/>
  <c r="K541" i="5"/>
  <c r="L541" i="5" s="1"/>
  <c r="M541" i="5" s="1"/>
  <c r="N541" i="5" s="1"/>
  <c r="J541" i="5"/>
  <c r="G541" i="5"/>
  <c r="F541" i="5"/>
  <c r="E541" i="5"/>
  <c r="V541" i="5" s="1"/>
  <c r="W541" i="5" s="1"/>
  <c r="D541" i="5"/>
  <c r="S541" i="5" s="1"/>
  <c r="AB541" i="5" s="1"/>
  <c r="C541" i="5"/>
  <c r="B541" i="5"/>
  <c r="O540" i="5"/>
  <c r="K540" i="5"/>
  <c r="L540" i="5" s="1"/>
  <c r="M540" i="5" s="1"/>
  <c r="N540" i="5" s="1"/>
  <c r="J540" i="5"/>
  <c r="G540" i="5"/>
  <c r="F540" i="5"/>
  <c r="E540" i="5"/>
  <c r="V540" i="5" s="1"/>
  <c r="W540" i="5" s="1"/>
  <c r="D540" i="5"/>
  <c r="Q540" i="5" s="1"/>
  <c r="C540" i="5"/>
  <c r="B540" i="5"/>
  <c r="O539" i="5"/>
  <c r="K539" i="5"/>
  <c r="L539" i="5" s="1"/>
  <c r="M539" i="5" s="1"/>
  <c r="N539" i="5" s="1"/>
  <c r="J539" i="5"/>
  <c r="G539" i="5"/>
  <c r="F539" i="5"/>
  <c r="E539" i="5"/>
  <c r="D539" i="5"/>
  <c r="S539" i="5" s="1"/>
  <c r="AB539" i="5" s="1"/>
  <c r="C539" i="5"/>
  <c r="B539" i="5"/>
  <c r="O538" i="5"/>
  <c r="K538" i="5"/>
  <c r="L538" i="5" s="1"/>
  <c r="M538" i="5" s="1"/>
  <c r="N538" i="5" s="1"/>
  <c r="J538" i="5"/>
  <c r="G538" i="5"/>
  <c r="F538" i="5"/>
  <c r="E538" i="5"/>
  <c r="V538" i="5" s="1"/>
  <c r="W538" i="5" s="1"/>
  <c r="D538" i="5"/>
  <c r="S538" i="5" s="1"/>
  <c r="AB538" i="5" s="1"/>
  <c r="C538" i="5"/>
  <c r="B538" i="5"/>
  <c r="Z538" i="5" s="1"/>
  <c r="O537" i="5"/>
  <c r="K537" i="5"/>
  <c r="L537" i="5" s="1"/>
  <c r="M537" i="5" s="1"/>
  <c r="N537" i="5" s="1"/>
  <c r="J537" i="5"/>
  <c r="G537" i="5"/>
  <c r="P537" i="5" s="1"/>
  <c r="F537" i="5"/>
  <c r="E537" i="5"/>
  <c r="V537" i="5" s="1"/>
  <c r="W537" i="5" s="1"/>
  <c r="D537" i="5"/>
  <c r="S537" i="5" s="1"/>
  <c r="AB537" i="5" s="1"/>
  <c r="C537" i="5"/>
  <c r="B537" i="5"/>
  <c r="Z537" i="5" s="1"/>
  <c r="O536" i="5"/>
  <c r="K536" i="5"/>
  <c r="L536" i="5" s="1"/>
  <c r="M536" i="5" s="1"/>
  <c r="N536" i="5" s="1"/>
  <c r="J536" i="5"/>
  <c r="G536" i="5"/>
  <c r="P536" i="5" s="1"/>
  <c r="F536" i="5"/>
  <c r="E536" i="5"/>
  <c r="D536" i="5"/>
  <c r="S536" i="5" s="1"/>
  <c r="AB536" i="5" s="1"/>
  <c r="C536" i="5"/>
  <c r="B536" i="5"/>
  <c r="Z536" i="5" s="1"/>
  <c r="O535" i="5"/>
  <c r="K535" i="5"/>
  <c r="L535" i="5" s="1"/>
  <c r="M535" i="5" s="1"/>
  <c r="N535" i="5" s="1"/>
  <c r="J535" i="5"/>
  <c r="G535" i="5"/>
  <c r="H535" i="5" s="1"/>
  <c r="I535" i="5" s="1"/>
  <c r="F535" i="5"/>
  <c r="E535" i="5"/>
  <c r="V535" i="5" s="1"/>
  <c r="W535" i="5" s="1"/>
  <c r="D535" i="5"/>
  <c r="S535" i="5" s="1"/>
  <c r="AB535" i="5" s="1"/>
  <c r="C535" i="5"/>
  <c r="B535" i="5"/>
  <c r="O534" i="5"/>
  <c r="K534" i="5"/>
  <c r="L534" i="5" s="1"/>
  <c r="M534" i="5" s="1"/>
  <c r="N534" i="5" s="1"/>
  <c r="J534" i="5"/>
  <c r="G534" i="5"/>
  <c r="H534" i="5" s="1"/>
  <c r="F534" i="5"/>
  <c r="E534" i="5"/>
  <c r="D534" i="5"/>
  <c r="S534" i="5" s="1"/>
  <c r="AB534" i="5" s="1"/>
  <c r="C534" i="5"/>
  <c r="B534" i="5"/>
  <c r="Z534" i="5" s="1"/>
  <c r="O533" i="5"/>
  <c r="K533" i="5"/>
  <c r="L533" i="5" s="1"/>
  <c r="M533" i="5" s="1"/>
  <c r="N533" i="5" s="1"/>
  <c r="J533" i="5"/>
  <c r="G533" i="5"/>
  <c r="H533" i="5" s="1"/>
  <c r="F533" i="5"/>
  <c r="E533" i="5"/>
  <c r="V533" i="5" s="1"/>
  <c r="W533" i="5" s="1"/>
  <c r="D533" i="5"/>
  <c r="S533" i="5" s="1"/>
  <c r="AB533" i="5" s="1"/>
  <c r="C533" i="5"/>
  <c r="B533" i="5"/>
  <c r="O532" i="5"/>
  <c r="K532" i="5"/>
  <c r="L532" i="5" s="1"/>
  <c r="M532" i="5" s="1"/>
  <c r="N532" i="5" s="1"/>
  <c r="J532" i="5"/>
  <c r="G532" i="5"/>
  <c r="P532" i="5" s="1"/>
  <c r="F532" i="5"/>
  <c r="E532" i="5"/>
  <c r="D532" i="5"/>
  <c r="S532" i="5" s="1"/>
  <c r="AB532" i="5" s="1"/>
  <c r="C532" i="5"/>
  <c r="B532" i="5"/>
  <c r="O531" i="5"/>
  <c r="K531" i="5"/>
  <c r="L531" i="5" s="1"/>
  <c r="M531" i="5" s="1"/>
  <c r="N531" i="5" s="1"/>
  <c r="J531" i="5"/>
  <c r="G531" i="5"/>
  <c r="H531" i="5" s="1"/>
  <c r="F531" i="5"/>
  <c r="E531" i="5"/>
  <c r="V531" i="5" s="1"/>
  <c r="W531" i="5" s="1"/>
  <c r="D531" i="5"/>
  <c r="S531" i="5" s="1"/>
  <c r="AB531" i="5" s="1"/>
  <c r="C531" i="5"/>
  <c r="B531" i="5"/>
  <c r="Z531" i="5" s="1"/>
  <c r="O530" i="5"/>
  <c r="K530" i="5"/>
  <c r="L530" i="5" s="1"/>
  <c r="M530" i="5" s="1"/>
  <c r="N530" i="5" s="1"/>
  <c r="J530" i="5"/>
  <c r="G530" i="5"/>
  <c r="P530" i="5" s="1"/>
  <c r="F530" i="5"/>
  <c r="E530" i="5"/>
  <c r="V530" i="5" s="1"/>
  <c r="W530" i="5" s="1"/>
  <c r="D530" i="5"/>
  <c r="S530" i="5" s="1"/>
  <c r="AB530" i="5" s="1"/>
  <c r="C530" i="5"/>
  <c r="B530" i="5"/>
  <c r="O529" i="5"/>
  <c r="K529" i="5"/>
  <c r="L529" i="5" s="1"/>
  <c r="M529" i="5" s="1"/>
  <c r="N529" i="5" s="1"/>
  <c r="J529" i="5"/>
  <c r="G529" i="5"/>
  <c r="H529" i="5" s="1"/>
  <c r="F529" i="5"/>
  <c r="E529" i="5"/>
  <c r="V529" i="5" s="1"/>
  <c r="W529" i="5" s="1"/>
  <c r="D529" i="5"/>
  <c r="S529" i="5" s="1"/>
  <c r="AB529" i="5" s="1"/>
  <c r="C529" i="5"/>
  <c r="B529" i="5"/>
  <c r="Z529" i="5" s="1"/>
  <c r="O528" i="5"/>
  <c r="K528" i="5"/>
  <c r="L528" i="5" s="1"/>
  <c r="M528" i="5" s="1"/>
  <c r="N528" i="5" s="1"/>
  <c r="J528" i="5"/>
  <c r="G528" i="5"/>
  <c r="P528" i="5" s="1"/>
  <c r="F528" i="5"/>
  <c r="E528" i="5"/>
  <c r="V528" i="5" s="1"/>
  <c r="W528" i="5" s="1"/>
  <c r="D528" i="5"/>
  <c r="Q528" i="5" s="1"/>
  <c r="C528" i="5"/>
  <c r="B528" i="5"/>
  <c r="Z528" i="5" s="1"/>
  <c r="O527" i="5"/>
  <c r="K527" i="5"/>
  <c r="L527" i="5" s="1"/>
  <c r="M527" i="5" s="1"/>
  <c r="N527" i="5" s="1"/>
  <c r="J527" i="5"/>
  <c r="G527" i="5"/>
  <c r="H527" i="5" s="1"/>
  <c r="I527" i="5" s="1"/>
  <c r="F527" i="5"/>
  <c r="E527" i="5"/>
  <c r="V527" i="5" s="1"/>
  <c r="W527" i="5" s="1"/>
  <c r="D527" i="5"/>
  <c r="S527" i="5" s="1"/>
  <c r="AB527" i="5" s="1"/>
  <c r="C527" i="5"/>
  <c r="B527" i="5"/>
  <c r="O526" i="5"/>
  <c r="K526" i="5"/>
  <c r="L526" i="5" s="1"/>
  <c r="M526" i="5" s="1"/>
  <c r="N526" i="5" s="1"/>
  <c r="J526" i="5"/>
  <c r="G526" i="5"/>
  <c r="P526" i="5" s="1"/>
  <c r="F526" i="5"/>
  <c r="E526" i="5"/>
  <c r="D526" i="5"/>
  <c r="S526" i="5" s="1"/>
  <c r="AB526" i="5" s="1"/>
  <c r="C526" i="5"/>
  <c r="B526" i="5"/>
  <c r="Z526" i="5" s="1"/>
  <c r="O525" i="5"/>
  <c r="K525" i="5"/>
  <c r="L525" i="5" s="1"/>
  <c r="M525" i="5" s="1"/>
  <c r="N525" i="5" s="1"/>
  <c r="J525" i="5"/>
  <c r="G525" i="5"/>
  <c r="H525" i="5" s="1"/>
  <c r="F525" i="5"/>
  <c r="E525" i="5"/>
  <c r="V525" i="5" s="1"/>
  <c r="W525" i="5" s="1"/>
  <c r="D525" i="5"/>
  <c r="S525" i="5" s="1"/>
  <c r="AB525" i="5" s="1"/>
  <c r="C525" i="5"/>
  <c r="B525" i="5"/>
  <c r="Z525" i="5" s="1"/>
  <c r="O524" i="5"/>
  <c r="K524" i="5"/>
  <c r="L524" i="5" s="1"/>
  <c r="M524" i="5" s="1"/>
  <c r="N524" i="5" s="1"/>
  <c r="J524" i="5"/>
  <c r="G524" i="5"/>
  <c r="P524" i="5" s="1"/>
  <c r="F524" i="5"/>
  <c r="E524" i="5"/>
  <c r="V524" i="5" s="1"/>
  <c r="W524" i="5" s="1"/>
  <c r="D524" i="5"/>
  <c r="C524" i="5"/>
  <c r="B524" i="5"/>
  <c r="O523" i="5"/>
  <c r="K523" i="5"/>
  <c r="L523" i="5" s="1"/>
  <c r="M523" i="5" s="1"/>
  <c r="N523" i="5" s="1"/>
  <c r="J523" i="5"/>
  <c r="G523" i="5"/>
  <c r="H523" i="5" s="1"/>
  <c r="F523" i="5"/>
  <c r="E523" i="5"/>
  <c r="D523" i="5"/>
  <c r="S523" i="5" s="1"/>
  <c r="AB523" i="5" s="1"/>
  <c r="C523" i="5"/>
  <c r="B523" i="5"/>
  <c r="O522" i="5"/>
  <c r="K522" i="5"/>
  <c r="L522" i="5" s="1"/>
  <c r="M522" i="5" s="1"/>
  <c r="N522" i="5" s="1"/>
  <c r="J522" i="5"/>
  <c r="G522" i="5"/>
  <c r="P522" i="5" s="1"/>
  <c r="F522" i="5"/>
  <c r="E522" i="5"/>
  <c r="V522" i="5" s="1"/>
  <c r="W522" i="5" s="1"/>
  <c r="D522" i="5"/>
  <c r="S522" i="5" s="1"/>
  <c r="AB522" i="5" s="1"/>
  <c r="C522" i="5"/>
  <c r="B522" i="5"/>
  <c r="Z522" i="5" s="1"/>
  <c r="O521" i="5"/>
  <c r="K521" i="5"/>
  <c r="L521" i="5" s="1"/>
  <c r="M521" i="5" s="1"/>
  <c r="N521" i="5" s="1"/>
  <c r="J521" i="5"/>
  <c r="G521" i="5"/>
  <c r="H521" i="5" s="1"/>
  <c r="F521" i="5"/>
  <c r="E521" i="5"/>
  <c r="V521" i="5" s="1"/>
  <c r="W521" i="5" s="1"/>
  <c r="D521" i="5"/>
  <c r="S521" i="5" s="1"/>
  <c r="AB521" i="5" s="1"/>
  <c r="C521" i="5"/>
  <c r="B521" i="5"/>
  <c r="O520" i="5"/>
  <c r="K520" i="5"/>
  <c r="L520" i="5" s="1"/>
  <c r="M520" i="5" s="1"/>
  <c r="N520" i="5" s="1"/>
  <c r="J520" i="5"/>
  <c r="G520" i="5"/>
  <c r="P520" i="5" s="1"/>
  <c r="F520" i="5"/>
  <c r="E520" i="5"/>
  <c r="D520" i="5"/>
  <c r="S520" i="5" s="1"/>
  <c r="AB520" i="5" s="1"/>
  <c r="C520" i="5"/>
  <c r="B520" i="5"/>
  <c r="Z520" i="5" s="1"/>
  <c r="O519" i="5"/>
  <c r="K519" i="5"/>
  <c r="L519" i="5" s="1"/>
  <c r="M519" i="5" s="1"/>
  <c r="N519" i="5" s="1"/>
  <c r="J519" i="5"/>
  <c r="G519" i="5"/>
  <c r="P519" i="5" s="1"/>
  <c r="F519" i="5"/>
  <c r="E519" i="5"/>
  <c r="V519" i="5" s="1"/>
  <c r="W519" i="5" s="1"/>
  <c r="D519" i="5"/>
  <c r="S519" i="5" s="1"/>
  <c r="AB519" i="5" s="1"/>
  <c r="C519" i="5"/>
  <c r="B519" i="5"/>
  <c r="O518" i="5"/>
  <c r="K518" i="5"/>
  <c r="L518" i="5" s="1"/>
  <c r="M518" i="5" s="1"/>
  <c r="N518" i="5" s="1"/>
  <c r="J518" i="5"/>
  <c r="G518" i="5"/>
  <c r="P518" i="5" s="1"/>
  <c r="F518" i="5"/>
  <c r="E518" i="5"/>
  <c r="V518" i="5" s="1"/>
  <c r="W518" i="5" s="1"/>
  <c r="D518" i="5"/>
  <c r="S518" i="5" s="1"/>
  <c r="AB518" i="5" s="1"/>
  <c r="C518" i="5"/>
  <c r="B518" i="5"/>
  <c r="Z518" i="5" s="1"/>
  <c r="O517" i="5"/>
  <c r="K517" i="5"/>
  <c r="L517" i="5" s="1"/>
  <c r="M517" i="5" s="1"/>
  <c r="N517" i="5" s="1"/>
  <c r="J517" i="5"/>
  <c r="G517" i="5"/>
  <c r="P517" i="5" s="1"/>
  <c r="F517" i="5"/>
  <c r="E517" i="5"/>
  <c r="V517" i="5" s="1"/>
  <c r="W517" i="5" s="1"/>
  <c r="D517" i="5"/>
  <c r="S517" i="5" s="1"/>
  <c r="AB517" i="5" s="1"/>
  <c r="C517" i="5"/>
  <c r="B517" i="5"/>
  <c r="Z517" i="5" s="1"/>
  <c r="O516" i="5"/>
  <c r="K516" i="5"/>
  <c r="L516" i="5" s="1"/>
  <c r="M516" i="5" s="1"/>
  <c r="N516" i="5" s="1"/>
  <c r="J516" i="5"/>
  <c r="G516" i="5"/>
  <c r="H516" i="5" s="1"/>
  <c r="F516" i="5"/>
  <c r="E516" i="5"/>
  <c r="D516" i="5"/>
  <c r="S516" i="5" s="1"/>
  <c r="AB516" i="5" s="1"/>
  <c r="C516" i="5"/>
  <c r="B516" i="5"/>
  <c r="Z516" i="5" s="1"/>
  <c r="O515" i="5"/>
  <c r="K515" i="5"/>
  <c r="L515" i="5" s="1"/>
  <c r="M515" i="5" s="1"/>
  <c r="N515" i="5" s="1"/>
  <c r="J515" i="5"/>
  <c r="G515" i="5"/>
  <c r="P515" i="5" s="1"/>
  <c r="F515" i="5"/>
  <c r="E515" i="5"/>
  <c r="V515" i="5" s="1"/>
  <c r="W515" i="5" s="1"/>
  <c r="D515" i="5"/>
  <c r="S515" i="5" s="1"/>
  <c r="AB515" i="5" s="1"/>
  <c r="C515" i="5"/>
  <c r="B515" i="5"/>
  <c r="O514" i="5"/>
  <c r="K514" i="5"/>
  <c r="L514" i="5" s="1"/>
  <c r="M514" i="5" s="1"/>
  <c r="N514" i="5" s="1"/>
  <c r="J514" i="5"/>
  <c r="G514" i="5"/>
  <c r="P514" i="5" s="1"/>
  <c r="F514" i="5"/>
  <c r="E514" i="5"/>
  <c r="T514" i="5" s="1"/>
  <c r="D514" i="5"/>
  <c r="S514" i="5" s="1"/>
  <c r="AB514" i="5" s="1"/>
  <c r="C514" i="5"/>
  <c r="B514" i="5"/>
  <c r="O513" i="5"/>
  <c r="K513" i="5"/>
  <c r="L513" i="5" s="1"/>
  <c r="M513" i="5" s="1"/>
  <c r="N513" i="5" s="1"/>
  <c r="J513" i="5"/>
  <c r="G513" i="5"/>
  <c r="P513" i="5" s="1"/>
  <c r="F513" i="5"/>
  <c r="E513" i="5"/>
  <c r="V513" i="5" s="1"/>
  <c r="W513" i="5" s="1"/>
  <c r="D513" i="5"/>
  <c r="S513" i="5" s="1"/>
  <c r="AB513" i="5" s="1"/>
  <c r="C513" i="5"/>
  <c r="B513" i="5"/>
  <c r="Z513" i="5" s="1"/>
  <c r="O512" i="5"/>
  <c r="K512" i="5"/>
  <c r="L512" i="5" s="1"/>
  <c r="M512" i="5" s="1"/>
  <c r="N512" i="5" s="1"/>
  <c r="J512" i="5"/>
  <c r="G512" i="5"/>
  <c r="H512" i="5" s="1"/>
  <c r="F512" i="5"/>
  <c r="E512" i="5"/>
  <c r="V512" i="5" s="1"/>
  <c r="W512" i="5" s="1"/>
  <c r="D512" i="5"/>
  <c r="C512" i="5"/>
  <c r="B512" i="5"/>
  <c r="O511" i="5"/>
  <c r="K511" i="5"/>
  <c r="L511" i="5" s="1"/>
  <c r="M511" i="5" s="1"/>
  <c r="N511" i="5" s="1"/>
  <c r="J511" i="5"/>
  <c r="G511" i="5"/>
  <c r="P511" i="5" s="1"/>
  <c r="F511" i="5"/>
  <c r="E511" i="5"/>
  <c r="V511" i="5" s="1"/>
  <c r="W511" i="5" s="1"/>
  <c r="D511" i="5"/>
  <c r="Q511" i="5" s="1"/>
  <c r="C511" i="5"/>
  <c r="B511" i="5"/>
  <c r="O510" i="5"/>
  <c r="K510" i="5"/>
  <c r="L510" i="5" s="1"/>
  <c r="M510" i="5" s="1"/>
  <c r="N510" i="5" s="1"/>
  <c r="J510" i="5"/>
  <c r="G510" i="5"/>
  <c r="P510" i="5" s="1"/>
  <c r="F510" i="5"/>
  <c r="E510" i="5"/>
  <c r="D510" i="5"/>
  <c r="S510" i="5" s="1"/>
  <c r="AB510" i="5" s="1"/>
  <c r="C510" i="5"/>
  <c r="B510" i="5"/>
  <c r="Z510" i="5" s="1"/>
  <c r="O509" i="5"/>
  <c r="K509" i="5"/>
  <c r="L509" i="5" s="1"/>
  <c r="M509" i="5" s="1"/>
  <c r="N509" i="5" s="1"/>
  <c r="J509" i="5"/>
  <c r="G509" i="5"/>
  <c r="P509" i="5" s="1"/>
  <c r="F509" i="5"/>
  <c r="E509" i="5"/>
  <c r="V509" i="5" s="1"/>
  <c r="W509" i="5" s="1"/>
  <c r="D509" i="5"/>
  <c r="S509" i="5" s="1"/>
  <c r="AB509" i="5" s="1"/>
  <c r="C509" i="5"/>
  <c r="B509" i="5"/>
  <c r="Z509" i="5" s="1"/>
  <c r="O508" i="5"/>
  <c r="K508" i="5"/>
  <c r="L508" i="5" s="1"/>
  <c r="M508" i="5" s="1"/>
  <c r="N508" i="5" s="1"/>
  <c r="J508" i="5"/>
  <c r="G508" i="5"/>
  <c r="F508" i="5"/>
  <c r="E508" i="5"/>
  <c r="D508" i="5"/>
  <c r="S508" i="5" s="1"/>
  <c r="AB508" i="5" s="1"/>
  <c r="C508" i="5"/>
  <c r="B508" i="5"/>
  <c r="O507" i="5"/>
  <c r="K507" i="5"/>
  <c r="L507" i="5" s="1"/>
  <c r="M507" i="5" s="1"/>
  <c r="N507" i="5" s="1"/>
  <c r="J507" i="5"/>
  <c r="G507" i="5"/>
  <c r="P507" i="5" s="1"/>
  <c r="F507" i="5"/>
  <c r="E507" i="5"/>
  <c r="D507" i="5"/>
  <c r="S507" i="5" s="1"/>
  <c r="AB507" i="5" s="1"/>
  <c r="C507" i="5"/>
  <c r="B507" i="5"/>
  <c r="Z507" i="5" s="1"/>
  <c r="O506" i="5"/>
  <c r="K506" i="5"/>
  <c r="L506" i="5" s="1"/>
  <c r="M506" i="5" s="1"/>
  <c r="N506" i="5" s="1"/>
  <c r="J506" i="5"/>
  <c r="G506" i="5"/>
  <c r="H506" i="5" s="1"/>
  <c r="F506" i="5"/>
  <c r="E506" i="5"/>
  <c r="V506" i="5" s="1"/>
  <c r="W506" i="5" s="1"/>
  <c r="D506" i="5"/>
  <c r="S506" i="5" s="1"/>
  <c r="AB506" i="5" s="1"/>
  <c r="C506" i="5"/>
  <c r="B506" i="5"/>
  <c r="O505" i="5"/>
  <c r="K505" i="5"/>
  <c r="L505" i="5" s="1"/>
  <c r="M505" i="5" s="1"/>
  <c r="N505" i="5" s="1"/>
  <c r="J505" i="5"/>
  <c r="G505" i="5"/>
  <c r="P505" i="5" s="1"/>
  <c r="F505" i="5"/>
  <c r="E505" i="5"/>
  <c r="V505" i="5" s="1"/>
  <c r="W505" i="5" s="1"/>
  <c r="D505" i="5"/>
  <c r="S505" i="5" s="1"/>
  <c r="AB505" i="5" s="1"/>
  <c r="C505" i="5"/>
  <c r="B505" i="5"/>
  <c r="O504" i="5"/>
  <c r="K504" i="5"/>
  <c r="L504" i="5" s="1"/>
  <c r="M504" i="5" s="1"/>
  <c r="N504" i="5" s="1"/>
  <c r="J504" i="5"/>
  <c r="G504" i="5"/>
  <c r="H504" i="5" s="1"/>
  <c r="F504" i="5"/>
  <c r="E504" i="5"/>
  <c r="D504" i="5"/>
  <c r="S504" i="5" s="1"/>
  <c r="AB504" i="5" s="1"/>
  <c r="C504" i="5"/>
  <c r="B504" i="5"/>
  <c r="Z504" i="5" s="1"/>
  <c r="O503" i="5"/>
  <c r="K503" i="5"/>
  <c r="L503" i="5" s="1"/>
  <c r="M503" i="5" s="1"/>
  <c r="N503" i="5" s="1"/>
  <c r="J503" i="5"/>
  <c r="G503" i="5"/>
  <c r="P503" i="5" s="1"/>
  <c r="F503" i="5"/>
  <c r="E503" i="5"/>
  <c r="V503" i="5" s="1"/>
  <c r="W503" i="5" s="1"/>
  <c r="D503" i="5"/>
  <c r="S503" i="5" s="1"/>
  <c r="AB503" i="5" s="1"/>
  <c r="C503" i="5"/>
  <c r="B503" i="5"/>
  <c r="O502" i="5"/>
  <c r="K502" i="5"/>
  <c r="L502" i="5" s="1"/>
  <c r="M502" i="5" s="1"/>
  <c r="N502" i="5" s="1"/>
  <c r="J502" i="5"/>
  <c r="G502" i="5"/>
  <c r="H502" i="5" s="1"/>
  <c r="F502" i="5"/>
  <c r="E502" i="5"/>
  <c r="V502" i="5" s="1"/>
  <c r="W502" i="5" s="1"/>
  <c r="D502" i="5"/>
  <c r="S502" i="5" s="1"/>
  <c r="AB502" i="5" s="1"/>
  <c r="C502" i="5"/>
  <c r="B502" i="5"/>
  <c r="O501" i="5"/>
  <c r="K501" i="5"/>
  <c r="L501" i="5" s="1"/>
  <c r="M501" i="5" s="1"/>
  <c r="N501" i="5" s="1"/>
  <c r="J501" i="5"/>
  <c r="G501" i="5"/>
  <c r="P501" i="5" s="1"/>
  <c r="F501" i="5"/>
  <c r="E501" i="5"/>
  <c r="V501" i="5" s="1"/>
  <c r="W501" i="5" s="1"/>
  <c r="D501" i="5"/>
  <c r="S501" i="5" s="1"/>
  <c r="AB501" i="5" s="1"/>
  <c r="C501" i="5"/>
  <c r="B501" i="5"/>
  <c r="Z501" i="5" s="1"/>
  <c r="O500" i="5"/>
  <c r="K500" i="5"/>
  <c r="L500" i="5" s="1"/>
  <c r="M500" i="5" s="1"/>
  <c r="N500" i="5" s="1"/>
  <c r="J500" i="5"/>
  <c r="G500" i="5"/>
  <c r="H500" i="5" s="1"/>
  <c r="F500" i="5"/>
  <c r="E500" i="5"/>
  <c r="D500" i="5"/>
  <c r="S500" i="5" s="1"/>
  <c r="AB500" i="5" s="1"/>
  <c r="C500" i="5"/>
  <c r="B500" i="5"/>
  <c r="Z500" i="5" s="1"/>
  <c r="O499" i="5"/>
  <c r="K499" i="5"/>
  <c r="L499" i="5" s="1"/>
  <c r="M499" i="5" s="1"/>
  <c r="N499" i="5" s="1"/>
  <c r="J499" i="5"/>
  <c r="G499" i="5"/>
  <c r="P499" i="5" s="1"/>
  <c r="F499" i="5"/>
  <c r="E499" i="5"/>
  <c r="V499" i="5" s="1"/>
  <c r="W499" i="5" s="1"/>
  <c r="D499" i="5"/>
  <c r="S499" i="5" s="1"/>
  <c r="AB499" i="5" s="1"/>
  <c r="C499" i="5"/>
  <c r="B499" i="5"/>
  <c r="Z499" i="5" s="1"/>
  <c r="O498" i="5"/>
  <c r="K498" i="5"/>
  <c r="L498" i="5" s="1"/>
  <c r="M498" i="5" s="1"/>
  <c r="N498" i="5" s="1"/>
  <c r="J498" i="5"/>
  <c r="G498" i="5"/>
  <c r="H498" i="5" s="1"/>
  <c r="F498" i="5"/>
  <c r="E498" i="5"/>
  <c r="V498" i="5" s="1"/>
  <c r="W498" i="5" s="1"/>
  <c r="D498" i="5"/>
  <c r="Q498" i="5" s="1"/>
  <c r="C498" i="5"/>
  <c r="B498" i="5"/>
  <c r="O497" i="5"/>
  <c r="K497" i="5"/>
  <c r="L497" i="5" s="1"/>
  <c r="M497" i="5" s="1"/>
  <c r="N497" i="5" s="1"/>
  <c r="J497" i="5"/>
  <c r="G497" i="5"/>
  <c r="P497" i="5" s="1"/>
  <c r="F497" i="5"/>
  <c r="E497" i="5"/>
  <c r="V497" i="5" s="1"/>
  <c r="W497" i="5" s="1"/>
  <c r="D497" i="5"/>
  <c r="S497" i="5" s="1"/>
  <c r="AB497" i="5" s="1"/>
  <c r="C497" i="5"/>
  <c r="B497" i="5"/>
  <c r="O496" i="5"/>
  <c r="K496" i="5"/>
  <c r="L496" i="5" s="1"/>
  <c r="M496" i="5" s="1"/>
  <c r="N496" i="5" s="1"/>
  <c r="J496" i="5"/>
  <c r="G496" i="5"/>
  <c r="F496" i="5"/>
  <c r="E496" i="5"/>
  <c r="D496" i="5"/>
  <c r="C496" i="5"/>
  <c r="B496" i="5"/>
  <c r="O495" i="5"/>
  <c r="K495" i="5"/>
  <c r="L495" i="5" s="1"/>
  <c r="M495" i="5" s="1"/>
  <c r="N495" i="5" s="1"/>
  <c r="J495" i="5"/>
  <c r="G495" i="5"/>
  <c r="P495" i="5" s="1"/>
  <c r="F495" i="5"/>
  <c r="E495" i="5"/>
  <c r="V495" i="5" s="1"/>
  <c r="W495" i="5" s="1"/>
  <c r="D495" i="5"/>
  <c r="S495" i="5" s="1"/>
  <c r="AB495" i="5" s="1"/>
  <c r="C495" i="5"/>
  <c r="B495" i="5"/>
  <c r="O494" i="5"/>
  <c r="K494" i="5"/>
  <c r="L494" i="5" s="1"/>
  <c r="M494" i="5" s="1"/>
  <c r="N494" i="5" s="1"/>
  <c r="J494" i="5"/>
  <c r="G494" i="5"/>
  <c r="H494" i="5" s="1"/>
  <c r="F494" i="5"/>
  <c r="E494" i="5"/>
  <c r="D494" i="5"/>
  <c r="S494" i="5" s="1"/>
  <c r="AB494" i="5" s="1"/>
  <c r="C494" i="5"/>
  <c r="B494" i="5"/>
  <c r="Z494" i="5" s="1"/>
  <c r="O493" i="5"/>
  <c r="K493" i="5"/>
  <c r="L493" i="5" s="1"/>
  <c r="M493" i="5" s="1"/>
  <c r="N493" i="5" s="1"/>
  <c r="J493" i="5"/>
  <c r="G493" i="5"/>
  <c r="P493" i="5" s="1"/>
  <c r="F493" i="5"/>
  <c r="E493" i="5"/>
  <c r="V493" i="5" s="1"/>
  <c r="W493" i="5" s="1"/>
  <c r="D493" i="5"/>
  <c r="S493" i="5" s="1"/>
  <c r="AB493" i="5" s="1"/>
  <c r="C493" i="5"/>
  <c r="B493" i="5"/>
  <c r="O492" i="5"/>
  <c r="K492" i="5"/>
  <c r="L492" i="5" s="1"/>
  <c r="M492" i="5" s="1"/>
  <c r="N492" i="5" s="1"/>
  <c r="J492" i="5"/>
  <c r="G492" i="5"/>
  <c r="F492" i="5"/>
  <c r="E492" i="5"/>
  <c r="V492" i="5" s="1"/>
  <c r="W492" i="5" s="1"/>
  <c r="D492" i="5"/>
  <c r="S492" i="5" s="1"/>
  <c r="AB492" i="5" s="1"/>
  <c r="C492" i="5"/>
  <c r="B492" i="5"/>
  <c r="O491" i="5"/>
  <c r="K491" i="5"/>
  <c r="L491" i="5" s="1"/>
  <c r="M491" i="5" s="1"/>
  <c r="N491" i="5" s="1"/>
  <c r="J491" i="5"/>
  <c r="G491" i="5"/>
  <c r="P491" i="5" s="1"/>
  <c r="F491" i="5"/>
  <c r="E491" i="5"/>
  <c r="D491" i="5"/>
  <c r="S491" i="5" s="1"/>
  <c r="AB491" i="5" s="1"/>
  <c r="C491" i="5"/>
  <c r="B491" i="5"/>
  <c r="Z491" i="5" s="1"/>
  <c r="O490" i="5"/>
  <c r="K490" i="5"/>
  <c r="L490" i="5" s="1"/>
  <c r="M490" i="5" s="1"/>
  <c r="N490" i="5" s="1"/>
  <c r="J490" i="5"/>
  <c r="G490" i="5"/>
  <c r="H490" i="5" s="1"/>
  <c r="F490" i="5"/>
  <c r="E490" i="5"/>
  <c r="V490" i="5" s="1"/>
  <c r="W490" i="5" s="1"/>
  <c r="D490" i="5"/>
  <c r="S490" i="5" s="1"/>
  <c r="AB490" i="5" s="1"/>
  <c r="C490" i="5"/>
  <c r="B490" i="5"/>
  <c r="O489" i="5"/>
  <c r="K489" i="5"/>
  <c r="L489" i="5" s="1"/>
  <c r="M489" i="5" s="1"/>
  <c r="N489" i="5" s="1"/>
  <c r="J489" i="5"/>
  <c r="G489" i="5"/>
  <c r="P489" i="5" s="1"/>
  <c r="F489" i="5"/>
  <c r="E489" i="5"/>
  <c r="V489" i="5" s="1"/>
  <c r="W489" i="5" s="1"/>
  <c r="D489" i="5"/>
  <c r="S489" i="5" s="1"/>
  <c r="AB489" i="5" s="1"/>
  <c r="C489" i="5"/>
  <c r="B489" i="5"/>
  <c r="Z489" i="5" s="1"/>
  <c r="O488" i="5"/>
  <c r="K488" i="5"/>
  <c r="L488" i="5" s="1"/>
  <c r="M488" i="5" s="1"/>
  <c r="N488" i="5" s="1"/>
  <c r="J488" i="5"/>
  <c r="G488" i="5"/>
  <c r="H488" i="5" s="1"/>
  <c r="F488" i="5"/>
  <c r="E488" i="5"/>
  <c r="D488" i="5"/>
  <c r="S488" i="5" s="1"/>
  <c r="AB488" i="5" s="1"/>
  <c r="C488" i="5"/>
  <c r="B488" i="5"/>
  <c r="O487" i="5"/>
  <c r="K487" i="5"/>
  <c r="L487" i="5" s="1"/>
  <c r="M487" i="5" s="1"/>
  <c r="N487" i="5" s="1"/>
  <c r="J487" i="5"/>
  <c r="G487" i="5"/>
  <c r="P487" i="5" s="1"/>
  <c r="F487" i="5"/>
  <c r="E487" i="5"/>
  <c r="V487" i="5" s="1"/>
  <c r="W487" i="5" s="1"/>
  <c r="D487" i="5"/>
  <c r="S487" i="5" s="1"/>
  <c r="AB487" i="5" s="1"/>
  <c r="C487" i="5"/>
  <c r="B487" i="5"/>
  <c r="O486" i="5"/>
  <c r="K486" i="5"/>
  <c r="L486" i="5" s="1"/>
  <c r="M486" i="5" s="1"/>
  <c r="N486" i="5" s="1"/>
  <c r="J486" i="5"/>
  <c r="G486" i="5"/>
  <c r="H486" i="5" s="1"/>
  <c r="F486" i="5"/>
  <c r="E486" i="5"/>
  <c r="V486" i="5" s="1"/>
  <c r="W486" i="5" s="1"/>
  <c r="D486" i="5"/>
  <c r="S486" i="5" s="1"/>
  <c r="AB486" i="5" s="1"/>
  <c r="C486" i="5"/>
  <c r="B486" i="5"/>
  <c r="O485" i="5"/>
  <c r="K485" i="5"/>
  <c r="L485" i="5" s="1"/>
  <c r="M485" i="5" s="1"/>
  <c r="N485" i="5" s="1"/>
  <c r="J485" i="5"/>
  <c r="G485" i="5"/>
  <c r="P485" i="5" s="1"/>
  <c r="F485" i="5"/>
  <c r="E485" i="5"/>
  <c r="V485" i="5" s="1"/>
  <c r="W485" i="5" s="1"/>
  <c r="D485" i="5"/>
  <c r="S485" i="5" s="1"/>
  <c r="AB485" i="5" s="1"/>
  <c r="C485" i="5"/>
  <c r="B485" i="5"/>
  <c r="Z485" i="5" s="1"/>
  <c r="O484" i="5"/>
  <c r="K484" i="5"/>
  <c r="L484" i="5" s="1"/>
  <c r="M484" i="5" s="1"/>
  <c r="N484" i="5" s="1"/>
  <c r="J484" i="5"/>
  <c r="G484" i="5"/>
  <c r="H484" i="5" s="1"/>
  <c r="F484" i="5"/>
  <c r="E484" i="5"/>
  <c r="D484" i="5"/>
  <c r="S484" i="5" s="1"/>
  <c r="AB484" i="5" s="1"/>
  <c r="C484" i="5"/>
  <c r="B484" i="5"/>
  <c r="O483" i="5"/>
  <c r="K483" i="5"/>
  <c r="L483" i="5" s="1"/>
  <c r="M483" i="5" s="1"/>
  <c r="N483" i="5" s="1"/>
  <c r="J483" i="5"/>
  <c r="G483" i="5"/>
  <c r="P483" i="5" s="1"/>
  <c r="F483" i="5"/>
  <c r="E483" i="5"/>
  <c r="V483" i="5" s="1"/>
  <c r="W483" i="5" s="1"/>
  <c r="D483" i="5"/>
  <c r="C483" i="5"/>
  <c r="B483" i="5"/>
  <c r="O482" i="5"/>
  <c r="K482" i="5"/>
  <c r="L482" i="5" s="1"/>
  <c r="M482" i="5" s="1"/>
  <c r="N482" i="5" s="1"/>
  <c r="J482" i="5"/>
  <c r="G482" i="5"/>
  <c r="H482" i="5" s="1"/>
  <c r="F482" i="5"/>
  <c r="E482" i="5"/>
  <c r="V482" i="5" s="1"/>
  <c r="W482" i="5" s="1"/>
  <c r="D482" i="5"/>
  <c r="C482" i="5"/>
  <c r="B482" i="5"/>
  <c r="O481" i="5"/>
  <c r="K481" i="5"/>
  <c r="L481" i="5" s="1"/>
  <c r="M481" i="5" s="1"/>
  <c r="N481" i="5" s="1"/>
  <c r="J481" i="5"/>
  <c r="G481" i="5"/>
  <c r="P481" i="5" s="1"/>
  <c r="F481" i="5"/>
  <c r="E481" i="5"/>
  <c r="V481" i="5" s="1"/>
  <c r="W481" i="5" s="1"/>
  <c r="D481" i="5"/>
  <c r="S481" i="5" s="1"/>
  <c r="AB481" i="5" s="1"/>
  <c r="C481" i="5"/>
  <c r="B481" i="5"/>
  <c r="Z481" i="5" s="1"/>
  <c r="O480" i="5"/>
  <c r="K480" i="5"/>
  <c r="L480" i="5" s="1"/>
  <c r="M480" i="5" s="1"/>
  <c r="N480" i="5" s="1"/>
  <c r="J480" i="5"/>
  <c r="G480" i="5"/>
  <c r="F480" i="5"/>
  <c r="E480" i="5"/>
  <c r="D480" i="5"/>
  <c r="S480" i="5" s="1"/>
  <c r="AB480" i="5" s="1"/>
  <c r="C480" i="5"/>
  <c r="B480" i="5"/>
  <c r="Z480" i="5" s="1"/>
  <c r="O479" i="5"/>
  <c r="K479" i="5"/>
  <c r="L479" i="5" s="1"/>
  <c r="M479" i="5" s="1"/>
  <c r="N479" i="5" s="1"/>
  <c r="J479" i="5"/>
  <c r="G479" i="5"/>
  <c r="P479" i="5" s="1"/>
  <c r="F479" i="5"/>
  <c r="E479" i="5"/>
  <c r="V479" i="5" s="1"/>
  <c r="W479" i="5" s="1"/>
  <c r="D479" i="5"/>
  <c r="S479" i="5" s="1"/>
  <c r="AB479" i="5" s="1"/>
  <c r="C479" i="5"/>
  <c r="B479" i="5"/>
  <c r="O478" i="5"/>
  <c r="K478" i="5"/>
  <c r="L478" i="5" s="1"/>
  <c r="M478" i="5" s="1"/>
  <c r="N478" i="5" s="1"/>
  <c r="J478" i="5"/>
  <c r="G478" i="5"/>
  <c r="H478" i="5" s="1"/>
  <c r="F478" i="5"/>
  <c r="E478" i="5"/>
  <c r="V478" i="5" s="1"/>
  <c r="W478" i="5" s="1"/>
  <c r="D478" i="5"/>
  <c r="S478" i="5" s="1"/>
  <c r="AB478" i="5" s="1"/>
  <c r="C478" i="5"/>
  <c r="B478" i="5"/>
  <c r="O477" i="5"/>
  <c r="K477" i="5"/>
  <c r="L477" i="5" s="1"/>
  <c r="M477" i="5" s="1"/>
  <c r="N477" i="5" s="1"/>
  <c r="J477" i="5"/>
  <c r="G477" i="5"/>
  <c r="P477" i="5" s="1"/>
  <c r="F477" i="5"/>
  <c r="E477" i="5"/>
  <c r="V477" i="5" s="1"/>
  <c r="W477" i="5" s="1"/>
  <c r="D477" i="5"/>
  <c r="S477" i="5" s="1"/>
  <c r="AB477" i="5" s="1"/>
  <c r="C477" i="5"/>
  <c r="B477" i="5"/>
  <c r="O476" i="5"/>
  <c r="K476" i="5"/>
  <c r="L476" i="5" s="1"/>
  <c r="M476" i="5" s="1"/>
  <c r="N476" i="5" s="1"/>
  <c r="J476" i="5"/>
  <c r="G476" i="5"/>
  <c r="F476" i="5"/>
  <c r="E476" i="5"/>
  <c r="D476" i="5"/>
  <c r="S476" i="5" s="1"/>
  <c r="AB476" i="5" s="1"/>
  <c r="C476" i="5"/>
  <c r="B476" i="5"/>
  <c r="O475" i="5"/>
  <c r="K475" i="5"/>
  <c r="L475" i="5" s="1"/>
  <c r="M475" i="5" s="1"/>
  <c r="N475" i="5" s="1"/>
  <c r="J475" i="5"/>
  <c r="G475" i="5"/>
  <c r="P475" i="5" s="1"/>
  <c r="F475" i="5"/>
  <c r="E475" i="5"/>
  <c r="V475" i="5" s="1"/>
  <c r="W475" i="5" s="1"/>
  <c r="D475" i="5"/>
  <c r="S475" i="5" s="1"/>
  <c r="AB475" i="5" s="1"/>
  <c r="C475" i="5"/>
  <c r="B475" i="5"/>
  <c r="O474" i="5"/>
  <c r="K474" i="5"/>
  <c r="L474" i="5" s="1"/>
  <c r="M474" i="5" s="1"/>
  <c r="N474" i="5" s="1"/>
  <c r="J474" i="5"/>
  <c r="G474" i="5"/>
  <c r="H474" i="5" s="1"/>
  <c r="F474" i="5"/>
  <c r="E474" i="5"/>
  <c r="V474" i="5" s="1"/>
  <c r="W474" i="5" s="1"/>
  <c r="D474" i="5"/>
  <c r="S474" i="5" s="1"/>
  <c r="AB474" i="5" s="1"/>
  <c r="C474" i="5"/>
  <c r="B474" i="5"/>
  <c r="O473" i="5"/>
  <c r="K473" i="5"/>
  <c r="L473" i="5" s="1"/>
  <c r="M473" i="5" s="1"/>
  <c r="N473" i="5" s="1"/>
  <c r="J473" i="5"/>
  <c r="G473" i="5"/>
  <c r="P473" i="5" s="1"/>
  <c r="F473" i="5"/>
  <c r="E473" i="5"/>
  <c r="V473" i="5" s="1"/>
  <c r="W473" i="5" s="1"/>
  <c r="D473" i="5"/>
  <c r="S473" i="5" s="1"/>
  <c r="AB473" i="5" s="1"/>
  <c r="C473" i="5"/>
  <c r="B473" i="5"/>
  <c r="O472" i="5"/>
  <c r="K472" i="5"/>
  <c r="L472" i="5" s="1"/>
  <c r="M472" i="5" s="1"/>
  <c r="N472" i="5" s="1"/>
  <c r="J472" i="5"/>
  <c r="G472" i="5"/>
  <c r="P472" i="5" s="1"/>
  <c r="F472" i="5"/>
  <c r="E472" i="5"/>
  <c r="D472" i="5"/>
  <c r="S472" i="5" s="1"/>
  <c r="AB472" i="5" s="1"/>
  <c r="C472" i="5"/>
  <c r="B472" i="5"/>
  <c r="Z472" i="5" s="1"/>
  <c r="O471" i="5"/>
  <c r="K471" i="5"/>
  <c r="L471" i="5" s="1"/>
  <c r="M471" i="5" s="1"/>
  <c r="N471" i="5" s="1"/>
  <c r="J471" i="5"/>
  <c r="G471" i="5"/>
  <c r="P471" i="5" s="1"/>
  <c r="F471" i="5"/>
  <c r="E471" i="5"/>
  <c r="V471" i="5" s="1"/>
  <c r="W471" i="5" s="1"/>
  <c r="D471" i="5"/>
  <c r="S471" i="5" s="1"/>
  <c r="AB471" i="5" s="1"/>
  <c r="C471" i="5"/>
  <c r="B471" i="5"/>
  <c r="O470" i="5"/>
  <c r="K470" i="5"/>
  <c r="L470" i="5" s="1"/>
  <c r="M470" i="5" s="1"/>
  <c r="N470" i="5" s="1"/>
  <c r="J470" i="5"/>
  <c r="G470" i="5"/>
  <c r="P470" i="5" s="1"/>
  <c r="F470" i="5"/>
  <c r="E470" i="5"/>
  <c r="V470" i="5" s="1"/>
  <c r="W470" i="5" s="1"/>
  <c r="D470" i="5"/>
  <c r="S470" i="5" s="1"/>
  <c r="AB470" i="5" s="1"/>
  <c r="C470" i="5"/>
  <c r="B470" i="5"/>
  <c r="Z470" i="5" s="1"/>
  <c r="O469" i="5"/>
  <c r="K469" i="5"/>
  <c r="L469" i="5" s="1"/>
  <c r="M469" i="5" s="1"/>
  <c r="N469" i="5" s="1"/>
  <c r="J469" i="5"/>
  <c r="G469" i="5"/>
  <c r="F469" i="5"/>
  <c r="E469" i="5"/>
  <c r="V469" i="5" s="1"/>
  <c r="W469" i="5" s="1"/>
  <c r="D469" i="5"/>
  <c r="S469" i="5" s="1"/>
  <c r="AB469" i="5" s="1"/>
  <c r="C469" i="5"/>
  <c r="B469" i="5"/>
  <c r="O468" i="5"/>
  <c r="K468" i="5"/>
  <c r="L468" i="5" s="1"/>
  <c r="M468" i="5" s="1"/>
  <c r="N468" i="5" s="1"/>
  <c r="J468" i="5"/>
  <c r="G468" i="5"/>
  <c r="P468" i="5" s="1"/>
  <c r="F468" i="5"/>
  <c r="E468" i="5"/>
  <c r="D468" i="5"/>
  <c r="Q468" i="5" s="1"/>
  <c r="C468" i="5"/>
  <c r="B468" i="5"/>
  <c r="O467" i="5"/>
  <c r="K467" i="5"/>
  <c r="L467" i="5" s="1"/>
  <c r="M467" i="5" s="1"/>
  <c r="N467" i="5" s="1"/>
  <c r="J467" i="5"/>
  <c r="G467" i="5"/>
  <c r="F467" i="5"/>
  <c r="E467" i="5"/>
  <c r="V467" i="5" s="1"/>
  <c r="W467" i="5" s="1"/>
  <c r="D467" i="5"/>
  <c r="Q467" i="5" s="1"/>
  <c r="C467" i="5"/>
  <c r="B467" i="5"/>
  <c r="O466" i="5"/>
  <c r="K466" i="5"/>
  <c r="L466" i="5" s="1"/>
  <c r="M466" i="5" s="1"/>
  <c r="N466" i="5" s="1"/>
  <c r="J466" i="5"/>
  <c r="G466" i="5"/>
  <c r="H466" i="5" s="1"/>
  <c r="F466" i="5"/>
  <c r="E466" i="5"/>
  <c r="V466" i="5" s="1"/>
  <c r="W466" i="5" s="1"/>
  <c r="D466" i="5"/>
  <c r="S466" i="5" s="1"/>
  <c r="AB466" i="5" s="1"/>
  <c r="C466" i="5"/>
  <c r="B466" i="5"/>
  <c r="O465" i="5"/>
  <c r="K465" i="5"/>
  <c r="L465" i="5" s="1"/>
  <c r="M465" i="5" s="1"/>
  <c r="N465" i="5" s="1"/>
  <c r="J465" i="5"/>
  <c r="G465" i="5"/>
  <c r="F465" i="5"/>
  <c r="E465" i="5"/>
  <c r="V465" i="5" s="1"/>
  <c r="W465" i="5" s="1"/>
  <c r="D465" i="5"/>
  <c r="S465" i="5" s="1"/>
  <c r="AB465" i="5" s="1"/>
  <c r="C465" i="5"/>
  <c r="B465" i="5"/>
  <c r="O464" i="5"/>
  <c r="K464" i="5"/>
  <c r="L464" i="5" s="1"/>
  <c r="M464" i="5" s="1"/>
  <c r="N464" i="5" s="1"/>
  <c r="J464" i="5"/>
  <c r="G464" i="5"/>
  <c r="P464" i="5" s="1"/>
  <c r="F464" i="5"/>
  <c r="E464" i="5"/>
  <c r="D464" i="5"/>
  <c r="S464" i="5" s="1"/>
  <c r="AB464" i="5" s="1"/>
  <c r="C464" i="5"/>
  <c r="B464" i="5"/>
  <c r="O463" i="5"/>
  <c r="K463" i="5"/>
  <c r="L463" i="5" s="1"/>
  <c r="M463" i="5" s="1"/>
  <c r="N463" i="5" s="1"/>
  <c r="J463" i="5"/>
  <c r="G463" i="5"/>
  <c r="F463" i="5"/>
  <c r="E463" i="5"/>
  <c r="V463" i="5" s="1"/>
  <c r="W463" i="5" s="1"/>
  <c r="D463" i="5"/>
  <c r="S463" i="5" s="1"/>
  <c r="AB463" i="5" s="1"/>
  <c r="C463" i="5"/>
  <c r="B463" i="5"/>
  <c r="O462" i="5"/>
  <c r="K462" i="5"/>
  <c r="L462" i="5" s="1"/>
  <c r="M462" i="5" s="1"/>
  <c r="N462" i="5" s="1"/>
  <c r="J462" i="5"/>
  <c r="G462" i="5"/>
  <c r="H462" i="5" s="1"/>
  <c r="F462" i="5"/>
  <c r="E462" i="5"/>
  <c r="V462" i="5" s="1"/>
  <c r="W462" i="5" s="1"/>
  <c r="D462" i="5"/>
  <c r="S462" i="5" s="1"/>
  <c r="AB462" i="5" s="1"/>
  <c r="C462" i="5"/>
  <c r="B462" i="5"/>
  <c r="O461" i="5"/>
  <c r="K461" i="5"/>
  <c r="L461" i="5" s="1"/>
  <c r="M461" i="5" s="1"/>
  <c r="N461" i="5" s="1"/>
  <c r="J461" i="5"/>
  <c r="G461" i="5"/>
  <c r="F461" i="5"/>
  <c r="E461" i="5"/>
  <c r="V461" i="5" s="1"/>
  <c r="W461" i="5" s="1"/>
  <c r="D461" i="5"/>
  <c r="S461" i="5" s="1"/>
  <c r="AB461" i="5" s="1"/>
  <c r="C461" i="5"/>
  <c r="B461" i="5"/>
  <c r="O460" i="5"/>
  <c r="K460" i="5"/>
  <c r="L460" i="5" s="1"/>
  <c r="M460" i="5" s="1"/>
  <c r="N460" i="5" s="1"/>
  <c r="J460" i="5"/>
  <c r="G460" i="5"/>
  <c r="P460" i="5" s="1"/>
  <c r="F460" i="5"/>
  <c r="E460" i="5"/>
  <c r="D460" i="5"/>
  <c r="S460" i="5" s="1"/>
  <c r="AB460" i="5" s="1"/>
  <c r="C460" i="5"/>
  <c r="B460" i="5"/>
  <c r="O459" i="5"/>
  <c r="K459" i="5"/>
  <c r="L459" i="5" s="1"/>
  <c r="M459" i="5" s="1"/>
  <c r="N459" i="5" s="1"/>
  <c r="J459" i="5"/>
  <c r="G459" i="5"/>
  <c r="F459" i="5"/>
  <c r="E459" i="5"/>
  <c r="V459" i="5" s="1"/>
  <c r="W459" i="5" s="1"/>
  <c r="D459" i="5"/>
  <c r="S459" i="5" s="1"/>
  <c r="AB459" i="5" s="1"/>
  <c r="C459" i="5"/>
  <c r="B459" i="5"/>
  <c r="O458" i="5"/>
  <c r="K458" i="5"/>
  <c r="L458" i="5" s="1"/>
  <c r="M458" i="5" s="1"/>
  <c r="N458" i="5" s="1"/>
  <c r="J458" i="5"/>
  <c r="G458" i="5"/>
  <c r="H458" i="5" s="1"/>
  <c r="F458" i="5"/>
  <c r="E458" i="5"/>
  <c r="V458" i="5" s="1"/>
  <c r="W458" i="5" s="1"/>
  <c r="D458" i="5"/>
  <c r="S458" i="5" s="1"/>
  <c r="AB458" i="5" s="1"/>
  <c r="C458" i="5"/>
  <c r="B458" i="5"/>
  <c r="O457" i="5"/>
  <c r="K457" i="5"/>
  <c r="L457" i="5" s="1"/>
  <c r="M457" i="5" s="1"/>
  <c r="N457" i="5" s="1"/>
  <c r="J457" i="5"/>
  <c r="G457" i="5"/>
  <c r="F457" i="5"/>
  <c r="E457" i="5"/>
  <c r="V457" i="5" s="1"/>
  <c r="W457" i="5" s="1"/>
  <c r="D457" i="5"/>
  <c r="S457" i="5" s="1"/>
  <c r="AB457" i="5" s="1"/>
  <c r="C457" i="5"/>
  <c r="B457" i="5"/>
  <c r="O456" i="5"/>
  <c r="K456" i="5"/>
  <c r="L456" i="5" s="1"/>
  <c r="M456" i="5" s="1"/>
  <c r="N456" i="5" s="1"/>
  <c r="J456" i="5"/>
  <c r="G456" i="5"/>
  <c r="P456" i="5" s="1"/>
  <c r="F456" i="5"/>
  <c r="E456" i="5"/>
  <c r="D456" i="5"/>
  <c r="S456" i="5" s="1"/>
  <c r="AB456" i="5" s="1"/>
  <c r="C456" i="5"/>
  <c r="B456" i="5"/>
  <c r="Z456" i="5" s="1"/>
  <c r="O455" i="5"/>
  <c r="K455" i="5"/>
  <c r="L455" i="5" s="1"/>
  <c r="M455" i="5" s="1"/>
  <c r="N455" i="5" s="1"/>
  <c r="J455" i="5"/>
  <c r="G455" i="5"/>
  <c r="F455" i="5"/>
  <c r="E455" i="5"/>
  <c r="V455" i="5" s="1"/>
  <c r="W455" i="5" s="1"/>
  <c r="D455" i="5"/>
  <c r="Q455" i="5" s="1"/>
  <c r="C455" i="5"/>
  <c r="B455" i="5"/>
  <c r="O454" i="5"/>
  <c r="K454" i="5"/>
  <c r="L454" i="5" s="1"/>
  <c r="M454" i="5" s="1"/>
  <c r="N454" i="5" s="1"/>
  <c r="J454" i="5"/>
  <c r="G454" i="5"/>
  <c r="P454" i="5" s="1"/>
  <c r="F454" i="5"/>
  <c r="E454" i="5"/>
  <c r="V454" i="5" s="1"/>
  <c r="W454" i="5" s="1"/>
  <c r="D454" i="5"/>
  <c r="S454" i="5" s="1"/>
  <c r="AB454" i="5" s="1"/>
  <c r="C454" i="5"/>
  <c r="B454" i="5"/>
  <c r="O453" i="5"/>
  <c r="K453" i="5"/>
  <c r="L453" i="5" s="1"/>
  <c r="M453" i="5" s="1"/>
  <c r="N453" i="5" s="1"/>
  <c r="J453" i="5"/>
  <c r="G453" i="5"/>
  <c r="F453" i="5"/>
  <c r="E453" i="5"/>
  <c r="V453" i="5" s="1"/>
  <c r="W453" i="5" s="1"/>
  <c r="D453" i="5"/>
  <c r="S453" i="5" s="1"/>
  <c r="AB453" i="5" s="1"/>
  <c r="C453" i="5"/>
  <c r="B453" i="5"/>
  <c r="O452" i="5"/>
  <c r="K452" i="5"/>
  <c r="L452" i="5" s="1"/>
  <c r="M452" i="5" s="1"/>
  <c r="N452" i="5" s="1"/>
  <c r="J452" i="5"/>
  <c r="G452" i="5"/>
  <c r="F452" i="5"/>
  <c r="E452" i="5"/>
  <c r="D452" i="5"/>
  <c r="C452" i="5"/>
  <c r="B452" i="5"/>
  <c r="O451" i="5"/>
  <c r="K451" i="5"/>
  <c r="L451" i="5" s="1"/>
  <c r="M451" i="5" s="1"/>
  <c r="N451" i="5" s="1"/>
  <c r="J451" i="5"/>
  <c r="G451" i="5"/>
  <c r="F451" i="5"/>
  <c r="E451" i="5"/>
  <c r="V451" i="5" s="1"/>
  <c r="W451" i="5" s="1"/>
  <c r="D451" i="5"/>
  <c r="S451" i="5" s="1"/>
  <c r="AB451" i="5" s="1"/>
  <c r="C451" i="5"/>
  <c r="B451" i="5"/>
  <c r="O450" i="5"/>
  <c r="K450" i="5"/>
  <c r="L450" i="5" s="1"/>
  <c r="M450" i="5" s="1"/>
  <c r="N450" i="5" s="1"/>
  <c r="J450" i="5"/>
  <c r="G450" i="5"/>
  <c r="F450" i="5"/>
  <c r="E450" i="5"/>
  <c r="V450" i="5" s="1"/>
  <c r="W450" i="5" s="1"/>
  <c r="D450" i="5"/>
  <c r="S450" i="5" s="1"/>
  <c r="AB450" i="5" s="1"/>
  <c r="C450" i="5"/>
  <c r="B450" i="5"/>
  <c r="O449" i="5"/>
  <c r="K449" i="5"/>
  <c r="L449" i="5" s="1"/>
  <c r="M449" i="5" s="1"/>
  <c r="N449" i="5" s="1"/>
  <c r="J449" i="5"/>
  <c r="G449" i="5"/>
  <c r="F449" i="5"/>
  <c r="E449" i="5"/>
  <c r="V449" i="5" s="1"/>
  <c r="W449" i="5" s="1"/>
  <c r="D449" i="5"/>
  <c r="S449" i="5" s="1"/>
  <c r="AB449" i="5" s="1"/>
  <c r="C449" i="5"/>
  <c r="B449" i="5"/>
  <c r="O448" i="5"/>
  <c r="K448" i="5"/>
  <c r="L448" i="5" s="1"/>
  <c r="M448" i="5" s="1"/>
  <c r="N448" i="5" s="1"/>
  <c r="J448" i="5"/>
  <c r="G448" i="5"/>
  <c r="P448" i="5" s="1"/>
  <c r="F448" i="5"/>
  <c r="E448" i="5"/>
  <c r="D448" i="5"/>
  <c r="S448" i="5" s="1"/>
  <c r="AB448" i="5" s="1"/>
  <c r="C448" i="5"/>
  <c r="B448" i="5"/>
  <c r="O447" i="5"/>
  <c r="K447" i="5"/>
  <c r="L447" i="5" s="1"/>
  <c r="M447" i="5" s="1"/>
  <c r="N447" i="5" s="1"/>
  <c r="J447" i="5"/>
  <c r="G447" i="5"/>
  <c r="F447" i="5"/>
  <c r="E447" i="5"/>
  <c r="V447" i="5" s="1"/>
  <c r="W447" i="5" s="1"/>
  <c r="D447" i="5"/>
  <c r="S447" i="5" s="1"/>
  <c r="AB447" i="5" s="1"/>
  <c r="C447" i="5"/>
  <c r="B447" i="5"/>
  <c r="O446" i="5"/>
  <c r="K446" i="5"/>
  <c r="L446" i="5" s="1"/>
  <c r="M446" i="5" s="1"/>
  <c r="N446" i="5" s="1"/>
  <c r="J446" i="5"/>
  <c r="G446" i="5"/>
  <c r="P446" i="5" s="1"/>
  <c r="F446" i="5"/>
  <c r="E446" i="5"/>
  <c r="V446" i="5" s="1"/>
  <c r="W446" i="5" s="1"/>
  <c r="D446" i="5"/>
  <c r="S446" i="5" s="1"/>
  <c r="AB446" i="5" s="1"/>
  <c r="C446" i="5"/>
  <c r="B446" i="5"/>
  <c r="O445" i="5"/>
  <c r="K445" i="5"/>
  <c r="L445" i="5" s="1"/>
  <c r="M445" i="5" s="1"/>
  <c r="N445" i="5" s="1"/>
  <c r="J445" i="5"/>
  <c r="G445" i="5"/>
  <c r="F445" i="5"/>
  <c r="E445" i="5"/>
  <c r="V445" i="5" s="1"/>
  <c r="W445" i="5" s="1"/>
  <c r="D445" i="5"/>
  <c r="S445" i="5" s="1"/>
  <c r="AB445" i="5" s="1"/>
  <c r="C445" i="5"/>
  <c r="B445" i="5"/>
  <c r="O444" i="5"/>
  <c r="K444" i="5"/>
  <c r="L444" i="5" s="1"/>
  <c r="M444" i="5" s="1"/>
  <c r="N444" i="5" s="1"/>
  <c r="J444" i="5"/>
  <c r="G444" i="5"/>
  <c r="F444" i="5"/>
  <c r="E444" i="5"/>
  <c r="D444" i="5"/>
  <c r="S444" i="5" s="1"/>
  <c r="AB444" i="5" s="1"/>
  <c r="C444" i="5"/>
  <c r="B444" i="5"/>
  <c r="O443" i="5"/>
  <c r="K443" i="5"/>
  <c r="L443" i="5" s="1"/>
  <c r="M443" i="5" s="1"/>
  <c r="N443" i="5" s="1"/>
  <c r="J443" i="5"/>
  <c r="G443" i="5"/>
  <c r="F443" i="5"/>
  <c r="E443" i="5"/>
  <c r="V443" i="5" s="1"/>
  <c r="W443" i="5" s="1"/>
  <c r="D443" i="5"/>
  <c r="S443" i="5" s="1"/>
  <c r="AB443" i="5" s="1"/>
  <c r="C443" i="5"/>
  <c r="B443" i="5"/>
  <c r="Z443" i="5" s="1"/>
  <c r="O442" i="5"/>
  <c r="K442" i="5"/>
  <c r="L442" i="5" s="1"/>
  <c r="M442" i="5" s="1"/>
  <c r="N442" i="5" s="1"/>
  <c r="J442" i="5"/>
  <c r="G442" i="5"/>
  <c r="F442" i="5"/>
  <c r="E442" i="5"/>
  <c r="V442" i="5" s="1"/>
  <c r="W442" i="5" s="1"/>
  <c r="D442" i="5"/>
  <c r="S442" i="5" s="1"/>
  <c r="AB442" i="5" s="1"/>
  <c r="C442" i="5"/>
  <c r="B442" i="5"/>
  <c r="O441" i="5"/>
  <c r="K441" i="5"/>
  <c r="L441" i="5" s="1"/>
  <c r="M441" i="5" s="1"/>
  <c r="N441" i="5" s="1"/>
  <c r="J441" i="5"/>
  <c r="G441" i="5"/>
  <c r="F441" i="5"/>
  <c r="E441" i="5"/>
  <c r="V441" i="5" s="1"/>
  <c r="W441" i="5" s="1"/>
  <c r="D441" i="5"/>
  <c r="S441" i="5" s="1"/>
  <c r="AB441" i="5" s="1"/>
  <c r="C441" i="5"/>
  <c r="B441" i="5"/>
  <c r="O440" i="5"/>
  <c r="K440" i="5"/>
  <c r="L440" i="5" s="1"/>
  <c r="M440" i="5" s="1"/>
  <c r="N440" i="5" s="1"/>
  <c r="J440" i="5"/>
  <c r="G440" i="5"/>
  <c r="P440" i="5" s="1"/>
  <c r="F440" i="5"/>
  <c r="E440" i="5"/>
  <c r="D440" i="5"/>
  <c r="Q440" i="5" s="1"/>
  <c r="C440" i="5"/>
  <c r="B440" i="5"/>
  <c r="O439" i="5"/>
  <c r="K439" i="5"/>
  <c r="L439" i="5" s="1"/>
  <c r="M439" i="5" s="1"/>
  <c r="N439" i="5" s="1"/>
  <c r="J439" i="5"/>
  <c r="G439" i="5"/>
  <c r="F439" i="5"/>
  <c r="E439" i="5"/>
  <c r="V439" i="5" s="1"/>
  <c r="W439" i="5" s="1"/>
  <c r="D439" i="5"/>
  <c r="C439" i="5"/>
  <c r="B439" i="5"/>
  <c r="O438" i="5"/>
  <c r="K438" i="5"/>
  <c r="L438" i="5" s="1"/>
  <c r="M438" i="5" s="1"/>
  <c r="N438" i="5" s="1"/>
  <c r="J438" i="5"/>
  <c r="G438" i="5"/>
  <c r="F438" i="5"/>
  <c r="E438" i="5"/>
  <c r="V438" i="5" s="1"/>
  <c r="W438" i="5" s="1"/>
  <c r="D438" i="5"/>
  <c r="S438" i="5" s="1"/>
  <c r="AB438" i="5" s="1"/>
  <c r="C438" i="5"/>
  <c r="B438" i="5"/>
  <c r="O437" i="5"/>
  <c r="K437" i="5"/>
  <c r="L437" i="5" s="1"/>
  <c r="M437" i="5" s="1"/>
  <c r="N437" i="5" s="1"/>
  <c r="J437" i="5"/>
  <c r="G437" i="5"/>
  <c r="F437" i="5"/>
  <c r="E437" i="5"/>
  <c r="V437" i="5" s="1"/>
  <c r="W437" i="5" s="1"/>
  <c r="D437" i="5"/>
  <c r="S437" i="5" s="1"/>
  <c r="AB437" i="5" s="1"/>
  <c r="C437" i="5"/>
  <c r="B437" i="5"/>
  <c r="O436" i="5"/>
  <c r="K436" i="5"/>
  <c r="L436" i="5" s="1"/>
  <c r="M436" i="5" s="1"/>
  <c r="N436" i="5" s="1"/>
  <c r="J436" i="5"/>
  <c r="G436" i="5"/>
  <c r="H436" i="5" s="1"/>
  <c r="F436" i="5"/>
  <c r="E436" i="5"/>
  <c r="D436" i="5"/>
  <c r="S436" i="5" s="1"/>
  <c r="AB436" i="5" s="1"/>
  <c r="C436" i="5"/>
  <c r="B436" i="5"/>
  <c r="O435" i="5"/>
  <c r="K435" i="5"/>
  <c r="L435" i="5" s="1"/>
  <c r="M435" i="5" s="1"/>
  <c r="N435" i="5" s="1"/>
  <c r="J435" i="5"/>
  <c r="G435" i="5"/>
  <c r="H435" i="5" s="1"/>
  <c r="F435" i="5"/>
  <c r="E435" i="5"/>
  <c r="V435" i="5" s="1"/>
  <c r="W435" i="5" s="1"/>
  <c r="D435" i="5"/>
  <c r="S435" i="5" s="1"/>
  <c r="AB435" i="5" s="1"/>
  <c r="C435" i="5"/>
  <c r="B435" i="5"/>
  <c r="O434" i="5"/>
  <c r="K434" i="5"/>
  <c r="L434" i="5" s="1"/>
  <c r="M434" i="5" s="1"/>
  <c r="N434" i="5" s="1"/>
  <c r="J434" i="5"/>
  <c r="G434" i="5"/>
  <c r="F434" i="5"/>
  <c r="E434" i="5"/>
  <c r="V434" i="5" s="1"/>
  <c r="W434" i="5" s="1"/>
  <c r="D434" i="5"/>
  <c r="S434" i="5" s="1"/>
  <c r="AB434" i="5" s="1"/>
  <c r="C434" i="5"/>
  <c r="B434" i="5"/>
  <c r="O433" i="5"/>
  <c r="K433" i="5"/>
  <c r="L433" i="5" s="1"/>
  <c r="M433" i="5" s="1"/>
  <c r="N433" i="5" s="1"/>
  <c r="J433" i="5"/>
  <c r="G433" i="5"/>
  <c r="H433" i="5" s="1"/>
  <c r="F433" i="5"/>
  <c r="E433" i="5"/>
  <c r="V433" i="5" s="1"/>
  <c r="W433" i="5" s="1"/>
  <c r="D433" i="5"/>
  <c r="S433" i="5" s="1"/>
  <c r="AB433" i="5" s="1"/>
  <c r="C433" i="5"/>
  <c r="B433" i="5"/>
  <c r="O432" i="5"/>
  <c r="K432" i="5"/>
  <c r="L432" i="5" s="1"/>
  <c r="M432" i="5" s="1"/>
  <c r="N432" i="5" s="1"/>
  <c r="J432" i="5"/>
  <c r="G432" i="5"/>
  <c r="F432" i="5"/>
  <c r="E432" i="5"/>
  <c r="D432" i="5"/>
  <c r="S432" i="5" s="1"/>
  <c r="AB432" i="5" s="1"/>
  <c r="C432" i="5"/>
  <c r="B432" i="5"/>
  <c r="O431" i="5"/>
  <c r="K431" i="5"/>
  <c r="L431" i="5" s="1"/>
  <c r="M431" i="5" s="1"/>
  <c r="N431" i="5" s="1"/>
  <c r="J431" i="5"/>
  <c r="G431" i="5"/>
  <c r="H431" i="5" s="1"/>
  <c r="F431" i="5"/>
  <c r="E431" i="5"/>
  <c r="V431" i="5" s="1"/>
  <c r="W431" i="5" s="1"/>
  <c r="D431" i="5"/>
  <c r="S431" i="5" s="1"/>
  <c r="AB431" i="5" s="1"/>
  <c r="C431" i="5"/>
  <c r="B431" i="5"/>
  <c r="O430" i="5"/>
  <c r="K430" i="5"/>
  <c r="L430" i="5" s="1"/>
  <c r="M430" i="5" s="1"/>
  <c r="N430" i="5" s="1"/>
  <c r="J430" i="5"/>
  <c r="G430" i="5"/>
  <c r="F430" i="5"/>
  <c r="E430" i="5"/>
  <c r="V430" i="5" s="1"/>
  <c r="W430" i="5" s="1"/>
  <c r="D430" i="5"/>
  <c r="S430" i="5" s="1"/>
  <c r="AB430" i="5" s="1"/>
  <c r="C430" i="5"/>
  <c r="B430" i="5"/>
  <c r="O429" i="5"/>
  <c r="K429" i="5"/>
  <c r="L429" i="5" s="1"/>
  <c r="M429" i="5" s="1"/>
  <c r="N429" i="5" s="1"/>
  <c r="J429" i="5"/>
  <c r="G429" i="5"/>
  <c r="P429" i="5" s="1"/>
  <c r="F429" i="5"/>
  <c r="E429" i="5"/>
  <c r="V429" i="5" s="1"/>
  <c r="W429" i="5" s="1"/>
  <c r="D429" i="5"/>
  <c r="S429" i="5" s="1"/>
  <c r="AB429" i="5" s="1"/>
  <c r="C429" i="5"/>
  <c r="B429" i="5"/>
  <c r="O428" i="5"/>
  <c r="K428" i="5"/>
  <c r="L428" i="5" s="1"/>
  <c r="M428" i="5" s="1"/>
  <c r="N428" i="5" s="1"/>
  <c r="J428" i="5"/>
  <c r="G428" i="5"/>
  <c r="H428" i="5" s="1"/>
  <c r="F428" i="5"/>
  <c r="E428" i="5"/>
  <c r="D428" i="5"/>
  <c r="S428" i="5" s="1"/>
  <c r="AB428" i="5" s="1"/>
  <c r="C428" i="5"/>
  <c r="B428" i="5"/>
  <c r="O427" i="5"/>
  <c r="K427" i="5"/>
  <c r="L427" i="5" s="1"/>
  <c r="M427" i="5" s="1"/>
  <c r="N427" i="5" s="1"/>
  <c r="J427" i="5"/>
  <c r="G427" i="5"/>
  <c r="P427" i="5" s="1"/>
  <c r="F427" i="5"/>
  <c r="E427" i="5"/>
  <c r="V427" i="5" s="1"/>
  <c r="W427" i="5" s="1"/>
  <c r="D427" i="5"/>
  <c r="S427" i="5" s="1"/>
  <c r="AB427" i="5" s="1"/>
  <c r="C427" i="5"/>
  <c r="B427" i="5"/>
  <c r="Z427" i="5" s="1"/>
  <c r="O426" i="5"/>
  <c r="K426" i="5"/>
  <c r="L426" i="5" s="1"/>
  <c r="M426" i="5" s="1"/>
  <c r="N426" i="5" s="1"/>
  <c r="J426" i="5"/>
  <c r="G426" i="5"/>
  <c r="P426" i="5" s="1"/>
  <c r="F426" i="5"/>
  <c r="E426" i="5"/>
  <c r="V426" i="5" s="1"/>
  <c r="W426" i="5" s="1"/>
  <c r="D426" i="5"/>
  <c r="Q426" i="5" s="1"/>
  <c r="C426" i="5"/>
  <c r="B426" i="5"/>
  <c r="O425" i="5"/>
  <c r="K425" i="5"/>
  <c r="L425" i="5" s="1"/>
  <c r="M425" i="5" s="1"/>
  <c r="N425" i="5" s="1"/>
  <c r="J425" i="5"/>
  <c r="G425" i="5"/>
  <c r="P425" i="5" s="1"/>
  <c r="F425" i="5"/>
  <c r="E425" i="5"/>
  <c r="V425" i="5" s="1"/>
  <c r="W425" i="5" s="1"/>
  <c r="D425" i="5"/>
  <c r="S425" i="5" s="1"/>
  <c r="AB425" i="5" s="1"/>
  <c r="C425" i="5"/>
  <c r="B425" i="5"/>
  <c r="O424" i="5"/>
  <c r="K424" i="5"/>
  <c r="L424" i="5" s="1"/>
  <c r="M424" i="5" s="1"/>
  <c r="N424" i="5" s="1"/>
  <c r="J424" i="5"/>
  <c r="G424" i="5"/>
  <c r="F424" i="5"/>
  <c r="E424" i="5"/>
  <c r="D424" i="5"/>
  <c r="S424" i="5" s="1"/>
  <c r="AB424" i="5" s="1"/>
  <c r="C424" i="5"/>
  <c r="B424" i="5"/>
  <c r="O423" i="5"/>
  <c r="K423" i="5"/>
  <c r="L423" i="5" s="1"/>
  <c r="M423" i="5" s="1"/>
  <c r="N423" i="5" s="1"/>
  <c r="J423" i="5"/>
  <c r="G423" i="5"/>
  <c r="P423" i="5" s="1"/>
  <c r="F423" i="5"/>
  <c r="E423" i="5"/>
  <c r="V423" i="5" s="1"/>
  <c r="W423" i="5" s="1"/>
  <c r="D423" i="5"/>
  <c r="C423" i="5"/>
  <c r="B423" i="5"/>
  <c r="O422" i="5"/>
  <c r="K422" i="5"/>
  <c r="L422" i="5" s="1"/>
  <c r="M422" i="5" s="1"/>
  <c r="N422" i="5" s="1"/>
  <c r="J422" i="5"/>
  <c r="G422" i="5"/>
  <c r="F422" i="5"/>
  <c r="E422" i="5"/>
  <c r="V422" i="5" s="1"/>
  <c r="W422" i="5" s="1"/>
  <c r="D422" i="5"/>
  <c r="S422" i="5" s="1"/>
  <c r="AB422" i="5" s="1"/>
  <c r="C422" i="5"/>
  <c r="B422" i="5"/>
  <c r="O421" i="5"/>
  <c r="K421" i="5"/>
  <c r="L421" i="5" s="1"/>
  <c r="M421" i="5" s="1"/>
  <c r="N421" i="5" s="1"/>
  <c r="J421" i="5"/>
  <c r="G421" i="5"/>
  <c r="P421" i="5" s="1"/>
  <c r="F421" i="5"/>
  <c r="E421" i="5"/>
  <c r="V421" i="5" s="1"/>
  <c r="W421" i="5" s="1"/>
  <c r="D421" i="5"/>
  <c r="S421" i="5" s="1"/>
  <c r="AB421" i="5" s="1"/>
  <c r="C421" i="5"/>
  <c r="B421" i="5"/>
  <c r="O420" i="5"/>
  <c r="K420" i="5"/>
  <c r="L420" i="5" s="1"/>
  <c r="M420" i="5" s="1"/>
  <c r="N420" i="5" s="1"/>
  <c r="J420" i="5"/>
  <c r="G420" i="5"/>
  <c r="P420" i="5" s="1"/>
  <c r="F420" i="5"/>
  <c r="E420" i="5"/>
  <c r="D420" i="5"/>
  <c r="S420" i="5" s="1"/>
  <c r="AB420" i="5" s="1"/>
  <c r="C420" i="5"/>
  <c r="B420" i="5"/>
  <c r="O419" i="5"/>
  <c r="K419" i="5"/>
  <c r="L419" i="5" s="1"/>
  <c r="M419" i="5" s="1"/>
  <c r="N419" i="5" s="1"/>
  <c r="J419" i="5"/>
  <c r="G419" i="5"/>
  <c r="P419" i="5" s="1"/>
  <c r="F419" i="5"/>
  <c r="E419" i="5"/>
  <c r="V419" i="5" s="1"/>
  <c r="W419" i="5" s="1"/>
  <c r="D419" i="5"/>
  <c r="S419" i="5" s="1"/>
  <c r="AB419" i="5" s="1"/>
  <c r="C419" i="5"/>
  <c r="B419" i="5"/>
  <c r="O418" i="5"/>
  <c r="K418" i="5"/>
  <c r="L418" i="5" s="1"/>
  <c r="M418" i="5" s="1"/>
  <c r="N418" i="5" s="1"/>
  <c r="J418" i="5"/>
  <c r="G418" i="5"/>
  <c r="H418" i="5" s="1"/>
  <c r="F418" i="5"/>
  <c r="E418" i="5"/>
  <c r="T418" i="5" s="1"/>
  <c r="D418" i="5"/>
  <c r="S418" i="5" s="1"/>
  <c r="AB418" i="5" s="1"/>
  <c r="C418" i="5"/>
  <c r="B418" i="5"/>
  <c r="O417" i="5"/>
  <c r="K417" i="5"/>
  <c r="L417" i="5" s="1"/>
  <c r="M417" i="5" s="1"/>
  <c r="N417" i="5" s="1"/>
  <c r="J417" i="5"/>
  <c r="G417" i="5"/>
  <c r="P417" i="5" s="1"/>
  <c r="F417" i="5"/>
  <c r="E417" i="5"/>
  <c r="V417" i="5" s="1"/>
  <c r="W417" i="5" s="1"/>
  <c r="D417" i="5"/>
  <c r="S417" i="5" s="1"/>
  <c r="AB417" i="5" s="1"/>
  <c r="C417" i="5"/>
  <c r="B417" i="5"/>
  <c r="O416" i="5"/>
  <c r="K416" i="5"/>
  <c r="L416" i="5" s="1"/>
  <c r="M416" i="5" s="1"/>
  <c r="N416" i="5" s="1"/>
  <c r="J416" i="5"/>
  <c r="G416" i="5"/>
  <c r="H416" i="5" s="1"/>
  <c r="F416" i="5"/>
  <c r="E416" i="5"/>
  <c r="D416" i="5"/>
  <c r="S416" i="5" s="1"/>
  <c r="AB416" i="5" s="1"/>
  <c r="C416" i="5"/>
  <c r="B416" i="5"/>
  <c r="O415" i="5"/>
  <c r="K415" i="5"/>
  <c r="L415" i="5" s="1"/>
  <c r="M415" i="5" s="1"/>
  <c r="N415" i="5" s="1"/>
  <c r="J415" i="5"/>
  <c r="G415" i="5"/>
  <c r="P415" i="5" s="1"/>
  <c r="F415" i="5"/>
  <c r="E415" i="5"/>
  <c r="V415" i="5" s="1"/>
  <c r="W415" i="5" s="1"/>
  <c r="D415" i="5"/>
  <c r="S415" i="5" s="1"/>
  <c r="AB415" i="5" s="1"/>
  <c r="C415" i="5"/>
  <c r="B415" i="5"/>
  <c r="O414" i="5"/>
  <c r="K414" i="5"/>
  <c r="L414" i="5" s="1"/>
  <c r="M414" i="5" s="1"/>
  <c r="N414" i="5" s="1"/>
  <c r="J414" i="5"/>
  <c r="G414" i="5"/>
  <c r="H414" i="5" s="1"/>
  <c r="F414" i="5"/>
  <c r="E414" i="5"/>
  <c r="V414" i="5" s="1"/>
  <c r="W414" i="5" s="1"/>
  <c r="D414" i="5"/>
  <c r="S414" i="5" s="1"/>
  <c r="AB414" i="5" s="1"/>
  <c r="C414" i="5"/>
  <c r="B414" i="5"/>
  <c r="O413" i="5"/>
  <c r="K413" i="5"/>
  <c r="L413" i="5" s="1"/>
  <c r="M413" i="5" s="1"/>
  <c r="N413" i="5" s="1"/>
  <c r="J413" i="5"/>
  <c r="G413" i="5"/>
  <c r="P413" i="5" s="1"/>
  <c r="F413" i="5"/>
  <c r="E413" i="5"/>
  <c r="V413" i="5" s="1"/>
  <c r="W413" i="5" s="1"/>
  <c r="D413" i="5"/>
  <c r="S413" i="5" s="1"/>
  <c r="AB413" i="5" s="1"/>
  <c r="C413" i="5"/>
  <c r="B413" i="5"/>
  <c r="O412" i="5"/>
  <c r="K412" i="5"/>
  <c r="L412" i="5" s="1"/>
  <c r="M412" i="5" s="1"/>
  <c r="N412" i="5" s="1"/>
  <c r="J412" i="5"/>
  <c r="G412" i="5"/>
  <c r="H412" i="5" s="1"/>
  <c r="F412" i="5"/>
  <c r="E412" i="5"/>
  <c r="D412" i="5"/>
  <c r="S412" i="5" s="1"/>
  <c r="AB412" i="5" s="1"/>
  <c r="C412" i="5"/>
  <c r="B412" i="5"/>
  <c r="Z412" i="5" s="1"/>
  <c r="O411" i="5"/>
  <c r="K411" i="5"/>
  <c r="L411" i="5" s="1"/>
  <c r="M411" i="5" s="1"/>
  <c r="N411" i="5" s="1"/>
  <c r="J411" i="5"/>
  <c r="G411" i="5"/>
  <c r="F411" i="5"/>
  <c r="E411" i="5"/>
  <c r="V411" i="5" s="1"/>
  <c r="W411" i="5" s="1"/>
  <c r="D411" i="5"/>
  <c r="S411" i="5" s="1"/>
  <c r="AB411" i="5" s="1"/>
  <c r="C411" i="5"/>
  <c r="B411" i="5"/>
  <c r="O410" i="5"/>
  <c r="K410" i="5"/>
  <c r="L410" i="5" s="1"/>
  <c r="M410" i="5" s="1"/>
  <c r="N410" i="5" s="1"/>
  <c r="J410" i="5"/>
  <c r="G410" i="5"/>
  <c r="H410" i="5" s="1"/>
  <c r="F410" i="5"/>
  <c r="E410" i="5"/>
  <c r="V410" i="5" s="1"/>
  <c r="W410" i="5" s="1"/>
  <c r="D410" i="5"/>
  <c r="Q410" i="5" s="1"/>
  <c r="C410" i="5"/>
  <c r="B410" i="5"/>
  <c r="O409" i="5"/>
  <c r="K409" i="5"/>
  <c r="L409" i="5" s="1"/>
  <c r="M409" i="5" s="1"/>
  <c r="N409" i="5" s="1"/>
  <c r="J409" i="5"/>
  <c r="G409" i="5"/>
  <c r="P409" i="5" s="1"/>
  <c r="F409" i="5"/>
  <c r="E409" i="5"/>
  <c r="V409" i="5" s="1"/>
  <c r="W409" i="5" s="1"/>
  <c r="D409" i="5"/>
  <c r="S409" i="5" s="1"/>
  <c r="AB409" i="5" s="1"/>
  <c r="C409" i="5"/>
  <c r="B409" i="5"/>
  <c r="O408" i="5"/>
  <c r="K408" i="5"/>
  <c r="L408" i="5" s="1"/>
  <c r="M408" i="5" s="1"/>
  <c r="N408" i="5" s="1"/>
  <c r="J408" i="5"/>
  <c r="G408" i="5"/>
  <c r="H408" i="5" s="1"/>
  <c r="F408" i="5"/>
  <c r="E408" i="5"/>
  <c r="D408" i="5"/>
  <c r="C408" i="5"/>
  <c r="B408" i="5"/>
  <c r="O407" i="5"/>
  <c r="K407" i="5"/>
  <c r="L407" i="5" s="1"/>
  <c r="M407" i="5" s="1"/>
  <c r="N407" i="5" s="1"/>
  <c r="J407" i="5"/>
  <c r="G407" i="5"/>
  <c r="P407" i="5" s="1"/>
  <c r="F407" i="5"/>
  <c r="E407" i="5"/>
  <c r="V407" i="5" s="1"/>
  <c r="W407" i="5" s="1"/>
  <c r="D407" i="5"/>
  <c r="S407" i="5" s="1"/>
  <c r="AB407" i="5" s="1"/>
  <c r="C407" i="5"/>
  <c r="B407" i="5"/>
  <c r="O406" i="5"/>
  <c r="K406" i="5"/>
  <c r="L406" i="5" s="1"/>
  <c r="M406" i="5" s="1"/>
  <c r="N406" i="5" s="1"/>
  <c r="J406" i="5"/>
  <c r="G406" i="5"/>
  <c r="H406" i="5" s="1"/>
  <c r="F406" i="5"/>
  <c r="E406" i="5"/>
  <c r="V406" i="5" s="1"/>
  <c r="W406" i="5" s="1"/>
  <c r="D406" i="5"/>
  <c r="S406" i="5" s="1"/>
  <c r="AB406" i="5" s="1"/>
  <c r="C406" i="5"/>
  <c r="B406" i="5"/>
  <c r="O405" i="5"/>
  <c r="K405" i="5"/>
  <c r="L405" i="5" s="1"/>
  <c r="M405" i="5" s="1"/>
  <c r="N405" i="5" s="1"/>
  <c r="J405" i="5"/>
  <c r="G405" i="5"/>
  <c r="P405" i="5" s="1"/>
  <c r="F405" i="5"/>
  <c r="E405" i="5"/>
  <c r="V405" i="5" s="1"/>
  <c r="W405" i="5" s="1"/>
  <c r="D405" i="5"/>
  <c r="S405" i="5" s="1"/>
  <c r="AB405" i="5" s="1"/>
  <c r="C405" i="5"/>
  <c r="B405" i="5"/>
  <c r="O404" i="5"/>
  <c r="K404" i="5"/>
  <c r="L404" i="5" s="1"/>
  <c r="M404" i="5" s="1"/>
  <c r="N404" i="5" s="1"/>
  <c r="J404" i="5"/>
  <c r="G404" i="5"/>
  <c r="H404" i="5" s="1"/>
  <c r="F404" i="5"/>
  <c r="E404" i="5"/>
  <c r="D404" i="5"/>
  <c r="S404" i="5" s="1"/>
  <c r="AB404" i="5" s="1"/>
  <c r="C404" i="5"/>
  <c r="B404" i="5"/>
  <c r="O403" i="5"/>
  <c r="K403" i="5"/>
  <c r="L403" i="5" s="1"/>
  <c r="M403" i="5" s="1"/>
  <c r="N403" i="5" s="1"/>
  <c r="J403" i="5"/>
  <c r="G403" i="5"/>
  <c r="P403" i="5" s="1"/>
  <c r="F403" i="5"/>
  <c r="E403" i="5"/>
  <c r="V403" i="5" s="1"/>
  <c r="W403" i="5" s="1"/>
  <c r="D403" i="5"/>
  <c r="S403" i="5" s="1"/>
  <c r="AB403" i="5" s="1"/>
  <c r="C403" i="5"/>
  <c r="B403" i="5"/>
  <c r="O402" i="5"/>
  <c r="K402" i="5"/>
  <c r="L402" i="5" s="1"/>
  <c r="M402" i="5" s="1"/>
  <c r="N402" i="5" s="1"/>
  <c r="J402" i="5"/>
  <c r="G402" i="5"/>
  <c r="H402" i="5" s="1"/>
  <c r="F402" i="5"/>
  <c r="E402" i="5"/>
  <c r="V402" i="5" s="1"/>
  <c r="W402" i="5" s="1"/>
  <c r="D402" i="5"/>
  <c r="S402" i="5" s="1"/>
  <c r="AB402" i="5" s="1"/>
  <c r="C402" i="5"/>
  <c r="B402" i="5"/>
  <c r="O401" i="5"/>
  <c r="K401" i="5"/>
  <c r="L401" i="5" s="1"/>
  <c r="M401" i="5" s="1"/>
  <c r="N401" i="5" s="1"/>
  <c r="J401" i="5"/>
  <c r="G401" i="5"/>
  <c r="F401" i="5"/>
  <c r="E401" i="5"/>
  <c r="V401" i="5" s="1"/>
  <c r="W401" i="5" s="1"/>
  <c r="D401" i="5"/>
  <c r="S401" i="5" s="1"/>
  <c r="AB401" i="5" s="1"/>
  <c r="C401" i="5"/>
  <c r="B401" i="5"/>
  <c r="O400" i="5"/>
  <c r="K400" i="5"/>
  <c r="L400" i="5" s="1"/>
  <c r="M400" i="5" s="1"/>
  <c r="N400" i="5" s="1"/>
  <c r="J400" i="5"/>
  <c r="G400" i="5"/>
  <c r="H400" i="5" s="1"/>
  <c r="F400" i="5"/>
  <c r="E400" i="5"/>
  <c r="D400" i="5"/>
  <c r="S400" i="5" s="1"/>
  <c r="AB400" i="5" s="1"/>
  <c r="C400" i="5"/>
  <c r="B400" i="5"/>
  <c r="O399" i="5"/>
  <c r="K399" i="5"/>
  <c r="L399" i="5" s="1"/>
  <c r="M399" i="5" s="1"/>
  <c r="N399" i="5" s="1"/>
  <c r="J399" i="5"/>
  <c r="G399" i="5"/>
  <c r="P399" i="5" s="1"/>
  <c r="F399" i="5"/>
  <c r="E399" i="5"/>
  <c r="V399" i="5" s="1"/>
  <c r="W399" i="5" s="1"/>
  <c r="D399" i="5"/>
  <c r="S399" i="5" s="1"/>
  <c r="AB399" i="5" s="1"/>
  <c r="C399" i="5"/>
  <c r="B399" i="5"/>
  <c r="O398" i="5"/>
  <c r="K398" i="5"/>
  <c r="L398" i="5" s="1"/>
  <c r="M398" i="5" s="1"/>
  <c r="N398" i="5" s="1"/>
  <c r="J398" i="5"/>
  <c r="G398" i="5"/>
  <c r="H398" i="5" s="1"/>
  <c r="F398" i="5"/>
  <c r="E398" i="5"/>
  <c r="V398" i="5" s="1"/>
  <c r="W398" i="5" s="1"/>
  <c r="D398" i="5"/>
  <c r="S398" i="5" s="1"/>
  <c r="AB398" i="5" s="1"/>
  <c r="C398" i="5"/>
  <c r="B398" i="5"/>
  <c r="Z398" i="5" s="1"/>
  <c r="O397" i="5"/>
  <c r="K397" i="5"/>
  <c r="L397" i="5" s="1"/>
  <c r="M397" i="5" s="1"/>
  <c r="N397" i="5" s="1"/>
  <c r="J397" i="5"/>
  <c r="G397" i="5"/>
  <c r="P397" i="5" s="1"/>
  <c r="F397" i="5"/>
  <c r="E397" i="5"/>
  <c r="V397" i="5" s="1"/>
  <c r="W397" i="5" s="1"/>
  <c r="D397" i="5"/>
  <c r="S397" i="5" s="1"/>
  <c r="AB397" i="5" s="1"/>
  <c r="C397" i="5"/>
  <c r="B397" i="5"/>
  <c r="O396" i="5"/>
  <c r="K396" i="5"/>
  <c r="L396" i="5" s="1"/>
  <c r="M396" i="5" s="1"/>
  <c r="N396" i="5" s="1"/>
  <c r="J396" i="5"/>
  <c r="G396" i="5"/>
  <c r="H396" i="5" s="1"/>
  <c r="F396" i="5"/>
  <c r="E396" i="5"/>
  <c r="D396" i="5"/>
  <c r="S396" i="5" s="1"/>
  <c r="AB396" i="5" s="1"/>
  <c r="C396" i="5"/>
  <c r="B396" i="5"/>
  <c r="O395" i="5"/>
  <c r="K395" i="5"/>
  <c r="L395" i="5" s="1"/>
  <c r="M395" i="5" s="1"/>
  <c r="N395" i="5" s="1"/>
  <c r="J395" i="5"/>
  <c r="G395" i="5"/>
  <c r="P395" i="5" s="1"/>
  <c r="F395" i="5"/>
  <c r="E395" i="5"/>
  <c r="V395" i="5" s="1"/>
  <c r="W395" i="5" s="1"/>
  <c r="D395" i="5"/>
  <c r="S395" i="5" s="1"/>
  <c r="AB395" i="5" s="1"/>
  <c r="C395" i="5"/>
  <c r="B395" i="5"/>
  <c r="O394" i="5"/>
  <c r="K394" i="5"/>
  <c r="L394" i="5" s="1"/>
  <c r="M394" i="5" s="1"/>
  <c r="N394" i="5" s="1"/>
  <c r="J394" i="5"/>
  <c r="G394" i="5"/>
  <c r="P394" i="5" s="1"/>
  <c r="F394" i="5"/>
  <c r="E394" i="5"/>
  <c r="V394" i="5" s="1"/>
  <c r="W394" i="5" s="1"/>
  <c r="D394" i="5"/>
  <c r="S394" i="5" s="1"/>
  <c r="AB394" i="5" s="1"/>
  <c r="C394" i="5"/>
  <c r="B394" i="5"/>
  <c r="O393" i="5"/>
  <c r="K393" i="5"/>
  <c r="L393" i="5" s="1"/>
  <c r="M393" i="5" s="1"/>
  <c r="N393" i="5" s="1"/>
  <c r="J393" i="5"/>
  <c r="G393" i="5"/>
  <c r="P393" i="5" s="1"/>
  <c r="F393" i="5"/>
  <c r="E393" i="5"/>
  <c r="V393" i="5" s="1"/>
  <c r="W393" i="5" s="1"/>
  <c r="D393" i="5"/>
  <c r="S393" i="5" s="1"/>
  <c r="AB393" i="5" s="1"/>
  <c r="C393" i="5"/>
  <c r="B393" i="5"/>
  <c r="O392" i="5"/>
  <c r="K392" i="5"/>
  <c r="L392" i="5" s="1"/>
  <c r="M392" i="5" s="1"/>
  <c r="N392" i="5" s="1"/>
  <c r="J392" i="5"/>
  <c r="G392" i="5"/>
  <c r="H392" i="5" s="1"/>
  <c r="F392" i="5"/>
  <c r="E392" i="5"/>
  <c r="D392" i="5"/>
  <c r="Q392" i="5" s="1"/>
  <c r="C392" i="5"/>
  <c r="B392" i="5"/>
  <c r="O391" i="5"/>
  <c r="K391" i="5"/>
  <c r="L391" i="5" s="1"/>
  <c r="M391" i="5" s="1"/>
  <c r="N391" i="5" s="1"/>
  <c r="J391" i="5"/>
  <c r="G391" i="5"/>
  <c r="P391" i="5" s="1"/>
  <c r="F391" i="5"/>
  <c r="E391" i="5"/>
  <c r="V391" i="5" s="1"/>
  <c r="W391" i="5" s="1"/>
  <c r="D391" i="5"/>
  <c r="Q391" i="5" s="1"/>
  <c r="C391" i="5"/>
  <c r="B391" i="5"/>
  <c r="O390" i="5"/>
  <c r="K390" i="5"/>
  <c r="L390" i="5" s="1"/>
  <c r="M390" i="5" s="1"/>
  <c r="N390" i="5" s="1"/>
  <c r="J390" i="5"/>
  <c r="G390" i="5"/>
  <c r="P390" i="5" s="1"/>
  <c r="F390" i="5"/>
  <c r="E390" i="5"/>
  <c r="V390" i="5" s="1"/>
  <c r="W390" i="5" s="1"/>
  <c r="D390" i="5"/>
  <c r="S390" i="5" s="1"/>
  <c r="AB390" i="5" s="1"/>
  <c r="C390" i="5"/>
  <c r="B390" i="5"/>
  <c r="O389" i="5"/>
  <c r="K389" i="5"/>
  <c r="L389" i="5" s="1"/>
  <c r="M389" i="5" s="1"/>
  <c r="N389" i="5" s="1"/>
  <c r="J389" i="5"/>
  <c r="G389" i="5"/>
  <c r="H389" i="5" s="1"/>
  <c r="F389" i="5"/>
  <c r="E389" i="5"/>
  <c r="V389" i="5" s="1"/>
  <c r="W389" i="5" s="1"/>
  <c r="D389" i="5"/>
  <c r="S389" i="5" s="1"/>
  <c r="AB389" i="5" s="1"/>
  <c r="C389" i="5"/>
  <c r="B389" i="5"/>
  <c r="O388" i="5"/>
  <c r="K388" i="5"/>
  <c r="L388" i="5" s="1"/>
  <c r="M388" i="5" s="1"/>
  <c r="N388" i="5" s="1"/>
  <c r="J388" i="5"/>
  <c r="G388" i="5"/>
  <c r="H388" i="5" s="1"/>
  <c r="F388" i="5"/>
  <c r="E388" i="5"/>
  <c r="D388" i="5"/>
  <c r="S388" i="5" s="1"/>
  <c r="AB388" i="5" s="1"/>
  <c r="C388" i="5"/>
  <c r="B388" i="5"/>
  <c r="O387" i="5"/>
  <c r="K387" i="5"/>
  <c r="L387" i="5" s="1"/>
  <c r="M387" i="5" s="1"/>
  <c r="N387" i="5" s="1"/>
  <c r="J387" i="5"/>
  <c r="G387" i="5"/>
  <c r="P387" i="5" s="1"/>
  <c r="F387" i="5"/>
  <c r="E387" i="5"/>
  <c r="V387" i="5" s="1"/>
  <c r="W387" i="5" s="1"/>
  <c r="D387" i="5"/>
  <c r="S387" i="5" s="1"/>
  <c r="AB387" i="5" s="1"/>
  <c r="C387" i="5"/>
  <c r="B387" i="5"/>
  <c r="O386" i="5"/>
  <c r="K386" i="5"/>
  <c r="L386" i="5" s="1"/>
  <c r="M386" i="5" s="1"/>
  <c r="N386" i="5" s="1"/>
  <c r="J386" i="5"/>
  <c r="G386" i="5"/>
  <c r="P386" i="5" s="1"/>
  <c r="F386" i="5"/>
  <c r="E386" i="5"/>
  <c r="V386" i="5" s="1"/>
  <c r="W386" i="5" s="1"/>
  <c r="D386" i="5"/>
  <c r="S386" i="5" s="1"/>
  <c r="AB386" i="5" s="1"/>
  <c r="C386" i="5"/>
  <c r="B386" i="5"/>
  <c r="O385" i="5"/>
  <c r="K385" i="5"/>
  <c r="L385" i="5" s="1"/>
  <c r="M385" i="5" s="1"/>
  <c r="N385" i="5" s="1"/>
  <c r="J385" i="5"/>
  <c r="G385" i="5"/>
  <c r="H385" i="5" s="1"/>
  <c r="F385" i="5"/>
  <c r="E385" i="5"/>
  <c r="V385" i="5" s="1"/>
  <c r="W385" i="5" s="1"/>
  <c r="D385" i="5"/>
  <c r="S385" i="5" s="1"/>
  <c r="AB385" i="5" s="1"/>
  <c r="C385" i="5"/>
  <c r="B385" i="5"/>
  <c r="O384" i="5"/>
  <c r="K384" i="5"/>
  <c r="L384" i="5" s="1"/>
  <c r="M384" i="5" s="1"/>
  <c r="N384" i="5" s="1"/>
  <c r="J384" i="5"/>
  <c r="G384" i="5"/>
  <c r="H384" i="5" s="1"/>
  <c r="F384" i="5"/>
  <c r="E384" i="5"/>
  <c r="D384" i="5"/>
  <c r="S384" i="5" s="1"/>
  <c r="AB384" i="5" s="1"/>
  <c r="C384" i="5"/>
  <c r="B384" i="5"/>
  <c r="O383" i="5"/>
  <c r="K383" i="5"/>
  <c r="L383" i="5" s="1"/>
  <c r="M383" i="5" s="1"/>
  <c r="N383" i="5" s="1"/>
  <c r="J383" i="5"/>
  <c r="G383" i="5"/>
  <c r="P383" i="5" s="1"/>
  <c r="F383" i="5"/>
  <c r="E383" i="5"/>
  <c r="V383" i="5" s="1"/>
  <c r="W383" i="5" s="1"/>
  <c r="D383" i="5"/>
  <c r="S383" i="5" s="1"/>
  <c r="AB383" i="5" s="1"/>
  <c r="C383" i="5"/>
  <c r="B383" i="5"/>
  <c r="O382" i="5"/>
  <c r="K382" i="5"/>
  <c r="L382" i="5" s="1"/>
  <c r="M382" i="5" s="1"/>
  <c r="N382" i="5" s="1"/>
  <c r="J382" i="5"/>
  <c r="G382" i="5"/>
  <c r="P382" i="5" s="1"/>
  <c r="F382" i="5"/>
  <c r="E382" i="5"/>
  <c r="V382" i="5" s="1"/>
  <c r="W382" i="5" s="1"/>
  <c r="D382" i="5"/>
  <c r="S382" i="5" s="1"/>
  <c r="AB382" i="5" s="1"/>
  <c r="C382" i="5"/>
  <c r="B382" i="5"/>
  <c r="Z382" i="5" s="1"/>
  <c r="O381" i="5"/>
  <c r="K381" i="5"/>
  <c r="L381" i="5" s="1"/>
  <c r="M381" i="5" s="1"/>
  <c r="N381" i="5" s="1"/>
  <c r="J381" i="5"/>
  <c r="G381" i="5"/>
  <c r="H381" i="5" s="1"/>
  <c r="F381" i="5"/>
  <c r="E381" i="5"/>
  <c r="V381" i="5" s="1"/>
  <c r="W381" i="5" s="1"/>
  <c r="D381" i="5"/>
  <c r="S381" i="5" s="1"/>
  <c r="AB381" i="5" s="1"/>
  <c r="C381" i="5"/>
  <c r="B381" i="5"/>
  <c r="O380" i="5"/>
  <c r="K380" i="5"/>
  <c r="L380" i="5" s="1"/>
  <c r="M380" i="5" s="1"/>
  <c r="N380" i="5" s="1"/>
  <c r="J380" i="5"/>
  <c r="G380" i="5"/>
  <c r="H380" i="5" s="1"/>
  <c r="F380" i="5"/>
  <c r="E380" i="5"/>
  <c r="D380" i="5"/>
  <c r="S380" i="5" s="1"/>
  <c r="AB380" i="5" s="1"/>
  <c r="C380" i="5"/>
  <c r="B380" i="5"/>
  <c r="O379" i="5"/>
  <c r="K379" i="5"/>
  <c r="L379" i="5" s="1"/>
  <c r="M379" i="5" s="1"/>
  <c r="N379" i="5" s="1"/>
  <c r="J379" i="5"/>
  <c r="G379" i="5"/>
  <c r="P379" i="5" s="1"/>
  <c r="F379" i="5"/>
  <c r="E379" i="5"/>
  <c r="V379" i="5" s="1"/>
  <c r="W379" i="5" s="1"/>
  <c r="D379" i="5"/>
  <c r="S379" i="5" s="1"/>
  <c r="AB379" i="5" s="1"/>
  <c r="C379" i="5"/>
  <c r="B379" i="5"/>
  <c r="O378" i="5"/>
  <c r="K378" i="5"/>
  <c r="L378" i="5" s="1"/>
  <c r="M378" i="5" s="1"/>
  <c r="N378" i="5" s="1"/>
  <c r="J378" i="5"/>
  <c r="G378" i="5"/>
  <c r="H378" i="5" s="1"/>
  <c r="F378" i="5"/>
  <c r="E378" i="5"/>
  <c r="V378" i="5" s="1"/>
  <c r="W378" i="5" s="1"/>
  <c r="D378" i="5"/>
  <c r="S378" i="5" s="1"/>
  <c r="AB378" i="5" s="1"/>
  <c r="C378" i="5"/>
  <c r="B378" i="5"/>
  <c r="O377" i="5"/>
  <c r="K377" i="5"/>
  <c r="L377" i="5" s="1"/>
  <c r="M377" i="5" s="1"/>
  <c r="N377" i="5" s="1"/>
  <c r="J377" i="5"/>
  <c r="G377" i="5"/>
  <c r="P377" i="5" s="1"/>
  <c r="F377" i="5"/>
  <c r="E377" i="5"/>
  <c r="V377" i="5" s="1"/>
  <c r="W377" i="5" s="1"/>
  <c r="D377" i="5"/>
  <c r="S377" i="5" s="1"/>
  <c r="AB377" i="5" s="1"/>
  <c r="C377" i="5"/>
  <c r="B377" i="5"/>
  <c r="O376" i="5"/>
  <c r="K376" i="5"/>
  <c r="L376" i="5" s="1"/>
  <c r="M376" i="5" s="1"/>
  <c r="N376" i="5" s="1"/>
  <c r="J376" i="5"/>
  <c r="G376" i="5"/>
  <c r="H376" i="5" s="1"/>
  <c r="F376" i="5"/>
  <c r="E376" i="5"/>
  <c r="D376" i="5"/>
  <c r="Q376" i="5" s="1"/>
  <c r="C376" i="5"/>
  <c r="B376" i="5"/>
  <c r="O375" i="5"/>
  <c r="K375" i="5"/>
  <c r="L375" i="5" s="1"/>
  <c r="M375" i="5" s="1"/>
  <c r="N375" i="5" s="1"/>
  <c r="J375" i="5"/>
  <c r="G375" i="5"/>
  <c r="P375" i="5" s="1"/>
  <c r="F375" i="5"/>
  <c r="E375" i="5"/>
  <c r="V375" i="5" s="1"/>
  <c r="W375" i="5" s="1"/>
  <c r="D375" i="5"/>
  <c r="C375" i="5"/>
  <c r="B375" i="5"/>
  <c r="O374" i="5"/>
  <c r="K374" i="5"/>
  <c r="L374" i="5" s="1"/>
  <c r="M374" i="5" s="1"/>
  <c r="N374" i="5" s="1"/>
  <c r="J374" i="5"/>
  <c r="G374" i="5"/>
  <c r="P374" i="5" s="1"/>
  <c r="F374" i="5"/>
  <c r="E374" i="5"/>
  <c r="V374" i="5" s="1"/>
  <c r="W374" i="5" s="1"/>
  <c r="D374" i="5"/>
  <c r="S374" i="5" s="1"/>
  <c r="AB374" i="5" s="1"/>
  <c r="C374" i="5"/>
  <c r="B374" i="5"/>
  <c r="O373" i="5"/>
  <c r="K373" i="5"/>
  <c r="L373" i="5" s="1"/>
  <c r="M373" i="5" s="1"/>
  <c r="N373" i="5" s="1"/>
  <c r="J373" i="5"/>
  <c r="G373" i="5"/>
  <c r="H373" i="5" s="1"/>
  <c r="F373" i="5"/>
  <c r="E373" i="5"/>
  <c r="V373" i="5" s="1"/>
  <c r="W373" i="5" s="1"/>
  <c r="D373" i="5"/>
  <c r="S373" i="5" s="1"/>
  <c r="AB373" i="5" s="1"/>
  <c r="C373" i="5"/>
  <c r="B373" i="5"/>
  <c r="O372" i="5"/>
  <c r="K372" i="5"/>
  <c r="L372" i="5" s="1"/>
  <c r="M372" i="5" s="1"/>
  <c r="N372" i="5" s="1"/>
  <c r="J372" i="5"/>
  <c r="G372" i="5"/>
  <c r="H372" i="5" s="1"/>
  <c r="F372" i="5"/>
  <c r="E372" i="5"/>
  <c r="D372" i="5"/>
  <c r="S372" i="5" s="1"/>
  <c r="AB372" i="5" s="1"/>
  <c r="C372" i="5"/>
  <c r="B372" i="5"/>
  <c r="O371" i="5"/>
  <c r="K371" i="5"/>
  <c r="L371" i="5" s="1"/>
  <c r="M371" i="5" s="1"/>
  <c r="N371" i="5" s="1"/>
  <c r="J371" i="5"/>
  <c r="G371" i="5"/>
  <c r="P371" i="5" s="1"/>
  <c r="F371" i="5"/>
  <c r="E371" i="5"/>
  <c r="V371" i="5" s="1"/>
  <c r="W371" i="5" s="1"/>
  <c r="D371" i="5"/>
  <c r="S371" i="5" s="1"/>
  <c r="AB371" i="5" s="1"/>
  <c r="C371" i="5"/>
  <c r="B371" i="5"/>
  <c r="O370" i="5"/>
  <c r="K370" i="5"/>
  <c r="L370" i="5" s="1"/>
  <c r="M370" i="5" s="1"/>
  <c r="N370" i="5" s="1"/>
  <c r="J370" i="5"/>
  <c r="G370" i="5"/>
  <c r="P370" i="5" s="1"/>
  <c r="F370" i="5"/>
  <c r="E370" i="5"/>
  <c r="V370" i="5" s="1"/>
  <c r="W370" i="5" s="1"/>
  <c r="D370" i="5"/>
  <c r="S370" i="5" s="1"/>
  <c r="AB370" i="5" s="1"/>
  <c r="C370" i="5"/>
  <c r="B370" i="5"/>
  <c r="Z370" i="5" s="1"/>
  <c r="O369" i="5"/>
  <c r="K369" i="5"/>
  <c r="L369" i="5" s="1"/>
  <c r="M369" i="5" s="1"/>
  <c r="N369" i="5" s="1"/>
  <c r="J369" i="5"/>
  <c r="G369" i="5"/>
  <c r="H369" i="5" s="1"/>
  <c r="F369" i="5"/>
  <c r="E369" i="5"/>
  <c r="V369" i="5" s="1"/>
  <c r="W369" i="5" s="1"/>
  <c r="D369" i="5"/>
  <c r="S369" i="5" s="1"/>
  <c r="AB369" i="5" s="1"/>
  <c r="C369" i="5"/>
  <c r="B369" i="5"/>
  <c r="O368" i="5"/>
  <c r="K368" i="5"/>
  <c r="L368" i="5" s="1"/>
  <c r="M368" i="5" s="1"/>
  <c r="N368" i="5" s="1"/>
  <c r="J368" i="5"/>
  <c r="G368" i="5"/>
  <c r="H368" i="5" s="1"/>
  <c r="F368" i="5"/>
  <c r="E368" i="5"/>
  <c r="D368" i="5"/>
  <c r="S368" i="5" s="1"/>
  <c r="AB368" i="5" s="1"/>
  <c r="C368" i="5"/>
  <c r="B368" i="5"/>
  <c r="O367" i="5"/>
  <c r="K367" i="5"/>
  <c r="L367" i="5" s="1"/>
  <c r="M367" i="5" s="1"/>
  <c r="N367" i="5" s="1"/>
  <c r="J367" i="5"/>
  <c r="G367" i="5"/>
  <c r="P367" i="5" s="1"/>
  <c r="F367" i="5"/>
  <c r="E367" i="5"/>
  <c r="V367" i="5" s="1"/>
  <c r="W367" i="5" s="1"/>
  <c r="D367" i="5"/>
  <c r="S367" i="5" s="1"/>
  <c r="AB367" i="5" s="1"/>
  <c r="C367" i="5"/>
  <c r="B367" i="5"/>
  <c r="O366" i="5"/>
  <c r="K366" i="5"/>
  <c r="L366" i="5" s="1"/>
  <c r="M366" i="5" s="1"/>
  <c r="N366" i="5" s="1"/>
  <c r="J366" i="5"/>
  <c r="G366" i="5"/>
  <c r="P366" i="5" s="1"/>
  <c r="F366" i="5"/>
  <c r="E366" i="5"/>
  <c r="V366" i="5" s="1"/>
  <c r="W366" i="5" s="1"/>
  <c r="D366" i="5"/>
  <c r="S366" i="5" s="1"/>
  <c r="AB366" i="5" s="1"/>
  <c r="C366" i="5"/>
  <c r="B366" i="5"/>
  <c r="O365" i="5"/>
  <c r="K365" i="5"/>
  <c r="L365" i="5" s="1"/>
  <c r="M365" i="5" s="1"/>
  <c r="N365" i="5" s="1"/>
  <c r="J365" i="5"/>
  <c r="G365" i="5"/>
  <c r="H365" i="5" s="1"/>
  <c r="F365" i="5"/>
  <c r="E365" i="5"/>
  <c r="V365" i="5" s="1"/>
  <c r="W365" i="5" s="1"/>
  <c r="D365" i="5"/>
  <c r="S365" i="5" s="1"/>
  <c r="AB365" i="5" s="1"/>
  <c r="C365" i="5"/>
  <c r="B365" i="5"/>
  <c r="O364" i="5"/>
  <c r="K364" i="5"/>
  <c r="L364" i="5" s="1"/>
  <c r="M364" i="5" s="1"/>
  <c r="N364" i="5" s="1"/>
  <c r="J364" i="5"/>
  <c r="G364" i="5"/>
  <c r="H364" i="5" s="1"/>
  <c r="F364" i="5"/>
  <c r="E364" i="5"/>
  <c r="D364" i="5"/>
  <c r="S364" i="5" s="1"/>
  <c r="AB364" i="5" s="1"/>
  <c r="C364" i="5"/>
  <c r="B364" i="5"/>
  <c r="O363" i="5"/>
  <c r="K363" i="5"/>
  <c r="L363" i="5" s="1"/>
  <c r="M363" i="5" s="1"/>
  <c r="N363" i="5" s="1"/>
  <c r="J363" i="5"/>
  <c r="G363" i="5"/>
  <c r="F363" i="5"/>
  <c r="E363" i="5"/>
  <c r="V363" i="5" s="1"/>
  <c r="W363" i="5" s="1"/>
  <c r="D363" i="5"/>
  <c r="S363" i="5" s="1"/>
  <c r="AB363" i="5" s="1"/>
  <c r="C363" i="5"/>
  <c r="B363" i="5"/>
  <c r="O362" i="5"/>
  <c r="K362" i="5"/>
  <c r="L362" i="5" s="1"/>
  <c r="M362" i="5" s="1"/>
  <c r="N362" i="5" s="1"/>
  <c r="J362" i="5"/>
  <c r="G362" i="5"/>
  <c r="F362" i="5"/>
  <c r="E362" i="5"/>
  <c r="V362" i="5" s="1"/>
  <c r="W362" i="5" s="1"/>
  <c r="D362" i="5"/>
  <c r="S362" i="5" s="1"/>
  <c r="AB362" i="5" s="1"/>
  <c r="C362" i="5"/>
  <c r="B362" i="5"/>
  <c r="O361" i="5"/>
  <c r="K361" i="5"/>
  <c r="L361" i="5" s="1"/>
  <c r="M361" i="5" s="1"/>
  <c r="N361" i="5" s="1"/>
  <c r="J361" i="5"/>
  <c r="G361" i="5"/>
  <c r="F361" i="5"/>
  <c r="E361" i="5"/>
  <c r="V361" i="5" s="1"/>
  <c r="W361" i="5" s="1"/>
  <c r="D361" i="5"/>
  <c r="S361" i="5" s="1"/>
  <c r="AB361" i="5" s="1"/>
  <c r="C361" i="5"/>
  <c r="B361" i="5"/>
  <c r="O360" i="5"/>
  <c r="K360" i="5"/>
  <c r="L360" i="5" s="1"/>
  <c r="M360" i="5" s="1"/>
  <c r="N360" i="5" s="1"/>
  <c r="J360" i="5"/>
  <c r="G360" i="5"/>
  <c r="F360" i="5"/>
  <c r="E360" i="5"/>
  <c r="D360" i="5"/>
  <c r="S360" i="5" s="1"/>
  <c r="AB360" i="5" s="1"/>
  <c r="C360" i="5"/>
  <c r="B360" i="5"/>
  <c r="O359" i="5"/>
  <c r="K359" i="5"/>
  <c r="L359" i="5" s="1"/>
  <c r="M359" i="5" s="1"/>
  <c r="N359" i="5" s="1"/>
  <c r="J359" i="5"/>
  <c r="G359" i="5"/>
  <c r="F359" i="5"/>
  <c r="E359" i="5"/>
  <c r="V359" i="5" s="1"/>
  <c r="W359" i="5" s="1"/>
  <c r="D359" i="5"/>
  <c r="C359" i="5"/>
  <c r="B359" i="5"/>
  <c r="O358" i="5"/>
  <c r="K358" i="5"/>
  <c r="L358" i="5" s="1"/>
  <c r="M358" i="5" s="1"/>
  <c r="N358" i="5" s="1"/>
  <c r="J358" i="5"/>
  <c r="G358" i="5"/>
  <c r="F358" i="5"/>
  <c r="E358" i="5"/>
  <c r="V358" i="5" s="1"/>
  <c r="W358" i="5" s="1"/>
  <c r="D358" i="5"/>
  <c r="S358" i="5" s="1"/>
  <c r="AB358" i="5" s="1"/>
  <c r="C358" i="5"/>
  <c r="B358" i="5"/>
  <c r="O357" i="5"/>
  <c r="K357" i="5"/>
  <c r="L357" i="5" s="1"/>
  <c r="M357" i="5" s="1"/>
  <c r="N357" i="5" s="1"/>
  <c r="J357" i="5"/>
  <c r="G357" i="5"/>
  <c r="F357" i="5"/>
  <c r="E357" i="5"/>
  <c r="V357" i="5" s="1"/>
  <c r="W357" i="5" s="1"/>
  <c r="D357" i="5"/>
  <c r="S357" i="5" s="1"/>
  <c r="AB357" i="5" s="1"/>
  <c r="C357" i="5"/>
  <c r="B357" i="5"/>
  <c r="O356" i="5"/>
  <c r="K356" i="5"/>
  <c r="L356" i="5" s="1"/>
  <c r="M356" i="5" s="1"/>
  <c r="N356" i="5" s="1"/>
  <c r="J356" i="5"/>
  <c r="G356" i="5"/>
  <c r="F356" i="5"/>
  <c r="E356" i="5"/>
  <c r="D356" i="5"/>
  <c r="C356" i="5"/>
  <c r="B356" i="5"/>
  <c r="O355" i="5"/>
  <c r="K355" i="5"/>
  <c r="L355" i="5" s="1"/>
  <c r="M355" i="5" s="1"/>
  <c r="N355" i="5" s="1"/>
  <c r="J355" i="5"/>
  <c r="G355" i="5"/>
  <c r="F355" i="5"/>
  <c r="E355" i="5"/>
  <c r="V355" i="5" s="1"/>
  <c r="W355" i="5" s="1"/>
  <c r="D355" i="5"/>
  <c r="S355" i="5" s="1"/>
  <c r="AB355" i="5" s="1"/>
  <c r="C355" i="5"/>
  <c r="B355" i="5"/>
  <c r="O354" i="5"/>
  <c r="K354" i="5"/>
  <c r="L354" i="5" s="1"/>
  <c r="M354" i="5" s="1"/>
  <c r="N354" i="5" s="1"/>
  <c r="J354" i="5"/>
  <c r="G354" i="5"/>
  <c r="F354" i="5"/>
  <c r="E354" i="5"/>
  <c r="V354" i="5" s="1"/>
  <c r="W354" i="5" s="1"/>
  <c r="D354" i="5"/>
  <c r="S354" i="5" s="1"/>
  <c r="AB354" i="5" s="1"/>
  <c r="C354" i="5"/>
  <c r="B354" i="5"/>
  <c r="Z354" i="5" s="1"/>
  <c r="O353" i="5"/>
  <c r="K353" i="5"/>
  <c r="L353" i="5" s="1"/>
  <c r="M353" i="5" s="1"/>
  <c r="N353" i="5" s="1"/>
  <c r="J353" i="5"/>
  <c r="G353" i="5"/>
  <c r="F353" i="5"/>
  <c r="E353" i="5"/>
  <c r="V353" i="5" s="1"/>
  <c r="W353" i="5" s="1"/>
  <c r="D353" i="5"/>
  <c r="S353" i="5" s="1"/>
  <c r="AB353" i="5" s="1"/>
  <c r="C353" i="5"/>
  <c r="B353" i="5"/>
  <c r="O352" i="5"/>
  <c r="K352" i="5"/>
  <c r="L352" i="5" s="1"/>
  <c r="M352" i="5" s="1"/>
  <c r="N352" i="5" s="1"/>
  <c r="J352" i="5"/>
  <c r="G352" i="5"/>
  <c r="F352" i="5"/>
  <c r="E352" i="5"/>
  <c r="D352" i="5"/>
  <c r="S352" i="5" s="1"/>
  <c r="AB352" i="5" s="1"/>
  <c r="C352" i="5"/>
  <c r="B352" i="5"/>
  <c r="O351" i="5"/>
  <c r="K351" i="5"/>
  <c r="L351" i="5" s="1"/>
  <c r="M351" i="5" s="1"/>
  <c r="N351" i="5" s="1"/>
  <c r="J351" i="5"/>
  <c r="G351" i="5"/>
  <c r="F351" i="5"/>
  <c r="E351" i="5"/>
  <c r="V351" i="5" s="1"/>
  <c r="W351" i="5" s="1"/>
  <c r="D351" i="5"/>
  <c r="S351" i="5" s="1"/>
  <c r="AB351" i="5" s="1"/>
  <c r="C351" i="5"/>
  <c r="B351" i="5"/>
  <c r="O350" i="5"/>
  <c r="K350" i="5"/>
  <c r="L350" i="5" s="1"/>
  <c r="M350" i="5" s="1"/>
  <c r="N350" i="5" s="1"/>
  <c r="J350" i="5"/>
  <c r="G350" i="5"/>
  <c r="F350" i="5"/>
  <c r="E350" i="5"/>
  <c r="V350" i="5" s="1"/>
  <c r="W350" i="5" s="1"/>
  <c r="D350" i="5"/>
  <c r="S350" i="5" s="1"/>
  <c r="AB350" i="5" s="1"/>
  <c r="C350" i="5"/>
  <c r="B350" i="5"/>
  <c r="O349" i="5"/>
  <c r="K349" i="5"/>
  <c r="L349" i="5" s="1"/>
  <c r="M349" i="5" s="1"/>
  <c r="N349" i="5" s="1"/>
  <c r="J349" i="5"/>
  <c r="G349" i="5"/>
  <c r="F349" i="5"/>
  <c r="E349" i="5"/>
  <c r="V349" i="5" s="1"/>
  <c r="W349" i="5" s="1"/>
  <c r="D349" i="5"/>
  <c r="S349" i="5" s="1"/>
  <c r="AB349" i="5" s="1"/>
  <c r="C349" i="5"/>
  <c r="B349" i="5"/>
  <c r="O348" i="5"/>
  <c r="K348" i="5"/>
  <c r="L348" i="5" s="1"/>
  <c r="M348" i="5" s="1"/>
  <c r="N348" i="5" s="1"/>
  <c r="J348" i="5"/>
  <c r="G348" i="5"/>
  <c r="F348" i="5"/>
  <c r="E348" i="5"/>
  <c r="D348" i="5"/>
  <c r="S348" i="5" s="1"/>
  <c r="AB348" i="5" s="1"/>
  <c r="C348" i="5"/>
  <c r="B348" i="5"/>
  <c r="O347" i="5"/>
  <c r="K347" i="5"/>
  <c r="L347" i="5" s="1"/>
  <c r="M347" i="5" s="1"/>
  <c r="N347" i="5" s="1"/>
  <c r="J347" i="5"/>
  <c r="G347" i="5"/>
  <c r="F347" i="5"/>
  <c r="E347" i="5"/>
  <c r="V347" i="5" s="1"/>
  <c r="W347" i="5" s="1"/>
  <c r="D347" i="5"/>
  <c r="S347" i="5" s="1"/>
  <c r="AB347" i="5" s="1"/>
  <c r="C347" i="5"/>
  <c r="B347" i="5"/>
  <c r="O346" i="5"/>
  <c r="K346" i="5"/>
  <c r="L346" i="5" s="1"/>
  <c r="M346" i="5" s="1"/>
  <c r="N346" i="5" s="1"/>
  <c r="J346" i="5"/>
  <c r="G346" i="5"/>
  <c r="F346" i="5"/>
  <c r="E346" i="5"/>
  <c r="V346" i="5" s="1"/>
  <c r="W346" i="5" s="1"/>
  <c r="D346" i="5"/>
  <c r="S346" i="5" s="1"/>
  <c r="AB346" i="5" s="1"/>
  <c r="C346" i="5"/>
  <c r="B346" i="5"/>
  <c r="O345" i="5"/>
  <c r="K345" i="5"/>
  <c r="L345" i="5" s="1"/>
  <c r="M345" i="5" s="1"/>
  <c r="N345" i="5" s="1"/>
  <c r="J345" i="5"/>
  <c r="G345" i="5"/>
  <c r="F345" i="5"/>
  <c r="E345" i="5"/>
  <c r="V345" i="5" s="1"/>
  <c r="W345" i="5" s="1"/>
  <c r="D345" i="5"/>
  <c r="S345" i="5" s="1"/>
  <c r="AB345" i="5" s="1"/>
  <c r="C345" i="5"/>
  <c r="B345" i="5"/>
  <c r="O344" i="5"/>
  <c r="K344" i="5"/>
  <c r="L344" i="5" s="1"/>
  <c r="M344" i="5" s="1"/>
  <c r="N344" i="5" s="1"/>
  <c r="J344" i="5"/>
  <c r="G344" i="5"/>
  <c r="F344" i="5"/>
  <c r="E344" i="5"/>
  <c r="D344" i="5"/>
  <c r="S344" i="5" s="1"/>
  <c r="AB344" i="5" s="1"/>
  <c r="C344" i="5"/>
  <c r="B344" i="5"/>
  <c r="O343" i="5"/>
  <c r="K343" i="5"/>
  <c r="L343" i="5" s="1"/>
  <c r="M343" i="5" s="1"/>
  <c r="N343" i="5" s="1"/>
  <c r="J343" i="5"/>
  <c r="G343" i="5"/>
  <c r="F343" i="5"/>
  <c r="E343" i="5"/>
  <c r="V343" i="5" s="1"/>
  <c r="W343" i="5" s="1"/>
  <c r="D343" i="5"/>
  <c r="S343" i="5" s="1"/>
  <c r="AB343" i="5" s="1"/>
  <c r="C343" i="5"/>
  <c r="B343" i="5"/>
  <c r="O342" i="5"/>
  <c r="K342" i="5"/>
  <c r="L342" i="5" s="1"/>
  <c r="M342" i="5" s="1"/>
  <c r="N342" i="5" s="1"/>
  <c r="J342" i="5"/>
  <c r="G342" i="5"/>
  <c r="F342" i="5"/>
  <c r="E342" i="5"/>
  <c r="V342" i="5" s="1"/>
  <c r="W342" i="5" s="1"/>
  <c r="D342" i="5"/>
  <c r="S342" i="5" s="1"/>
  <c r="AB342" i="5" s="1"/>
  <c r="C342" i="5"/>
  <c r="B342" i="5"/>
  <c r="O341" i="5"/>
  <c r="K341" i="5"/>
  <c r="L341" i="5" s="1"/>
  <c r="M341" i="5" s="1"/>
  <c r="N341" i="5" s="1"/>
  <c r="J341" i="5"/>
  <c r="G341" i="5"/>
  <c r="F341" i="5"/>
  <c r="E341" i="5"/>
  <c r="V341" i="5" s="1"/>
  <c r="W341" i="5" s="1"/>
  <c r="D341" i="5"/>
  <c r="S341" i="5" s="1"/>
  <c r="AB341" i="5" s="1"/>
  <c r="C341" i="5"/>
  <c r="B341" i="5"/>
  <c r="O340" i="5"/>
  <c r="K340" i="5"/>
  <c r="L340" i="5" s="1"/>
  <c r="M340" i="5" s="1"/>
  <c r="N340" i="5" s="1"/>
  <c r="J340" i="5"/>
  <c r="G340" i="5"/>
  <c r="F340" i="5"/>
  <c r="E340" i="5"/>
  <c r="D340" i="5"/>
  <c r="Q340" i="5" s="1"/>
  <c r="C340" i="5"/>
  <c r="B340" i="5"/>
  <c r="O339" i="5"/>
  <c r="K339" i="5"/>
  <c r="L339" i="5" s="1"/>
  <c r="M339" i="5" s="1"/>
  <c r="N339" i="5" s="1"/>
  <c r="J339" i="5"/>
  <c r="G339" i="5"/>
  <c r="F339" i="5"/>
  <c r="E339" i="5"/>
  <c r="D339" i="5"/>
  <c r="Q339" i="5" s="1"/>
  <c r="C339" i="5"/>
  <c r="B339" i="5"/>
  <c r="O338" i="5"/>
  <c r="K338" i="5"/>
  <c r="L338" i="5" s="1"/>
  <c r="M338" i="5" s="1"/>
  <c r="N338" i="5" s="1"/>
  <c r="J338" i="5"/>
  <c r="G338" i="5"/>
  <c r="F338" i="5"/>
  <c r="E338" i="5"/>
  <c r="V338" i="5" s="1"/>
  <c r="W338" i="5" s="1"/>
  <c r="D338" i="5"/>
  <c r="S338" i="5" s="1"/>
  <c r="AB338" i="5" s="1"/>
  <c r="C338" i="5"/>
  <c r="B338" i="5"/>
  <c r="Z338" i="5" s="1"/>
  <c r="O337" i="5"/>
  <c r="K337" i="5"/>
  <c r="L337" i="5" s="1"/>
  <c r="M337" i="5" s="1"/>
  <c r="N337" i="5" s="1"/>
  <c r="J337" i="5"/>
  <c r="G337" i="5"/>
  <c r="F337" i="5"/>
  <c r="E337" i="5"/>
  <c r="V337" i="5" s="1"/>
  <c r="W337" i="5" s="1"/>
  <c r="D337" i="5"/>
  <c r="S337" i="5" s="1"/>
  <c r="AB337" i="5" s="1"/>
  <c r="C337" i="5"/>
  <c r="B337" i="5"/>
  <c r="O336" i="5"/>
  <c r="K336" i="5"/>
  <c r="L336" i="5" s="1"/>
  <c r="M336" i="5" s="1"/>
  <c r="N336" i="5" s="1"/>
  <c r="J336" i="5"/>
  <c r="G336" i="5"/>
  <c r="F336" i="5"/>
  <c r="E336" i="5"/>
  <c r="D336" i="5"/>
  <c r="S336" i="5" s="1"/>
  <c r="AB336" i="5" s="1"/>
  <c r="C336" i="5"/>
  <c r="B336" i="5"/>
  <c r="O335" i="5"/>
  <c r="K335" i="5"/>
  <c r="L335" i="5" s="1"/>
  <c r="M335" i="5" s="1"/>
  <c r="N335" i="5" s="1"/>
  <c r="J335" i="5"/>
  <c r="G335" i="5"/>
  <c r="F335" i="5"/>
  <c r="E335" i="5"/>
  <c r="V335" i="5" s="1"/>
  <c r="W335" i="5" s="1"/>
  <c r="D335" i="5"/>
  <c r="S335" i="5" s="1"/>
  <c r="AB335" i="5" s="1"/>
  <c r="C335" i="5"/>
  <c r="B335" i="5"/>
  <c r="O334" i="5"/>
  <c r="K334" i="5"/>
  <c r="L334" i="5" s="1"/>
  <c r="M334" i="5" s="1"/>
  <c r="N334" i="5" s="1"/>
  <c r="J334" i="5"/>
  <c r="G334" i="5"/>
  <c r="F334" i="5"/>
  <c r="E334" i="5"/>
  <c r="V334" i="5" s="1"/>
  <c r="W334" i="5" s="1"/>
  <c r="D334" i="5"/>
  <c r="S334" i="5" s="1"/>
  <c r="AB334" i="5" s="1"/>
  <c r="C334" i="5"/>
  <c r="B334" i="5"/>
  <c r="O333" i="5"/>
  <c r="K333" i="5"/>
  <c r="L333" i="5" s="1"/>
  <c r="M333" i="5" s="1"/>
  <c r="N333" i="5" s="1"/>
  <c r="J333" i="5"/>
  <c r="G333" i="5"/>
  <c r="F333" i="5"/>
  <c r="E333" i="5"/>
  <c r="V333" i="5" s="1"/>
  <c r="W333" i="5" s="1"/>
  <c r="D333" i="5"/>
  <c r="S333" i="5" s="1"/>
  <c r="AB333" i="5" s="1"/>
  <c r="C333" i="5"/>
  <c r="B333" i="5"/>
  <c r="O332" i="5"/>
  <c r="K332" i="5"/>
  <c r="L332" i="5" s="1"/>
  <c r="M332" i="5" s="1"/>
  <c r="N332" i="5" s="1"/>
  <c r="J332" i="5"/>
  <c r="G332" i="5"/>
  <c r="F332" i="5"/>
  <c r="E332" i="5"/>
  <c r="D332" i="5"/>
  <c r="S332" i="5" s="1"/>
  <c r="AB332" i="5" s="1"/>
  <c r="C332" i="5"/>
  <c r="B332" i="5"/>
  <c r="O331" i="5"/>
  <c r="K331" i="5"/>
  <c r="L331" i="5" s="1"/>
  <c r="M331" i="5" s="1"/>
  <c r="N331" i="5" s="1"/>
  <c r="J331" i="5"/>
  <c r="G331" i="5"/>
  <c r="F331" i="5"/>
  <c r="E331" i="5"/>
  <c r="V331" i="5" s="1"/>
  <c r="W331" i="5" s="1"/>
  <c r="D331" i="5"/>
  <c r="S331" i="5" s="1"/>
  <c r="AB331" i="5" s="1"/>
  <c r="C331" i="5"/>
  <c r="B331" i="5"/>
  <c r="O330" i="5"/>
  <c r="K330" i="5"/>
  <c r="L330" i="5" s="1"/>
  <c r="M330" i="5" s="1"/>
  <c r="N330" i="5" s="1"/>
  <c r="J330" i="5"/>
  <c r="G330" i="5"/>
  <c r="F330" i="5"/>
  <c r="E330" i="5"/>
  <c r="V330" i="5" s="1"/>
  <c r="W330" i="5" s="1"/>
  <c r="D330" i="5"/>
  <c r="S330" i="5" s="1"/>
  <c r="AB330" i="5" s="1"/>
  <c r="C330" i="5"/>
  <c r="B330" i="5"/>
  <c r="O329" i="5"/>
  <c r="K329" i="5"/>
  <c r="L329" i="5" s="1"/>
  <c r="M329" i="5" s="1"/>
  <c r="N329" i="5" s="1"/>
  <c r="J329" i="5"/>
  <c r="G329" i="5"/>
  <c r="F329" i="5"/>
  <c r="E329" i="5"/>
  <c r="V329" i="5" s="1"/>
  <c r="W329" i="5" s="1"/>
  <c r="D329" i="5"/>
  <c r="S329" i="5" s="1"/>
  <c r="AB329" i="5" s="1"/>
  <c r="C329" i="5"/>
  <c r="B329" i="5"/>
  <c r="O328" i="5"/>
  <c r="K328" i="5"/>
  <c r="L328" i="5" s="1"/>
  <c r="M328" i="5" s="1"/>
  <c r="N328" i="5" s="1"/>
  <c r="J328" i="5"/>
  <c r="G328" i="5"/>
  <c r="F328" i="5"/>
  <c r="E328" i="5"/>
  <c r="D328" i="5"/>
  <c r="S328" i="5" s="1"/>
  <c r="AB328" i="5" s="1"/>
  <c r="C328" i="5"/>
  <c r="B328" i="5"/>
  <c r="O327" i="5"/>
  <c r="K327" i="5"/>
  <c r="L327" i="5" s="1"/>
  <c r="M327" i="5" s="1"/>
  <c r="N327" i="5" s="1"/>
  <c r="J327" i="5"/>
  <c r="G327" i="5"/>
  <c r="F327" i="5"/>
  <c r="E327" i="5"/>
  <c r="V327" i="5" s="1"/>
  <c r="W327" i="5" s="1"/>
  <c r="D327" i="5"/>
  <c r="S327" i="5" s="1"/>
  <c r="AB327" i="5" s="1"/>
  <c r="C327" i="5"/>
  <c r="B327" i="5"/>
  <c r="O326" i="5"/>
  <c r="K326" i="5"/>
  <c r="L326" i="5" s="1"/>
  <c r="M326" i="5" s="1"/>
  <c r="N326" i="5" s="1"/>
  <c r="J326" i="5"/>
  <c r="G326" i="5"/>
  <c r="F326" i="5"/>
  <c r="E326" i="5"/>
  <c r="V326" i="5" s="1"/>
  <c r="W326" i="5" s="1"/>
  <c r="D326" i="5"/>
  <c r="S326" i="5" s="1"/>
  <c r="AB326" i="5" s="1"/>
  <c r="C326" i="5"/>
  <c r="B326" i="5"/>
  <c r="O325" i="5"/>
  <c r="K325" i="5"/>
  <c r="L325" i="5" s="1"/>
  <c r="M325" i="5" s="1"/>
  <c r="N325" i="5" s="1"/>
  <c r="J325" i="5"/>
  <c r="G325" i="5"/>
  <c r="F325" i="5"/>
  <c r="E325" i="5"/>
  <c r="V325" i="5" s="1"/>
  <c r="W325" i="5" s="1"/>
  <c r="D325" i="5"/>
  <c r="S325" i="5" s="1"/>
  <c r="AB325" i="5" s="1"/>
  <c r="C325" i="5"/>
  <c r="B325" i="5"/>
  <c r="O324" i="5"/>
  <c r="K324" i="5"/>
  <c r="L324" i="5" s="1"/>
  <c r="M324" i="5" s="1"/>
  <c r="N324" i="5" s="1"/>
  <c r="J324" i="5"/>
  <c r="G324" i="5"/>
  <c r="F324" i="5"/>
  <c r="E324" i="5"/>
  <c r="D324" i="5"/>
  <c r="Q324" i="5" s="1"/>
  <c r="C324" i="5"/>
  <c r="B324" i="5"/>
  <c r="O323" i="5"/>
  <c r="K323" i="5"/>
  <c r="L323" i="5" s="1"/>
  <c r="M323" i="5" s="1"/>
  <c r="N323" i="5" s="1"/>
  <c r="J323" i="5"/>
  <c r="G323" i="5"/>
  <c r="F323" i="5"/>
  <c r="E323" i="5"/>
  <c r="V323" i="5" s="1"/>
  <c r="W323" i="5" s="1"/>
  <c r="D323" i="5"/>
  <c r="Q323" i="5" s="1"/>
  <c r="C323" i="5"/>
  <c r="B323" i="5"/>
  <c r="O322" i="5"/>
  <c r="K322" i="5"/>
  <c r="L322" i="5" s="1"/>
  <c r="M322" i="5" s="1"/>
  <c r="N322" i="5" s="1"/>
  <c r="J322" i="5"/>
  <c r="G322" i="5"/>
  <c r="F322" i="5"/>
  <c r="E322" i="5"/>
  <c r="V322" i="5" s="1"/>
  <c r="W322" i="5" s="1"/>
  <c r="D322" i="5"/>
  <c r="S322" i="5" s="1"/>
  <c r="AB322" i="5" s="1"/>
  <c r="C322" i="5"/>
  <c r="B322" i="5"/>
  <c r="Z322" i="5" s="1"/>
  <c r="O321" i="5"/>
  <c r="K321" i="5"/>
  <c r="L321" i="5" s="1"/>
  <c r="M321" i="5" s="1"/>
  <c r="N321" i="5" s="1"/>
  <c r="J321" i="5"/>
  <c r="G321" i="5"/>
  <c r="F321" i="5"/>
  <c r="E321" i="5"/>
  <c r="V321" i="5" s="1"/>
  <c r="W321" i="5" s="1"/>
  <c r="D321" i="5"/>
  <c r="S321" i="5" s="1"/>
  <c r="AB321" i="5" s="1"/>
  <c r="C321" i="5"/>
  <c r="B321" i="5"/>
  <c r="O320" i="5"/>
  <c r="K320" i="5"/>
  <c r="L320" i="5" s="1"/>
  <c r="M320" i="5" s="1"/>
  <c r="N320" i="5" s="1"/>
  <c r="J320" i="5"/>
  <c r="G320" i="5"/>
  <c r="F320" i="5"/>
  <c r="E320" i="5"/>
  <c r="D320" i="5"/>
  <c r="S320" i="5" s="1"/>
  <c r="AB320" i="5" s="1"/>
  <c r="C320" i="5"/>
  <c r="B320" i="5"/>
  <c r="O319" i="5"/>
  <c r="K319" i="5"/>
  <c r="L319" i="5" s="1"/>
  <c r="M319" i="5" s="1"/>
  <c r="N319" i="5" s="1"/>
  <c r="J319" i="5"/>
  <c r="G319" i="5"/>
  <c r="F319" i="5"/>
  <c r="E319" i="5"/>
  <c r="V319" i="5" s="1"/>
  <c r="W319" i="5" s="1"/>
  <c r="D319" i="5"/>
  <c r="S319" i="5" s="1"/>
  <c r="AB319" i="5" s="1"/>
  <c r="C319" i="5"/>
  <c r="B319" i="5"/>
  <c r="O318" i="5"/>
  <c r="K318" i="5"/>
  <c r="L318" i="5" s="1"/>
  <c r="M318" i="5" s="1"/>
  <c r="N318" i="5" s="1"/>
  <c r="J318" i="5"/>
  <c r="G318" i="5"/>
  <c r="F318" i="5"/>
  <c r="E318" i="5"/>
  <c r="V318" i="5" s="1"/>
  <c r="W318" i="5" s="1"/>
  <c r="D318" i="5"/>
  <c r="S318" i="5" s="1"/>
  <c r="AB318" i="5" s="1"/>
  <c r="C318" i="5"/>
  <c r="B318" i="5"/>
  <c r="O317" i="5"/>
  <c r="K317" i="5"/>
  <c r="L317" i="5" s="1"/>
  <c r="M317" i="5" s="1"/>
  <c r="N317" i="5" s="1"/>
  <c r="J317" i="5"/>
  <c r="G317" i="5"/>
  <c r="F317" i="5"/>
  <c r="E317" i="5"/>
  <c r="V317" i="5" s="1"/>
  <c r="W317" i="5" s="1"/>
  <c r="D317" i="5"/>
  <c r="S317" i="5" s="1"/>
  <c r="AB317" i="5" s="1"/>
  <c r="C317" i="5"/>
  <c r="B317" i="5"/>
  <c r="O316" i="5"/>
  <c r="K316" i="5"/>
  <c r="L316" i="5" s="1"/>
  <c r="M316" i="5" s="1"/>
  <c r="N316" i="5" s="1"/>
  <c r="J316" i="5"/>
  <c r="G316" i="5"/>
  <c r="F316" i="5"/>
  <c r="E316" i="5"/>
  <c r="D316" i="5"/>
  <c r="S316" i="5" s="1"/>
  <c r="AB316" i="5" s="1"/>
  <c r="C316" i="5"/>
  <c r="B316" i="5"/>
  <c r="O315" i="5"/>
  <c r="K315" i="5"/>
  <c r="L315" i="5" s="1"/>
  <c r="M315" i="5" s="1"/>
  <c r="N315" i="5" s="1"/>
  <c r="J315" i="5"/>
  <c r="G315" i="5"/>
  <c r="F315" i="5"/>
  <c r="E315" i="5"/>
  <c r="V315" i="5" s="1"/>
  <c r="W315" i="5" s="1"/>
  <c r="D315" i="5"/>
  <c r="S315" i="5" s="1"/>
  <c r="AB315" i="5" s="1"/>
  <c r="C315" i="5"/>
  <c r="B315" i="5"/>
  <c r="O314" i="5"/>
  <c r="K314" i="5"/>
  <c r="L314" i="5" s="1"/>
  <c r="M314" i="5" s="1"/>
  <c r="N314" i="5" s="1"/>
  <c r="J314" i="5"/>
  <c r="G314" i="5"/>
  <c r="F314" i="5"/>
  <c r="E314" i="5"/>
  <c r="V314" i="5" s="1"/>
  <c r="W314" i="5" s="1"/>
  <c r="D314" i="5"/>
  <c r="S314" i="5" s="1"/>
  <c r="AB314" i="5" s="1"/>
  <c r="C314" i="5"/>
  <c r="B314" i="5"/>
  <c r="O313" i="5"/>
  <c r="K313" i="5"/>
  <c r="L313" i="5" s="1"/>
  <c r="M313" i="5" s="1"/>
  <c r="N313" i="5" s="1"/>
  <c r="J313" i="5"/>
  <c r="G313" i="5"/>
  <c r="F313" i="5"/>
  <c r="E313" i="5"/>
  <c r="V313" i="5" s="1"/>
  <c r="W313" i="5" s="1"/>
  <c r="D313" i="5"/>
  <c r="S313" i="5" s="1"/>
  <c r="AB313" i="5" s="1"/>
  <c r="C313" i="5"/>
  <c r="B313" i="5"/>
  <c r="O312" i="5"/>
  <c r="K312" i="5"/>
  <c r="L312" i="5" s="1"/>
  <c r="M312" i="5" s="1"/>
  <c r="N312" i="5" s="1"/>
  <c r="J312" i="5"/>
  <c r="G312" i="5"/>
  <c r="F312" i="5"/>
  <c r="E312" i="5"/>
  <c r="D312" i="5"/>
  <c r="S312" i="5" s="1"/>
  <c r="AB312" i="5" s="1"/>
  <c r="C312" i="5"/>
  <c r="B312" i="5"/>
  <c r="O311" i="5"/>
  <c r="K311" i="5"/>
  <c r="L311" i="5" s="1"/>
  <c r="M311" i="5" s="1"/>
  <c r="N311" i="5" s="1"/>
  <c r="J311" i="5"/>
  <c r="G311" i="5"/>
  <c r="F311" i="5"/>
  <c r="E311" i="5"/>
  <c r="V311" i="5" s="1"/>
  <c r="W311" i="5" s="1"/>
  <c r="D311" i="5"/>
  <c r="S311" i="5" s="1"/>
  <c r="AB311" i="5" s="1"/>
  <c r="C311" i="5"/>
  <c r="B311" i="5"/>
  <c r="O310" i="5"/>
  <c r="K310" i="5"/>
  <c r="L310" i="5" s="1"/>
  <c r="M310" i="5" s="1"/>
  <c r="N310" i="5" s="1"/>
  <c r="J310" i="5"/>
  <c r="G310" i="5"/>
  <c r="F310" i="5"/>
  <c r="E310" i="5"/>
  <c r="V310" i="5" s="1"/>
  <c r="W310" i="5" s="1"/>
  <c r="D310" i="5"/>
  <c r="S310" i="5" s="1"/>
  <c r="AB310" i="5" s="1"/>
  <c r="C310" i="5"/>
  <c r="B310" i="5"/>
  <c r="O309" i="5"/>
  <c r="K309" i="5"/>
  <c r="L309" i="5" s="1"/>
  <c r="M309" i="5" s="1"/>
  <c r="N309" i="5" s="1"/>
  <c r="J309" i="5"/>
  <c r="G309" i="5"/>
  <c r="F309" i="5"/>
  <c r="E309" i="5"/>
  <c r="V309" i="5" s="1"/>
  <c r="W309" i="5" s="1"/>
  <c r="D309" i="5"/>
  <c r="S309" i="5" s="1"/>
  <c r="AB309" i="5" s="1"/>
  <c r="C309" i="5"/>
  <c r="B309" i="5"/>
  <c r="O308" i="5"/>
  <c r="K308" i="5"/>
  <c r="L308" i="5" s="1"/>
  <c r="M308" i="5" s="1"/>
  <c r="N308" i="5" s="1"/>
  <c r="J308" i="5"/>
  <c r="G308" i="5"/>
  <c r="F308" i="5"/>
  <c r="E308" i="5"/>
  <c r="D308" i="5"/>
  <c r="S308" i="5" s="1"/>
  <c r="AB308" i="5" s="1"/>
  <c r="C308" i="5"/>
  <c r="B308" i="5"/>
  <c r="O307" i="5"/>
  <c r="K307" i="5"/>
  <c r="L307" i="5" s="1"/>
  <c r="M307" i="5" s="1"/>
  <c r="N307" i="5" s="1"/>
  <c r="J307" i="5"/>
  <c r="G307" i="5"/>
  <c r="F307" i="5"/>
  <c r="E307" i="5"/>
  <c r="V307" i="5" s="1"/>
  <c r="W307" i="5" s="1"/>
  <c r="D307" i="5"/>
  <c r="Q307" i="5" s="1"/>
  <c r="C307" i="5"/>
  <c r="B307" i="5"/>
  <c r="O306" i="5"/>
  <c r="K306" i="5"/>
  <c r="L306" i="5" s="1"/>
  <c r="M306" i="5" s="1"/>
  <c r="N306" i="5" s="1"/>
  <c r="J306" i="5"/>
  <c r="G306" i="5"/>
  <c r="F306" i="5"/>
  <c r="E306" i="5"/>
  <c r="V306" i="5" s="1"/>
  <c r="W306" i="5" s="1"/>
  <c r="D306" i="5"/>
  <c r="C306" i="5"/>
  <c r="B306" i="5"/>
  <c r="O305" i="5"/>
  <c r="K305" i="5"/>
  <c r="L305" i="5" s="1"/>
  <c r="M305" i="5" s="1"/>
  <c r="N305" i="5" s="1"/>
  <c r="J305" i="5"/>
  <c r="G305" i="5"/>
  <c r="F305" i="5"/>
  <c r="E305" i="5"/>
  <c r="V305" i="5" s="1"/>
  <c r="W305" i="5" s="1"/>
  <c r="D305" i="5"/>
  <c r="S305" i="5" s="1"/>
  <c r="AB305" i="5" s="1"/>
  <c r="C305" i="5"/>
  <c r="B305" i="5"/>
  <c r="O304" i="5"/>
  <c r="K304" i="5"/>
  <c r="L304" i="5" s="1"/>
  <c r="M304" i="5" s="1"/>
  <c r="N304" i="5" s="1"/>
  <c r="J304" i="5"/>
  <c r="G304" i="5"/>
  <c r="F304" i="5"/>
  <c r="E304" i="5"/>
  <c r="D304" i="5"/>
  <c r="S304" i="5" s="1"/>
  <c r="AB304" i="5" s="1"/>
  <c r="C304" i="5"/>
  <c r="B304" i="5"/>
  <c r="O303" i="5"/>
  <c r="K303" i="5"/>
  <c r="L303" i="5" s="1"/>
  <c r="M303" i="5" s="1"/>
  <c r="N303" i="5" s="1"/>
  <c r="J303" i="5"/>
  <c r="G303" i="5"/>
  <c r="F303" i="5"/>
  <c r="E303" i="5"/>
  <c r="V303" i="5" s="1"/>
  <c r="W303" i="5" s="1"/>
  <c r="D303" i="5"/>
  <c r="S303" i="5" s="1"/>
  <c r="AB303" i="5" s="1"/>
  <c r="C303" i="5"/>
  <c r="B303" i="5"/>
  <c r="O302" i="5"/>
  <c r="K302" i="5"/>
  <c r="L302" i="5" s="1"/>
  <c r="M302" i="5" s="1"/>
  <c r="N302" i="5" s="1"/>
  <c r="J302" i="5"/>
  <c r="G302" i="5"/>
  <c r="F302" i="5"/>
  <c r="E302" i="5"/>
  <c r="V302" i="5" s="1"/>
  <c r="W302" i="5" s="1"/>
  <c r="D302" i="5"/>
  <c r="S302" i="5" s="1"/>
  <c r="AB302" i="5" s="1"/>
  <c r="C302" i="5"/>
  <c r="B302" i="5"/>
  <c r="Z302" i="5" s="1"/>
  <c r="O301" i="5"/>
  <c r="K301" i="5"/>
  <c r="L301" i="5" s="1"/>
  <c r="M301" i="5" s="1"/>
  <c r="N301" i="5" s="1"/>
  <c r="J301" i="5"/>
  <c r="G301" i="5"/>
  <c r="F301" i="5"/>
  <c r="E301" i="5"/>
  <c r="V301" i="5" s="1"/>
  <c r="W301" i="5" s="1"/>
  <c r="D301" i="5"/>
  <c r="S301" i="5" s="1"/>
  <c r="AB301" i="5" s="1"/>
  <c r="C301" i="5"/>
  <c r="B301" i="5"/>
  <c r="O300" i="5"/>
  <c r="K300" i="5"/>
  <c r="L300" i="5" s="1"/>
  <c r="M300" i="5" s="1"/>
  <c r="N300" i="5" s="1"/>
  <c r="J300" i="5"/>
  <c r="G300" i="5"/>
  <c r="F300" i="5"/>
  <c r="E300" i="5"/>
  <c r="D300" i="5"/>
  <c r="S300" i="5" s="1"/>
  <c r="AB300" i="5" s="1"/>
  <c r="C300" i="5"/>
  <c r="B300" i="5"/>
  <c r="O299" i="5"/>
  <c r="K299" i="5"/>
  <c r="L299" i="5" s="1"/>
  <c r="M299" i="5" s="1"/>
  <c r="N299" i="5" s="1"/>
  <c r="J299" i="5"/>
  <c r="G299" i="5"/>
  <c r="P299" i="5" s="1"/>
  <c r="F299" i="5"/>
  <c r="E299" i="5"/>
  <c r="V299" i="5" s="1"/>
  <c r="W299" i="5" s="1"/>
  <c r="D299" i="5"/>
  <c r="S299" i="5" s="1"/>
  <c r="AB299" i="5" s="1"/>
  <c r="C299" i="5"/>
  <c r="B299" i="5"/>
  <c r="O298" i="5"/>
  <c r="K298" i="5"/>
  <c r="L298" i="5" s="1"/>
  <c r="M298" i="5" s="1"/>
  <c r="N298" i="5" s="1"/>
  <c r="J298" i="5"/>
  <c r="G298" i="5"/>
  <c r="H298" i="5" s="1"/>
  <c r="F298" i="5"/>
  <c r="E298" i="5"/>
  <c r="V298" i="5" s="1"/>
  <c r="W298" i="5" s="1"/>
  <c r="D298" i="5"/>
  <c r="S298" i="5" s="1"/>
  <c r="AB298" i="5" s="1"/>
  <c r="C298" i="5"/>
  <c r="B298" i="5"/>
  <c r="O297" i="5"/>
  <c r="K297" i="5"/>
  <c r="L297" i="5" s="1"/>
  <c r="M297" i="5" s="1"/>
  <c r="N297" i="5" s="1"/>
  <c r="J297" i="5"/>
  <c r="G297" i="5"/>
  <c r="P297" i="5" s="1"/>
  <c r="F297" i="5"/>
  <c r="E297" i="5"/>
  <c r="V297" i="5" s="1"/>
  <c r="W297" i="5" s="1"/>
  <c r="D297" i="5"/>
  <c r="S297" i="5" s="1"/>
  <c r="AB297" i="5" s="1"/>
  <c r="C297" i="5"/>
  <c r="B297" i="5"/>
  <c r="O296" i="5"/>
  <c r="K296" i="5"/>
  <c r="L296" i="5" s="1"/>
  <c r="M296" i="5" s="1"/>
  <c r="N296" i="5" s="1"/>
  <c r="J296" i="5"/>
  <c r="G296" i="5"/>
  <c r="P296" i="5" s="1"/>
  <c r="F296" i="5"/>
  <c r="E296" i="5"/>
  <c r="D296" i="5"/>
  <c r="S296" i="5" s="1"/>
  <c r="AB296" i="5" s="1"/>
  <c r="C296" i="5"/>
  <c r="B296" i="5"/>
  <c r="O295" i="5"/>
  <c r="K295" i="5"/>
  <c r="L295" i="5" s="1"/>
  <c r="M295" i="5" s="1"/>
  <c r="N295" i="5" s="1"/>
  <c r="J295" i="5"/>
  <c r="G295" i="5"/>
  <c r="H295" i="5" s="1"/>
  <c r="F295" i="5"/>
  <c r="E295" i="5"/>
  <c r="V295" i="5" s="1"/>
  <c r="W295" i="5" s="1"/>
  <c r="D295" i="5"/>
  <c r="S295" i="5" s="1"/>
  <c r="AB295" i="5" s="1"/>
  <c r="C295" i="5"/>
  <c r="B295" i="5"/>
  <c r="O294" i="5"/>
  <c r="K294" i="5"/>
  <c r="L294" i="5" s="1"/>
  <c r="M294" i="5" s="1"/>
  <c r="N294" i="5" s="1"/>
  <c r="J294" i="5"/>
  <c r="G294" i="5"/>
  <c r="P294" i="5" s="1"/>
  <c r="F294" i="5"/>
  <c r="E294" i="5"/>
  <c r="V294" i="5" s="1"/>
  <c r="W294" i="5" s="1"/>
  <c r="D294" i="5"/>
  <c r="S294" i="5" s="1"/>
  <c r="AB294" i="5" s="1"/>
  <c r="C294" i="5"/>
  <c r="B294" i="5"/>
  <c r="O293" i="5"/>
  <c r="K293" i="5"/>
  <c r="L293" i="5" s="1"/>
  <c r="M293" i="5" s="1"/>
  <c r="N293" i="5" s="1"/>
  <c r="J293" i="5"/>
  <c r="G293" i="5"/>
  <c r="P293" i="5" s="1"/>
  <c r="F293" i="5"/>
  <c r="E293" i="5"/>
  <c r="V293" i="5" s="1"/>
  <c r="W293" i="5" s="1"/>
  <c r="D293" i="5"/>
  <c r="S293" i="5" s="1"/>
  <c r="AB293" i="5" s="1"/>
  <c r="C293" i="5"/>
  <c r="B293" i="5"/>
  <c r="O292" i="5"/>
  <c r="K292" i="5"/>
  <c r="L292" i="5" s="1"/>
  <c r="M292" i="5" s="1"/>
  <c r="N292" i="5" s="1"/>
  <c r="J292" i="5"/>
  <c r="G292" i="5"/>
  <c r="H292" i="5" s="1"/>
  <c r="F292" i="5"/>
  <c r="E292" i="5"/>
  <c r="D292" i="5"/>
  <c r="S292" i="5" s="1"/>
  <c r="AB292" i="5" s="1"/>
  <c r="C292" i="5"/>
  <c r="B292" i="5"/>
  <c r="O291" i="5"/>
  <c r="K291" i="5"/>
  <c r="L291" i="5" s="1"/>
  <c r="M291" i="5" s="1"/>
  <c r="N291" i="5" s="1"/>
  <c r="J291" i="5"/>
  <c r="G291" i="5"/>
  <c r="P291" i="5" s="1"/>
  <c r="F291" i="5"/>
  <c r="E291" i="5"/>
  <c r="V291" i="5" s="1"/>
  <c r="W291" i="5" s="1"/>
  <c r="D291" i="5"/>
  <c r="S291" i="5" s="1"/>
  <c r="AB291" i="5" s="1"/>
  <c r="C291" i="5"/>
  <c r="B291" i="5"/>
  <c r="O290" i="5"/>
  <c r="K290" i="5"/>
  <c r="L290" i="5" s="1"/>
  <c r="M290" i="5" s="1"/>
  <c r="N290" i="5" s="1"/>
  <c r="J290" i="5"/>
  <c r="G290" i="5"/>
  <c r="H290" i="5" s="1"/>
  <c r="F290" i="5"/>
  <c r="E290" i="5"/>
  <c r="T290" i="5" s="1"/>
  <c r="D290" i="5"/>
  <c r="Q290" i="5" s="1"/>
  <c r="C290" i="5"/>
  <c r="B290" i="5"/>
  <c r="O289" i="5"/>
  <c r="K289" i="5"/>
  <c r="L289" i="5" s="1"/>
  <c r="M289" i="5" s="1"/>
  <c r="N289" i="5" s="1"/>
  <c r="J289" i="5"/>
  <c r="G289" i="5"/>
  <c r="H289" i="5" s="1"/>
  <c r="F289" i="5"/>
  <c r="E289" i="5"/>
  <c r="V289" i="5" s="1"/>
  <c r="W289" i="5" s="1"/>
  <c r="D289" i="5"/>
  <c r="S289" i="5" s="1"/>
  <c r="AB289" i="5" s="1"/>
  <c r="C289" i="5"/>
  <c r="B289" i="5"/>
  <c r="O288" i="5"/>
  <c r="K288" i="5"/>
  <c r="L288" i="5" s="1"/>
  <c r="M288" i="5" s="1"/>
  <c r="N288" i="5" s="1"/>
  <c r="J288" i="5"/>
  <c r="G288" i="5"/>
  <c r="P288" i="5" s="1"/>
  <c r="F288" i="5"/>
  <c r="E288" i="5"/>
  <c r="D288" i="5"/>
  <c r="Q288" i="5" s="1"/>
  <c r="C288" i="5"/>
  <c r="B288" i="5"/>
  <c r="O287" i="5"/>
  <c r="K287" i="5"/>
  <c r="L287" i="5" s="1"/>
  <c r="M287" i="5" s="1"/>
  <c r="N287" i="5" s="1"/>
  <c r="J287" i="5"/>
  <c r="G287" i="5"/>
  <c r="P287" i="5" s="1"/>
  <c r="F287" i="5"/>
  <c r="E287" i="5"/>
  <c r="V287" i="5" s="1"/>
  <c r="W287" i="5" s="1"/>
  <c r="D287" i="5"/>
  <c r="S287" i="5" s="1"/>
  <c r="AB287" i="5" s="1"/>
  <c r="C287" i="5"/>
  <c r="B287" i="5"/>
  <c r="O286" i="5"/>
  <c r="K286" i="5"/>
  <c r="L286" i="5" s="1"/>
  <c r="M286" i="5" s="1"/>
  <c r="N286" i="5" s="1"/>
  <c r="J286" i="5"/>
  <c r="G286" i="5"/>
  <c r="P286" i="5" s="1"/>
  <c r="F286" i="5"/>
  <c r="E286" i="5"/>
  <c r="V286" i="5" s="1"/>
  <c r="W286" i="5" s="1"/>
  <c r="D286" i="5"/>
  <c r="S286" i="5" s="1"/>
  <c r="AB286" i="5" s="1"/>
  <c r="C286" i="5"/>
  <c r="B286" i="5"/>
  <c r="O285" i="5"/>
  <c r="K285" i="5"/>
  <c r="L285" i="5" s="1"/>
  <c r="M285" i="5" s="1"/>
  <c r="N285" i="5" s="1"/>
  <c r="J285" i="5"/>
  <c r="G285" i="5"/>
  <c r="P285" i="5" s="1"/>
  <c r="F285" i="5"/>
  <c r="E285" i="5"/>
  <c r="V285" i="5" s="1"/>
  <c r="W285" i="5" s="1"/>
  <c r="D285" i="5"/>
  <c r="S285" i="5" s="1"/>
  <c r="AB285" i="5" s="1"/>
  <c r="C285" i="5"/>
  <c r="B285" i="5"/>
  <c r="O284" i="5"/>
  <c r="K284" i="5"/>
  <c r="L284" i="5" s="1"/>
  <c r="M284" i="5" s="1"/>
  <c r="N284" i="5" s="1"/>
  <c r="J284" i="5"/>
  <c r="G284" i="5"/>
  <c r="H284" i="5" s="1"/>
  <c r="F284" i="5"/>
  <c r="E284" i="5"/>
  <c r="D284" i="5"/>
  <c r="S284" i="5" s="1"/>
  <c r="AB284" i="5" s="1"/>
  <c r="C284" i="5"/>
  <c r="B284" i="5"/>
  <c r="O283" i="5"/>
  <c r="K283" i="5"/>
  <c r="L283" i="5" s="1"/>
  <c r="M283" i="5" s="1"/>
  <c r="N283" i="5" s="1"/>
  <c r="J283" i="5"/>
  <c r="G283" i="5"/>
  <c r="H283" i="5" s="1"/>
  <c r="F283" i="5"/>
  <c r="E283" i="5"/>
  <c r="V283" i="5" s="1"/>
  <c r="W283" i="5" s="1"/>
  <c r="D283" i="5"/>
  <c r="S283" i="5" s="1"/>
  <c r="AB283" i="5" s="1"/>
  <c r="C283" i="5"/>
  <c r="B283" i="5"/>
  <c r="O282" i="5"/>
  <c r="K282" i="5"/>
  <c r="L282" i="5" s="1"/>
  <c r="M282" i="5" s="1"/>
  <c r="N282" i="5" s="1"/>
  <c r="J282" i="5"/>
  <c r="G282" i="5"/>
  <c r="H282" i="5" s="1"/>
  <c r="F282" i="5"/>
  <c r="E282" i="5"/>
  <c r="V282" i="5" s="1"/>
  <c r="W282" i="5" s="1"/>
  <c r="D282" i="5"/>
  <c r="S282" i="5" s="1"/>
  <c r="AB282" i="5" s="1"/>
  <c r="C282" i="5"/>
  <c r="B282" i="5"/>
  <c r="Z282" i="5" s="1"/>
  <c r="O281" i="5"/>
  <c r="K281" i="5"/>
  <c r="L281" i="5" s="1"/>
  <c r="M281" i="5" s="1"/>
  <c r="N281" i="5" s="1"/>
  <c r="J281" i="5"/>
  <c r="G281" i="5"/>
  <c r="P281" i="5" s="1"/>
  <c r="F281" i="5"/>
  <c r="E281" i="5"/>
  <c r="V281" i="5" s="1"/>
  <c r="W281" i="5" s="1"/>
  <c r="D281" i="5"/>
  <c r="S281" i="5" s="1"/>
  <c r="AB281" i="5" s="1"/>
  <c r="C281" i="5"/>
  <c r="B281" i="5"/>
  <c r="O280" i="5"/>
  <c r="K280" i="5"/>
  <c r="L280" i="5" s="1"/>
  <c r="M280" i="5" s="1"/>
  <c r="N280" i="5" s="1"/>
  <c r="J280" i="5"/>
  <c r="G280" i="5"/>
  <c r="P280" i="5" s="1"/>
  <c r="F280" i="5"/>
  <c r="E280" i="5"/>
  <c r="V280" i="5" s="1"/>
  <c r="W280" i="5" s="1"/>
  <c r="D280" i="5"/>
  <c r="S280" i="5" s="1"/>
  <c r="AB280" i="5" s="1"/>
  <c r="C280" i="5"/>
  <c r="B280" i="5"/>
  <c r="O279" i="5"/>
  <c r="K279" i="5"/>
  <c r="L279" i="5" s="1"/>
  <c r="M279" i="5" s="1"/>
  <c r="N279" i="5" s="1"/>
  <c r="J279" i="5"/>
  <c r="G279" i="5"/>
  <c r="P279" i="5" s="1"/>
  <c r="F279" i="5"/>
  <c r="E279" i="5"/>
  <c r="V279" i="5" s="1"/>
  <c r="W279" i="5" s="1"/>
  <c r="D279" i="5"/>
  <c r="S279" i="5" s="1"/>
  <c r="AB279" i="5" s="1"/>
  <c r="C279" i="5"/>
  <c r="B279" i="5"/>
  <c r="O278" i="5"/>
  <c r="K278" i="5"/>
  <c r="L278" i="5" s="1"/>
  <c r="M278" i="5" s="1"/>
  <c r="N278" i="5" s="1"/>
  <c r="J278" i="5"/>
  <c r="G278" i="5"/>
  <c r="P278" i="5" s="1"/>
  <c r="F278" i="5"/>
  <c r="E278" i="5"/>
  <c r="V278" i="5" s="1"/>
  <c r="W278" i="5" s="1"/>
  <c r="D278" i="5"/>
  <c r="S278" i="5" s="1"/>
  <c r="AB278" i="5" s="1"/>
  <c r="C278" i="5"/>
  <c r="B278" i="5"/>
  <c r="O277" i="5"/>
  <c r="K277" i="5"/>
  <c r="L277" i="5" s="1"/>
  <c r="M277" i="5" s="1"/>
  <c r="N277" i="5" s="1"/>
  <c r="J277" i="5"/>
  <c r="G277" i="5"/>
  <c r="P277" i="5" s="1"/>
  <c r="F277" i="5"/>
  <c r="E277" i="5"/>
  <c r="V277" i="5" s="1"/>
  <c r="W277" i="5" s="1"/>
  <c r="D277" i="5"/>
  <c r="S277" i="5" s="1"/>
  <c r="AB277" i="5" s="1"/>
  <c r="C277" i="5"/>
  <c r="B277" i="5"/>
  <c r="O276" i="5"/>
  <c r="K276" i="5"/>
  <c r="L276" i="5" s="1"/>
  <c r="M276" i="5" s="1"/>
  <c r="N276" i="5" s="1"/>
  <c r="J276" i="5"/>
  <c r="G276" i="5"/>
  <c r="H276" i="5" s="1"/>
  <c r="F276" i="5"/>
  <c r="E276" i="5"/>
  <c r="D276" i="5"/>
  <c r="S276" i="5" s="1"/>
  <c r="AB276" i="5" s="1"/>
  <c r="C276" i="5"/>
  <c r="B276" i="5"/>
  <c r="O275" i="5"/>
  <c r="K275" i="5"/>
  <c r="L275" i="5" s="1"/>
  <c r="M275" i="5" s="1"/>
  <c r="N275" i="5" s="1"/>
  <c r="J275" i="5"/>
  <c r="G275" i="5"/>
  <c r="P275" i="5" s="1"/>
  <c r="F275" i="5"/>
  <c r="E275" i="5"/>
  <c r="V275" i="5" s="1"/>
  <c r="W275" i="5" s="1"/>
  <c r="D275" i="5"/>
  <c r="S275" i="5" s="1"/>
  <c r="AB275" i="5" s="1"/>
  <c r="C275" i="5"/>
  <c r="B275" i="5"/>
  <c r="O274" i="5"/>
  <c r="K274" i="5"/>
  <c r="L274" i="5" s="1"/>
  <c r="M274" i="5" s="1"/>
  <c r="N274" i="5" s="1"/>
  <c r="J274" i="5"/>
  <c r="G274" i="5"/>
  <c r="H274" i="5" s="1"/>
  <c r="F274" i="5"/>
  <c r="E274" i="5"/>
  <c r="V274" i="5" s="1"/>
  <c r="W274" i="5" s="1"/>
  <c r="D274" i="5"/>
  <c r="Q274" i="5" s="1"/>
  <c r="C274" i="5"/>
  <c r="B274" i="5"/>
  <c r="O273" i="5"/>
  <c r="K273" i="5"/>
  <c r="L273" i="5" s="1"/>
  <c r="M273" i="5" s="1"/>
  <c r="N273" i="5" s="1"/>
  <c r="J273" i="5"/>
  <c r="G273" i="5"/>
  <c r="H273" i="5" s="1"/>
  <c r="F273" i="5"/>
  <c r="E273" i="5"/>
  <c r="V273" i="5" s="1"/>
  <c r="W273" i="5" s="1"/>
  <c r="D273" i="5"/>
  <c r="S273" i="5" s="1"/>
  <c r="AB273" i="5" s="1"/>
  <c r="C273" i="5"/>
  <c r="B273" i="5"/>
  <c r="O272" i="5"/>
  <c r="K272" i="5"/>
  <c r="L272" i="5" s="1"/>
  <c r="M272" i="5" s="1"/>
  <c r="N272" i="5" s="1"/>
  <c r="J272" i="5"/>
  <c r="G272" i="5"/>
  <c r="P272" i="5" s="1"/>
  <c r="F272" i="5"/>
  <c r="E272" i="5"/>
  <c r="V272" i="5" s="1"/>
  <c r="W272" i="5" s="1"/>
  <c r="D272" i="5"/>
  <c r="C272" i="5"/>
  <c r="B272" i="5"/>
  <c r="O271" i="5"/>
  <c r="K271" i="5"/>
  <c r="L271" i="5" s="1"/>
  <c r="M271" i="5" s="1"/>
  <c r="N271" i="5" s="1"/>
  <c r="J271" i="5"/>
  <c r="G271" i="5"/>
  <c r="P271" i="5" s="1"/>
  <c r="F271" i="5"/>
  <c r="E271" i="5"/>
  <c r="V271" i="5" s="1"/>
  <c r="W271" i="5" s="1"/>
  <c r="D271" i="5"/>
  <c r="S271" i="5" s="1"/>
  <c r="AB271" i="5" s="1"/>
  <c r="C271" i="5"/>
  <c r="B271" i="5"/>
  <c r="O270" i="5"/>
  <c r="K270" i="5"/>
  <c r="L270" i="5" s="1"/>
  <c r="M270" i="5" s="1"/>
  <c r="N270" i="5" s="1"/>
  <c r="J270" i="5"/>
  <c r="G270" i="5"/>
  <c r="P270" i="5" s="1"/>
  <c r="F270" i="5"/>
  <c r="E270" i="5"/>
  <c r="V270" i="5" s="1"/>
  <c r="W270" i="5" s="1"/>
  <c r="D270" i="5"/>
  <c r="S270" i="5" s="1"/>
  <c r="AB270" i="5" s="1"/>
  <c r="C270" i="5"/>
  <c r="B270" i="5"/>
  <c r="O269" i="5"/>
  <c r="K269" i="5"/>
  <c r="L269" i="5" s="1"/>
  <c r="M269" i="5" s="1"/>
  <c r="N269" i="5" s="1"/>
  <c r="J269" i="5"/>
  <c r="G269" i="5"/>
  <c r="P269" i="5" s="1"/>
  <c r="F269" i="5"/>
  <c r="E269" i="5"/>
  <c r="V269" i="5" s="1"/>
  <c r="W269" i="5" s="1"/>
  <c r="D269" i="5"/>
  <c r="S269" i="5" s="1"/>
  <c r="AB269" i="5" s="1"/>
  <c r="C269" i="5"/>
  <c r="B269" i="5"/>
  <c r="O268" i="5"/>
  <c r="K268" i="5"/>
  <c r="L268" i="5" s="1"/>
  <c r="M268" i="5" s="1"/>
  <c r="N268" i="5" s="1"/>
  <c r="J268" i="5"/>
  <c r="G268" i="5"/>
  <c r="H268" i="5" s="1"/>
  <c r="F268" i="5"/>
  <c r="E268" i="5"/>
  <c r="D268" i="5"/>
  <c r="S268" i="5" s="1"/>
  <c r="AB268" i="5" s="1"/>
  <c r="C268" i="5"/>
  <c r="B268" i="5"/>
  <c r="O267" i="5"/>
  <c r="K267" i="5"/>
  <c r="L267" i="5" s="1"/>
  <c r="M267" i="5" s="1"/>
  <c r="N267" i="5" s="1"/>
  <c r="J267" i="5"/>
  <c r="G267" i="5"/>
  <c r="H267" i="5" s="1"/>
  <c r="F267" i="5"/>
  <c r="E267" i="5"/>
  <c r="V267" i="5" s="1"/>
  <c r="W267" i="5" s="1"/>
  <c r="D267" i="5"/>
  <c r="S267" i="5" s="1"/>
  <c r="AB267" i="5" s="1"/>
  <c r="C267" i="5"/>
  <c r="B267" i="5"/>
  <c r="O266" i="5"/>
  <c r="K266" i="5"/>
  <c r="L266" i="5" s="1"/>
  <c r="M266" i="5" s="1"/>
  <c r="N266" i="5" s="1"/>
  <c r="J266" i="5"/>
  <c r="G266" i="5"/>
  <c r="H266" i="5" s="1"/>
  <c r="F266" i="5"/>
  <c r="E266" i="5"/>
  <c r="V266" i="5" s="1"/>
  <c r="W266" i="5" s="1"/>
  <c r="D266" i="5"/>
  <c r="S266" i="5" s="1"/>
  <c r="AB266" i="5" s="1"/>
  <c r="C266" i="5"/>
  <c r="B266" i="5"/>
  <c r="O265" i="5"/>
  <c r="K265" i="5"/>
  <c r="L265" i="5" s="1"/>
  <c r="M265" i="5" s="1"/>
  <c r="N265" i="5" s="1"/>
  <c r="J265" i="5"/>
  <c r="G265" i="5"/>
  <c r="P265" i="5" s="1"/>
  <c r="F265" i="5"/>
  <c r="E265" i="5"/>
  <c r="V265" i="5" s="1"/>
  <c r="W265" i="5" s="1"/>
  <c r="D265" i="5"/>
  <c r="S265" i="5" s="1"/>
  <c r="AB265" i="5" s="1"/>
  <c r="C265" i="5"/>
  <c r="B265" i="5"/>
  <c r="O264" i="5"/>
  <c r="K264" i="5"/>
  <c r="L264" i="5" s="1"/>
  <c r="M264" i="5" s="1"/>
  <c r="N264" i="5" s="1"/>
  <c r="J264" i="5"/>
  <c r="G264" i="5"/>
  <c r="P264" i="5" s="1"/>
  <c r="F264" i="5"/>
  <c r="E264" i="5"/>
  <c r="D264" i="5"/>
  <c r="S264" i="5" s="1"/>
  <c r="AB264" i="5" s="1"/>
  <c r="C264" i="5"/>
  <c r="B264" i="5"/>
  <c r="O263" i="5"/>
  <c r="K263" i="5"/>
  <c r="L263" i="5" s="1"/>
  <c r="M263" i="5" s="1"/>
  <c r="N263" i="5" s="1"/>
  <c r="J263" i="5"/>
  <c r="G263" i="5"/>
  <c r="H263" i="5" s="1"/>
  <c r="F263" i="5"/>
  <c r="E263" i="5"/>
  <c r="V263" i="5" s="1"/>
  <c r="W263" i="5" s="1"/>
  <c r="D263" i="5"/>
  <c r="S263" i="5" s="1"/>
  <c r="AB263" i="5" s="1"/>
  <c r="C263" i="5"/>
  <c r="B263" i="5"/>
  <c r="O262" i="5"/>
  <c r="K262" i="5"/>
  <c r="L262" i="5" s="1"/>
  <c r="M262" i="5" s="1"/>
  <c r="N262" i="5" s="1"/>
  <c r="J262" i="5"/>
  <c r="G262" i="5"/>
  <c r="P262" i="5" s="1"/>
  <c r="F262" i="5"/>
  <c r="E262" i="5"/>
  <c r="V262" i="5" s="1"/>
  <c r="W262" i="5" s="1"/>
  <c r="D262" i="5"/>
  <c r="S262" i="5" s="1"/>
  <c r="AB262" i="5" s="1"/>
  <c r="C262" i="5"/>
  <c r="B262" i="5"/>
  <c r="O261" i="5"/>
  <c r="K261" i="5"/>
  <c r="L261" i="5" s="1"/>
  <c r="M261" i="5" s="1"/>
  <c r="N261" i="5" s="1"/>
  <c r="J261" i="5"/>
  <c r="G261" i="5"/>
  <c r="P261" i="5" s="1"/>
  <c r="F261" i="5"/>
  <c r="E261" i="5"/>
  <c r="V261" i="5" s="1"/>
  <c r="W261" i="5" s="1"/>
  <c r="D261" i="5"/>
  <c r="S261" i="5" s="1"/>
  <c r="AB261" i="5" s="1"/>
  <c r="C261" i="5"/>
  <c r="B261" i="5"/>
  <c r="O260" i="5"/>
  <c r="K260" i="5"/>
  <c r="L260" i="5" s="1"/>
  <c r="M260" i="5" s="1"/>
  <c r="N260" i="5" s="1"/>
  <c r="J260" i="5"/>
  <c r="G260" i="5"/>
  <c r="H260" i="5" s="1"/>
  <c r="F260" i="5"/>
  <c r="E260" i="5"/>
  <c r="D260" i="5"/>
  <c r="S260" i="5" s="1"/>
  <c r="AB260" i="5" s="1"/>
  <c r="C260" i="5"/>
  <c r="B260" i="5"/>
  <c r="O259" i="5"/>
  <c r="K259" i="5"/>
  <c r="L259" i="5" s="1"/>
  <c r="M259" i="5" s="1"/>
  <c r="N259" i="5" s="1"/>
  <c r="J259" i="5"/>
  <c r="G259" i="5"/>
  <c r="H259" i="5" s="1"/>
  <c r="F259" i="5"/>
  <c r="E259" i="5"/>
  <c r="V259" i="5" s="1"/>
  <c r="W259" i="5" s="1"/>
  <c r="D259" i="5"/>
  <c r="S259" i="5" s="1"/>
  <c r="AB259" i="5" s="1"/>
  <c r="C259" i="5"/>
  <c r="B259" i="5"/>
  <c r="O258" i="5"/>
  <c r="K258" i="5"/>
  <c r="L258" i="5" s="1"/>
  <c r="M258" i="5" s="1"/>
  <c r="N258" i="5" s="1"/>
  <c r="J258" i="5"/>
  <c r="G258" i="5"/>
  <c r="H258" i="5" s="1"/>
  <c r="F258" i="5"/>
  <c r="E258" i="5"/>
  <c r="V258" i="5" s="1"/>
  <c r="W258" i="5" s="1"/>
  <c r="D258" i="5"/>
  <c r="S258" i="5" s="1"/>
  <c r="AB258" i="5" s="1"/>
  <c r="C258" i="5"/>
  <c r="B258" i="5"/>
  <c r="O257" i="5"/>
  <c r="K257" i="5"/>
  <c r="L257" i="5" s="1"/>
  <c r="M257" i="5" s="1"/>
  <c r="N257" i="5" s="1"/>
  <c r="J257" i="5"/>
  <c r="G257" i="5"/>
  <c r="H257" i="5" s="1"/>
  <c r="F257" i="5"/>
  <c r="E257" i="5"/>
  <c r="V257" i="5" s="1"/>
  <c r="W257" i="5" s="1"/>
  <c r="D257" i="5"/>
  <c r="S257" i="5" s="1"/>
  <c r="AB257" i="5" s="1"/>
  <c r="C257" i="5"/>
  <c r="B257" i="5"/>
  <c r="O256" i="5"/>
  <c r="K256" i="5"/>
  <c r="L256" i="5" s="1"/>
  <c r="M256" i="5" s="1"/>
  <c r="N256" i="5" s="1"/>
  <c r="J256" i="5"/>
  <c r="G256" i="5"/>
  <c r="P256" i="5" s="1"/>
  <c r="F256" i="5"/>
  <c r="E256" i="5"/>
  <c r="V256" i="5" s="1"/>
  <c r="W256" i="5" s="1"/>
  <c r="D256" i="5"/>
  <c r="C256" i="5"/>
  <c r="B256" i="5"/>
  <c r="O255" i="5"/>
  <c r="K255" i="5"/>
  <c r="L255" i="5" s="1"/>
  <c r="M255" i="5" s="1"/>
  <c r="N255" i="5" s="1"/>
  <c r="J255" i="5"/>
  <c r="G255" i="5"/>
  <c r="H255" i="5" s="1"/>
  <c r="F255" i="5"/>
  <c r="E255" i="5"/>
  <c r="V255" i="5" s="1"/>
  <c r="W255" i="5" s="1"/>
  <c r="D255" i="5"/>
  <c r="C255" i="5"/>
  <c r="B255" i="5"/>
  <c r="O254" i="5"/>
  <c r="K254" i="5"/>
  <c r="L254" i="5" s="1"/>
  <c r="M254" i="5" s="1"/>
  <c r="N254" i="5" s="1"/>
  <c r="J254" i="5"/>
  <c r="G254" i="5"/>
  <c r="P254" i="5" s="1"/>
  <c r="F254" i="5"/>
  <c r="E254" i="5"/>
  <c r="V254" i="5" s="1"/>
  <c r="W254" i="5" s="1"/>
  <c r="D254" i="5"/>
  <c r="S254" i="5" s="1"/>
  <c r="AB254" i="5" s="1"/>
  <c r="C254" i="5"/>
  <c r="B254" i="5"/>
  <c r="O253" i="5"/>
  <c r="K253" i="5"/>
  <c r="L253" i="5" s="1"/>
  <c r="M253" i="5" s="1"/>
  <c r="N253" i="5" s="1"/>
  <c r="J253" i="5"/>
  <c r="G253" i="5"/>
  <c r="H253" i="5" s="1"/>
  <c r="F253" i="5"/>
  <c r="E253" i="5"/>
  <c r="V253" i="5" s="1"/>
  <c r="W253" i="5" s="1"/>
  <c r="D253" i="5"/>
  <c r="S253" i="5" s="1"/>
  <c r="AB253" i="5" s="1"/>
  <c r="C253" i="5"/>
  <c r="B253" i="5"/>
  <c r="Z253" i="5" s="1"/>
  <c r="O252" i="5"/>
  <c r="K252" i="5"/>
  <c r="L252" i="5" s="1"/>
  <c r="M252" i="5" s="1"/>
  <c r="N252" i="5" s="1"/>
  <c r="J252" i="5"/>
  <c r="G252" i="5"/>
  <c r="H252" i="5" s="1"/>
  <c r="F252" i="5"/>
  <c r="E252" i="5"/>
  <c r="D252" i="5"/>
  <c r="S252" i="5" s="1"/>
  <c r="AB252" i="5" s="1"/>
  <c r="C252" i="5"/>
  <c r="B252" i="5"/>
  <c r="O251" i="5"/>
  <c r="K251" i="5"/>
  <c r="L251" i="5" s="1"/>
  <c r="M251" i="5" s="1"/>
  <c r="N251" i="5" s="1"/>
  <c r="J251" i="5"/>
  <c r="G251" i="5"/>
  <c r="H251" i="5" s="1"/>
  <c r="F251" i="5"/>
  <c r="E251" i="5"/>
  <c r="V251" i="5" s="1"/>
  <c r="W251" i="5" s="1"/>
  <c r="D251" i="5"/>
  <c r="S251" i="5" s="1"/>
  <c r="AB251" i="5" s="1"/>
  <c r="C251" i="5"/>
  <c r="B251" i="5"/>
  <c r="O250" i="5"/>
  <c r="K250" i="5"/>
  <c r="L250" i="5" s="1"/>
  <c r="M250" i="5" s="1"/>
  <c r="N250" i="5" s="1"/>
  <c r="J250" i="5"/>
  <c r="G250" i="5"/>
  <c r="H250" i="5" s="1"/>
  <c r="F250" i="5"/>
  <c r="E250" i="5"/>
  <c r="V250" i="5" s="1"/>
  <c r="W250" i="5" s="1"/>
  <c r="D250" i="5"/>
  <c r="S250" i="5" s="1"/>
  <c r="AB250" i="5" s="1"/>
  <c r="C250" i="5"/>
  <c r="B250" i="5"/>
  <c r="O249" i="5"/>
  <c r="K249" i="5"/>
  <c r="L249" i="5" s="1"/>
  <c r="M249" i="5" s="1"/>
  <c r="N249" i="5" s="1"/>
  <c r="J249" i="5"/>
  <c r="G249" i="5"/>
  <c r="H249" i="5" s="1"/>
  <c r="F249" i="5"/>
  <c r="E249" i="5"/>
  <c r="V249" i="5" s="1"/>
  <c r="W249" i="5" s="1"/>
  <c r="D249" i="5"/>
  <c r="S249" i="5" s="1"/>
  <c r="AB249" i="5" s="1"/>
  <c r="C249" i="5"/>
  <c r="B249" i="5"/>
  <c r="O248" i="5"/>
  <c r="K248" i="5"/>
  <c r="L248" i="5" s="1"/>
  <c r="M248" i="5" s="1"/>
  <c r="N248" i="5" s="1"/>
  <c r="J248" i="5"/>
  <c r="G248" i="5"/>
  <c r="P248" i="5" s="1"/>
  <c r="F248" i="5"/>
  <c r="E248" i="5"/>
  <c r="V248" i="5" s="1"/>
  <c r="W248" i="5" s="1"/>
  <c r="D248" i="5"/>
  <c r="S248" i="5" s="1"/>
  <c r="AB248" i="5" s="1"/>
  <c r="C248" i="5"/>
  <c r="B248" i="5"/>
  <c r="O247" i="5"/>
  <c r="K247" i="5"/>
  <c r="L247" i="5" s="1"/>
  <c r="M247" i="5" s="1"/>
  <c r="N247" i="5" s="1"/>
  <c r="J247" i="5"/>
  <c r="G247" i="5"/>
  <c r="P247" i="5" s="1"/>
  <c r="F247" i="5"/>
  <c r="E247" i="5"/>
  <c r="V247" i="5" s="1"/>
  <c r="W247" i="5" s="1"/>
  <c r="D247" i="5"/>
  <c r="S247" i="5" s="1"/>
  <c r="AB247" i="5" s="1"/>
  <c r="C247" i="5"/>
  <c r="B247" i="5"/>
  <c r="O246" i="5"/>
  <c r="K246" i="5"/>
  <c r="L246" i="5" s="1"/>
  <c r="M246" i="5" s="1"/>
  <c r="N246" i="5" s="1"/>
  <c r="J246" i="5"/>
  <c r="G246" i="5"/>
  <c r="P246" i="5" s="1"/>
  <c r="F246" i="5"/>
  <c r="E246" i="5"/>
  <c r="V246" i="5" s="1"/>
  <c r="W246" i="5" s="1"/>
  <c r="D246" i="5"/>
  <c r="S246" i="5" s="1"/>
  <c r="AB246" i="5" s="1"/>
  <c r="C246" i="5"/>
  <c r="B246" i="5"/>
  <c r="O245" i="5"/>
  <c r="K245" i="5"/>
  <c r="L245" i="5" s="1"/>
  <c r="M245" i="5" s="1"/>
  <c r="N245" i="5" s="1"/>
  <c r="J245" i="5"/>
  <c r="G245" i="5"/>
  <c r="H245" i="5" s="1"/>
  <c r="F245" i="5"/>
  <c r="E245" i="5"/>
  <c r="V245" i="5" s="1"/>
  <c r="W245" i="5" s="1"/>
  <c r="D245" i="5"/>
  <c r="S245" i="5" s="1"/>
  <c r="AB245" i="5" s="1"/>
  <c r="C245" i="5"/>
  <c r="B245" i="5"/>
  <c r="O244" i="5"/>
  <c r="K244" i="5"/>
  <c r="L244" i="5" s="1"/>
  <c r="M244" i="5" s="1"/>
  <c r="N244" i="5" s="1"/>
  <c r="J244" i="5"/>
  <c r="G244" i="5"/>
  <c r="P244" i="5" s="1"/>
  <c r="F244" i="5"/>
  <c r="E244" i="5"/>
  <c r="D244" i="5"/>
  <c r="S244" i="5" s="1"/>
  <c r="AB244" i="5" s="1"/>
  <c r="C244" i="5"/>
  <c r="B244" i="5"/>
  <c r="O243" i="5"/>
  <c r="K243" i="5"/>
  <c r="L243" i="5" s="1"/>
  <c r="M243" i="5" s="1"/>
  <c r="N243" i="5" s="1"/>
  <c r="J243" i="5"/>
  <c r="G243" i="5"/>
  <c r="P243" i="5" s="1"/>
  <c r="F243" i="5"/>
  <c r="E243" i="5"/>
  <c r="V243" i="5" s="1"/>
  <c r="W243" i="5" s="1"/>
  <c r="D243" i="5"/>
  <c r="S243" i="5" s="1"/>
  <c r="AB243" i="5" s="1"/>
  <c r="C243" i="5"/>
  <c r="B243" i="5"/>
  <c r="O242" i="5"/>
  <c r="K242" i="5"/>
  <c r="L242" i="5" s="1"/>
  <c r="M242" i="5" s="1"/>
  <c r="N242" i="5" s="1"/>
  <c r="J242" i="5"/>
  <c r="G242" i="5"/>
  <c r="P242" i="5" s="1"/>
  <c r="F242" i="5"/>
  <c r="E242" i="5"/>
  <c r="V242" i="5" s="1"/>
  <c r="W242" i="5" s="1"/>
  <c r="D242" i="5"/>
  <c r="S242" i="5" s="1"/>
  <c r="AB242" i="5" s="1"/>
  <c r="C242" i="5"/>
  <c r="B242" i="5"/>
  <c r="O241" i="5"/>
  <c r="K241" i="5"/>
  <c r="L241" i="5" s="1"/>
  <c r="M241" i="5" s="1"/>
  <c r="N241" i="5" s="1"/>
  <c r="J241" i="5"/>
  <c r="G241" i="5"/>
  <c r="P241" i="5" s="1"/>
  <c r="F241" i="5"/>
  <c r="E241" i="5"/>
  <c r="V241" i="5" s="1"/>
  <c r="W241" i="5" s="1"/>
  <c r="D241" i="5"/>
  <c r="S241" i="5" s="1"/>
  <c r="AB241" i="5" s="1"/>
  <c r="C241" i="5"/>
  <c r="B241" i="5"/>
  <c r="O240" i="5"/>
  <c r="K240" i="5"/>
  <c r="L240" i="5" s="1"/>
  <c r="M240" i="5" s="1"/>
  <c r="N240" i="5" s="1"/>
  <c r="J240" i="5"/>
  <c r="G240" i="5"/>
  <c r="P240" i="5" s="1"/>
  <c r="F240" i="5"/>
  <c r="E240" i="5"/>
  <c r="D240" i="5"/>
  <c r="S240" i="5" s="1"/>
  <c r="AB240" i="5" s="1"/>
  <c r="C240" i="5"/>
  <c r="B240" i="5"/>
  <c r="O239" i="5"/>
  <c r="K239" i="5"/>
  <c r="L239" i="5" s="1"/>
  <c r="M239" i="5" s="1"/>
  <c r="N239" i="5" s="1"/>
  <c r="J239" i="5"/>
  <c r="G239" i="5"/>
  <c r="H239" i="5" s="1"/>
  <c r="F239" i="5"/>
  <c r="E239" i="5"/>
  <c r="V239" i="5" s="1"/>
  <c r="W239" i="5" s="1"/>
  <c r="D239" i="5"/>
  <c r="Q239" i="5" s="1"/>
  <c r="C239" i="5"/>
  <c r="B239" i="5"/>
  <c r="O238" i="5"/>
  <c r="K238" i="5"/>
  <c r="L238" i="5" s="1"/>
  <c r="M238" i="5" s="1"/>
  <c r="N238" i="5" s="1"/>
  <c r="J238" i="5"/>
  <c r="G238" i="5"/>
  <c r="P238" i="5" s="1"/>
  <c r="F238" i="5"/>
  <c r="E238" i="5"/>
  <c r="V238" i="5" s="1"/>
  <c r="W238" i="5" s="1"/>
  <c r="D238" i="5"/>
  <c r="S238" i="5" s="1"/>
  <c r="AB238" i="5" s="1"/>
  <c r="C238" i="5"/>
  <c r="B238" i="5"/>
  <c r="O237" i="5"/>
  <c r="K237" i="5"/>
  <c r="L237" i="5" s="1"/>
  <c r="M237" i="5" s="1"/>
  <c r="N237" i="5" s="1"/>
  <c r="J237" i="5"/>
  <c r="G237" i="5"/>
  <c r="P237" i="5" s="1"/>
  <c r="F237" i="5"/>
  <c r="E237" i="5"/>
  <c r="V237" i="5" s="1"/>
  <c r="W237" i="5" s="1"/>
  <c r="D237" i="5"/>
  <c r="S237" i="5" s="1"/>
  <c r="AB237" i="5" s="1"/>
  <c r="C237" i="5"/>
  <c r="B237" i="5"/>
  <c r="O236" i="5"/>
  <c r="K236" i="5"/>
  <c r="L236" i="5" s="1"/>
  <c r="M236" i="5" s="1"/>
  <c r="N236" i="5" s="1"/>
  <c r="J236" i="5"/>
  <c r="G236" i="5"/>
  <c r="P236" i="5" s="1"/>
  <c r="F236" i="5"/>
  <c r="E236" i="5"/>
  <c r="D236" i="5"/>
  <c r="Q236" i="5" s="1"/>
  <c r="C236" i="5"/>
  <c r="B236" i="5"/>
  <c r="O235" i="5"/>
  <c r="K235" i="5"/>
  <c r="L235" i="5" s="1"/>
  <c r="M235" i="5" s="1"/>
  <c r="N235" i="5" s="1"/>
  <c r="J235" i="5"/>
  <c r="G235" i="5"/>
  <c r="P235" i="5" s="1"/>
  <c r="F235" i="5"/>
  <c r="E235" i="5"/>
  <c r="V235" i="5" s="1"/>
  <c r="W235" i="5" s="1"/>
  <c r="D235" i="5"/>
  <c r="S235" i="5" s="1"/>
  <c r="AB235" i="5" s="1"/>
  <c r="C235" i="5"/>
  <c r="B235" i="5"/>
  <c r="O234" i="5"/>
  <c r="K234" i="5"/>
  <c r="L234" i="5" s="1"/>
  <c r="M234" i="5" s="1"/>
  <c r="N234" i="5" s="1"/>
  <c r="J234" i="5"/>
  <c r="G234" i="5"/>
  <c r="P234" i="5" s="1"/>
  <c r="F234" i="5"/>
  <c r="E234" i="5"/>
  <c r="V234" i="5" s="1"/>
  <c r="W234" i="5" s="1"/>
  <c r="D234" i="5"/>
  <c r="S234" i="5" s="1"/>
  <c r="AB234" i="5" s="1"/>
  <c r="C234" i="5"/>
  <c r="B234" i="5"/>
  <c r="O233" i="5"/>
  <c r="K233" i="5"/>
  <c r="L233" i="5" s="1"/>
  <c r="M233" i="5" s="1"/>
  <c r="N233" i="5" s="1"/>
  <c r="J233" i="5"/>
  <c r="G233" i="5"/>
  <c r="H233" i="5" s="1"/>
  <c r="F233" i="5"/>
  <c r="E233" i="5"/>
  <c r="V233" i="5" s="1"/>
  <c r="W233" i="5" s="1"/>
  <c r="D233" i="5"/>
  <c r="S233" i="5" s="1"/>
  <c r="AB233" i="5" s="1"/>
  <c r="C233" i="5"/>
  <c r="B233" i="5"/>
  <c r="O232" i="5"/>
  <c r="K232" i="5"/>
  <c r="L232" i="5" s="1"/>
  <c r="M232" i="5" s="1"/>
  <c r="N232" i="5" s="1"/>
  <c r="J232" i="5"/>
  <c r="G232" i="5"/>
  <c r="P232" i="5" s="1"/>
  <c r="F232" i="5"/>
  <c r="E232" i="5"/>
  <c r="V232" i="5" s="1"/>
  <c r="W232" i="5" s="1"/>
  <c r="D232" i="5"/>
  <c r="S232" i="5" s="1"/>
  <c r="AB232" i="5" s="1"/>
  <c r="C232" i="5"/>
  <c r="B232" i="5"/>
  <c r="O231" i="5"/>
  <c r="K231" i="5"/>
  <c r="L231" i="5" s="1"/>
  <c r="M231" i="5" s="1"/>
  <c r="N231" i="5" s="1"/>
  <c r="J231" i="5"/>
  <c r="G231" i="5"/>
  <c r="H231" i="5" s="1"/>
  <c r="F231" i="5"/>
  <c r="E231" i="5"/>
  <c r="V231" i="5" s="1"/>
  <c r="W231" i="5" s="1"/>
  <c r="D231" i="5"/>
  <c r="S231" i="5" s="1"/>
  <c r="AB231" i="5" s="1"/>
  <c r="C231" i="5"/>
  <c r="B231" i="5"/>
  <c r="O230" i="5"/>
  <c r="K230" i="5"/>
  <c r="L230" i="5" s="1"/>
  <c r="M230" i="5" s="1"/>
  <c r="N230" i="5" s="1"/>
  <c r="J230" i="5"/>
  <c r="G230" i="5"/>
  <c r="H230" i="5" s="1"/>
  <c r="F230" i="5"/>
  <c r="E230" i="5"/>
  <c r="V230" i="5" s="1"/>
  <c r="W230" i="5" s="1"/>
  <c r="D230" i="5"/>
  <c r="S230" i="5" s="1"/>
  <c r="AB230" i="5" s="1"/>
  <c r="C230" i="5"/>
  <c r="B230" i="5"/>
  <c r="O229" i="5"/>
  <c r="K229" i="5"/>
  <c r="L229" i="5" s="1"/>
  <c r="M229" i="5" s="1"/>
  <c r="N229" i="5" s="1"/>
  <c r="J229" i="5"/>
  <c r="G229" i="5"/>
  <c r="H229" i="5" s="1"/>
  <c r="F229" i="5"/>
  <c r="E229" i="5"/>
  <c r="V229" i="5" s="1"/>
  <c r="W229" i="5" s="1"/>
  <c r="D229" i="5"/>
  <c r="S229" i="5" s="1"/>
  <c r="AB229" i="5" s="1"/>
  <c r="C229" i="5"/>
  <c r="B229" i="5"/>
  <c r="O228" i="5"/>
  <c r="K228" i="5"/>
  <c r="L228" i="5" s="1"/>
  <c r="M228" i="5" s="1"/>
  <c r="N228" i="5" s="1"/>
  <c r="J228" i="5"/>
  <c r="G228" i="5"/>
  <c r="P228" i="5" s="1"/>
  <c r="F228" i="5"/>
  <c r="E228" i="5"/>
  <c r="D228" i="5"/>
  <c r="S228" i="5" s="1"/>
  <c r="AB228" i="5" s="1"/>
  <c r="C228" i="5"/>
  <c r="B228" i="5"/>
  <c r="Z228" i="5" s="1"/>
  <c r="O227" i="5"/>
  <c r="K227" i="5"/>
  <c r="L227" i="5" s="1"/>
  <c r="M227" i="5" s="1"/>
  <c r="N227" i="5" s="1"/>
  <c r="J227" i="5"/>
  <c r="G227" i="5"/>
  <c r="P227" i="5" s="1"/>
  <c r="F227" i="5"/>
  <c r="E227" i="5"/>
  <c r="V227" i="5" s="1"/>
  <c r="W227" i="5" s="1"/>
  <c r="D227" i="5"/>
  <c r="S227" i="5" s="1"/>
  <c r="AB227" i="5" s="1"/>
  <c r="C227" i="5"/>
  <c r="B227" i="5"/>
  <c r="O226" i="5"/>
  <c r="K226" i="5"/>
  <c r="L226" i="5" s="1"/>
  <c r="M226" i="5" s="1"/>
  <c r="N226" i="5" s="1"/>
  <c r="J226" i="5"/>
  <c r="G226" i="5"/>
  <c r="P226" i="5" s="1"/>
  <c r="F226" i="5"/>
  <c r="E226" i="5"/>
  <c r="V226" i="5" s="1"/>
  <c r="W226" i="5" s="1"/>
  <c r="D226" i="5"/>
  <c r="S226" i="5" s="1"/>
  <c r="AB226" i="5" s="1"/>
  <c r="C226" i="5"/>
  <c r="B226" i="5"/>
  <c r="O225" i="5"/>
  <c r="K225" i="5"/>
  <c r="L225" i="5" s="1"/>
  <c r="M225" i="5" s="1"/>
  <c r="N225" i="5" s="1"/>
  <c r="J225" i="5"/>
  <c r="G225" i="5"/>
  <c r="P225" i="5" s="1"/>
  <c r="F225" i="5"/>
  <c r="E225" i="5"/>
  <c r="V225" i="5" s="1"/>
  <c r="W225" i="5" s="1"/>
  <c r="D225" i="5"/>
  <c r="S225" i="5" s="1"/>
  <c r="AB225" i="5" s="1"/>
  <c r="C225" i="5"/>
  <c r="B225" i="5"/>
  <c r="O224" i="5"/>
  <c r="K224" i="5"/>
  <c r="L224" i="5" s="1"/>
  <c r="M224" i="5" s="1"/>
  <c r="N224" i="5" s="1"/>
  <c r="J224" i="5"/>
  <c r="G224" i="5"/>
  <c r="H224" i="5" s="1"/>
  <c r="F224" i="5"/>
  <c r="E224" i="5"/>
  <c r="V224" i="5" s="1"/>
  <c r="W224" i="5" s="1"/>
  <c r="D224" i="5"/>
  <c r="S224" i="5" s="1"/>
  <c r="AB224" i="5" s="1"/>
  <c r="C224" i="5"/>
  <c r="B224" i="5"/>
  <c r="O223" i="5"/>
  <c r="K223" i="5"/>
  <c r="L223" i="5" s="1"/>
  <c r="M223" i="5" s="1"/>
  <c r="N223" i="5" s="1"/>
  <c r="J223" i="5"/>
  <c r="G223" i="5"/>
  <c r="P223" i="5" s="1"/>
  <c r="F223" i="5"/>
  <c r="E223" i="5"/>
  <c r="V223" i="5" s="1"/>
  <c r="W223" i="5" s="1"/>
  <c r="D223" i="5"/>
  <c r="Q223" i="5" s="1"/>
  <c r="C223" i="5"/>
  <c r="B223" i="5"/>
  <c r="O222" i="5"/>
  <c r="K222" i="5"/>
  <c r="L222" i="5" s="1"/>
  <c r="M222" i="5" s="1"/>
  <c r="N222" i="5" s="1"/>
  <c r="J222" i="5"/>
  <c r="G222" i="5"/>
  <c r="H222" i="5" s="1"/>
  <c r="F222" i="5"/>
  <c r="E222" i="5"/>
  <c r="V222" i="5" s="1"/>
  <c r="W222" i="5" s="1"/>
  <c r="D222" i="5"/>
  <c r="S222" i="5" s="1"/>
  <c r="AB222" i="5" s="1"/>
  <c r="C222" i="5"/>
  <c r="B222" i="5"/>
  <c r="O221" i="5"/>
  <c r="K221" i="5"/>
  <c r="L221" i="5" s="1"/>
  <c r="M221" i="5" s="1"/>
  <c r="N221" i="5" s="1"/>
  <c r="J221" i="5"/>
  <c r="G221" i="5"/>
  <c r="P221" i="5" s="1"/>
  <c r="F221" i="5"/>
  <c r="E221" i="5"/>
  <c r="V221" i="5" s="1"/>
  <c r="W221" i="5" s="1"/>
  <c r="D221" i="5"/>
  <c r="S221" i="5" s="1"/>
  <c r="AB221" i="5" s="1"/>
  <c r="C221" i="5"/>
  <c r="B221" i="5"/>
  <c r="O220" i="5"/>
  <c r="K220" i="5"/>
  <c r="L220" i="5" s="1"/>
  <c r="M220" i="5" s="1"/>
  <c r="N220" i="5" s="1"/>
  <c r="J220" i="5"/>
  <c r="G220" i="5"/>
  <c r="P220" i="5" s="1"/>
  <c r="F220" i="5"/>
  <c r="E220" i="5"/>
  <c r="D220" i="5"/>
  <c r="Q220" i="5" s="1"/>
  <c r="C220" i="5"/>
  <c r="B220" i="5"/>
  <c r="O219" i="5"/>
  <c r="K219" i="5"/>
  <c r="L219" i="5" s="1"/>
  <c r="M219" i="5" s="1"/>
  <c r="N219" i="5" s="1"/>
  <c r="J219" i="5"/>
  <c r="G219" i="5"/>
  <c r="P219" i="5" s="1"/>
  <c r="F219" i="5"/>
  <c r="E219" i="5"/>
  <c r="V219" i="5" s="1"/>
  <c r="W219" i="5" s="1"/>
  <c r="D219" i="5"/>
  <c r="S219" i="5" s="1"/>
  <c r="AB219" i="5" s="1"/>
  <c r="C219" i="5"/>
  <c r="B219" i="5"/>
  <c r="O218" i="5"/>
  <c r="K218" i="5"/>
  <c r="L218" i="5" s="1"/>
  <c r="M218" i="5" s="1"/>
  <c r="N218" i="5" s="1"/>
  <c r="J218" i="5"/>
  <c r="G218" i="5"/>
  <c r="P218" i="5" s="1"/>
  <c r="F218" i="5"/>
  <c r="E218" i="5"/>
  <c r="V218" i="5" s="1"/>
  <c r="W218" i="5" s="1"/>
  <c r="D218" i="5"/>
  <c r="S218" i="5" s="1"/>
  <c r="AB218" i="5" s="1"/>
  <c r="C218" i="5"/>
  <c r="B218" i="5"/>
  <c r="O217" i="5"/>
  <c r="K217" i="5"/>
  <c r="L217" i="5" s="1"/>
  <c r="M217" i="5" s="1"/>
  <c r="N217" i="5" s="1"/>
  <c r="J217" i="5"/>
  <c r="G217" i="5"/>
  <c r="H217" i="5" s="1"/>
  <c r="F217" i="5"/>
  <c r="E217" i="5"/>
  <c r="V217" i="5" s="1"/>
  <c r="W217" i="5" s="1"/>
  <c r="D217" i="5"/>
  <c r="S217" i="5" s="1"/>
  <c r="AB217" i="5" s="1"/>
  <c r="C217" i="5"/>
  <c r="B217" i="5"/>
  <c r="O216" i="5"/>
  <c r="K216" i="5"/>
  <c r="L216" i="5" s="1"/>
  <c r="M216" i="5" s="1"/>
  <c r="N216" i="5" s="1"/>
  <c r="J216" i="5"/>
  <c r="G216" i="5"/>
  <c r="H216" i="5" s="1"/>
  <c r="F216" i="5"/>
  <c r="E216" i="5"/>
  <c r="V216" i="5" s="1"/>
  <c r="W216" i="5" s="1"/>
  <c r="D216" i="5"/>
  <c r="S216" i="5" s="1"/>
  <c r="AB216" i="5" s="1"/>
  <c r="C216" i="5"/>
  <c r="B216" i="5"/>
  <c r="O215" i="5"/>
  <c r="K215" i="5"/>
  <c r="L215" i="5" s="1"/>
  <c r="M215" i="5" s="1"/>
  <c r="N215" i="5" s="1"/>
  <c r="J215" i="5"/>
  <c r="G215" i="5"/>
  <c r="H215" i="5" s="1"/>
  <c r="F215" i="5"/>
  <c r="E215" i="5"/>
  <c r="V215" i="5" s="1"/>
  <c r="W215" i="5" s="1"/>
  <c r="D215" i="5"/>
  <c r="S215" i="5" s="1"/>
  <c r="AB215" i="5" s="1"/>
  <c r="C215" i="5"/>
  <c r="B215" i="5"/>
  <c r="O214" i="5"/>
  <c r="K214" i="5"/>
  <c r="L214" i="5" s="1"/>
  <c r="M214" i="5" s="1"/>
  <c r="N214" i="5" s="1"/>
  <c r="J214" i="5"/>
  <c r="G214" i="5"/>
  <c r="P214" i="5" s="1"/>
  <c r="F214" i="5"/>
  <c r="E214" i="5"/>
  <c r="V214" i="5" s="1"/>
  <c r="W214" i="5" s="1"/>
  <c r="D214" i="5"/>
  <c r="S214" i="5" s="1"/>
  <c r="AB214" i="5" s="1"/>
  <c r="C214" i="5"/>
  <c r="B214" i="5"/>
  <c r="O213" i="5"/>
  <c r="K213" i="5"/>
  <c r="L213" i="5" s="1"/>
  <c r="M213" i="5" s="1"/>
  <c r="N213" i="5" s="1"/>
  <c r="J213" i="5"/>
  <c r="G213" i="5"/>
  <c r="H213" i="5" s="1"/>
  <c r="F213" i="5"/>
  <c r="E213" i="5"/>
  <c r="V213" i="5" s="1"/>
  <c r="W213" i="5" s="1"/>
  <c r="D213" i="5"/>
  <c r="S213" i="5" s="1"/>
  <c r="AB213" i="5" s="1"/>
  <c r="C213" i="5"/>
  <c r="B213" i="5"/>
  <c r="O212" i="5"/>
  <c r="K212" i="5"/>
  <c r="L212" i="5" s="1"/>
  <c r="M212" i="5" s="1"/>
  <c r="N212" i="5" s="1"/>
  <c r="J212" i="5"/>
  <c r="G212" i="5"/>
  <c r="H212" i="5" s="1"/>
  <c r="F212" i="5"/>
  <c r="E212" i="5"/>
  <c r="D212" i="5"/>
  <c r="S212" i="5" s="1"/>
  <c r="AB212" i="5" s="1"/>
  <c r="C212" i="5"/>
  <c r="B212" i="5"/>
  <c r="O211" i="5"/>
  <c r="K211" i="5"/>
  <c r="L211" i="5" s="1"/>
  <c r="M211" i="5" s="1"/>
  <c r="N211" i="5" s="1"/>
  <c r="J211" i="5"/>
  <c r="G211" i="5"/>
  <c r="P211" i="5" s="1"/>
  <c r="F211" i="5"/>
  <c r="E211" i="5"/>
  <c r="V211" i="5" s="1"/>
  <c r="W211" i="5" s="1"/>
  <c r="D211" i="5"/>
  <c r="S211" i="5" s="1"/>
  <c r="AB211" i="5" s="1"/>
  <c r="C211" i="5"/>
  <c r="B211" i="5"/>
  <c r="O210" i="5"/>
  <c r="K210" i="5"/>
  <c r="L210" i="5" s="1"/>
  <c r="M210" i="5" s="1"/>
  <c r="N210" i="5" s="1"/>
  <c r="J210" i="5"/>
  <c r="G210" i="5"/>
  <c r="P210" i="5" s="1"/>
  <c r="F210" i="5"/>
  <c r="E210" i="5"/>
  <c r="V210" i="5" s="1"/>
  <c r="W210" i="5" s="1"/>
  <c r="D210" i="5"/>
  <c r="S210" i="5" s="1"/>
  <c r="AB210" i="5" s="1"/>
  <c r="C210" i="5"/>
  <c r="B210" i="5"/>
  <c r="O209" i="5"/>
  <c r="K209" i="5"/>
  <c r="L209" i="5" s="1"/>
  <c r="M209" i="5" s="1"/>
  <c r="N209" i="5" s="1"/>
  <c r="J209" i="5"/>
  <c r="G209" i="5"/>
  <c r="P209" i="5" s="1"/>
  <c r="F209" i="5"/>
  <c r="E209" i="5"/>
  <c r="V209" i="5" s="1"/>
  <c r="W209" i="5" s="1"/>
  <c r="D209" i="5"/>
  <c r="S209" i="5" s="1"/>
  <c r="AB209" i="5" s="1"/>
  <c r="C209" i="5"/>
  <c r="B209" i="5"/>
  <c r="O208" i="5"/>
  <c r="K208" i="5"/>
  <c r="L208" i="5" s="1"/>
  <c r="M208" i="5" s="1"/>
  <c r="N208" i="5" s="1"/>
  <c r="J208" i="5"/>
  <c r="G208" i="5"/>
  <c r="H208" i="5" s="1"/>
  <c r="F208" i="5"/>
  <c r="E208" i="5"/>
  <c r="V208" i="5" s="1"/>
  <c r="W208" i="5" s="1"/>
  <c r="D208" i="5"/>
  <c r="S208" i="5" s="1"/>
  <c r="AB208" i="5" s="1"/>
  <c r="C208" i="5"/>
  <c r="B208" i="5"/>
  <c r="O207" i="5"/>
  <c r="K207" i="5"/>
  <c r="L207" i="5" s="1"/>
  <c r="M207" i="5" s="1"/>
  <c r="N207" i="5" s="1"/>
  <c r="J207" i="5"/>
  <c r="G207" i="5"/>
  <c r="P207" i="5" s="1"/>
  <c r="F207" i="5"/>
  <c r="E207" i="5"/>
  <c r="V207" i="5" s="1"/>
  <c r="W207" i="5" s="1"/>
  <c r="D207" i="5"/>
  <c r="S207" i="5" s="1"/>
  <c r="AB207" i="5" s="1"/>
  <c r="C207" i="5"/>
  <c r="B207" i="5"/>
  <c r="O206" i="5"/>
  <c r="K206" i="5"/>
  <c r="L206" i="5" s="1"/>
  <c r="M206" i="5" s="1"/>
  <c r="N206" i="5" s="1"/>
  <c r="J206" i="5"/>
  <c r="G206" i="5"/>
  <c r="H206" i="5" s="1"/>
  <c r="F206" i="5"/>
  <c r="E206" i="5"/>
  <c r="V206" i="5" s="1"/>
  <c r="W206" i="5" s="1"/>
  <c r="D206" i="5"/>
  <c r="S206" i="5" s="1"/>
  <c r="AB206" i="5" s="1"/>
  <c r="C206" i="5"/>
  <c r="B206" i="5"/>
  <c r="O205" i="5"/>
  <c r="K205" i="5"/>
  <c r="L205" i="5" s="1"/>
  <c r="M205" i="5" s="1"/>
  <c r="N205" i="5" s="1"/>
  <c r="J205" i="5"/>
  <c r="G205" i="5"/>
  <c r="H205" i="5" s="1"/>
  <c r="F205" i="5"/>
  <c r="E205" i="5"/>
  <c r="V205" i="5" s="1"/>
  <c r="W205" i="5" s="1"/>
  <c r="D205" i="5"/>
  <c r="S205" i="5" s="1"/>
  <c r="AB205" i="5" s="1"/>
  <c r="C205" i="5"/>
  <c r="B205" i="5"/>
  <c r="O204" i="5"/>
  <c r="K204" i="5"/>
  <c r="L204" i="5" s="1"/>
  <c r="M204" i="5" s="1"/>
  <c r="N204" i="5" s="1"/>
  <c r="J204" i="5"/>
  <c r="G204" i="5"/>
  <c r="H204" i="5" s="1"/>
  <c r="F204" i="5"/>
  <c r="E204" i="5"/>
  <c r="D204" i="5"/>
  <c r="Q204" i="5" s="1"/>
  <c r="C204" i="5"/>
  <c r="B204" i="5"/>
  <c r="Z204" i="5" s="1"/>
  <c r="O203" i="5"/>
  <c r="K203" i="5"/>
  <c r="L203" i="5" s="1"/>
  <c r="M203" i="5" s="1"/>
  <c r="N203" i="5" s="1"/>
  <c r="J203" i="5"/>
  <c r="G203" i="5"/>
  <c r="P203" i="5" s="1"/>
  <c r="F203" i="5"/>
  <c r="E203" i="5"/>
  <c r="V203" i="5" s="1"/>
  <c r="W203" i="5" s="1"/>
  <c r="D203" i="5"/>
  <c r="C203" i="5"/>
  <c r="B203" i="5"/>
  <c r="O202" i="5"/>
  <c r="K202" i="5"/>
  <c r="L202" i="5" s="1"/>
  <c r="M202" i="5" s="1"/>
  <c r="N202" i="5" s="1"/>
  <c r="J202" i="5"/>
  <c r="G202" i="5"/>
  <c r="H202" i="5" s="1"/>
  <c r="F202" i="5"/>
  <c r="E202" i="5"/>
  <c r="V202" i="5" s="1"/>
  <c r="W202" i="5" s="1"/>
  <c r="D202" i="5"/>
  <c r="S202" i="5" s="1"/>
  <c r="AB202" i="5" s="1"/>
  <c r="C202" i="5"/>
  <c r="B202" i="5"/>
  <c r="O201" i="5"/>
  <c r="K201" i="5"/>
  <c r="L201" i="5" s="1"/>
  <c r="M201" i="5" s="1"/>
  <c r="N201" i="5" s="1"/>
  <c r="J201" i="5"/>
  <c r="G201" i="5"/>
  <c r="H201" i="5" s="1"/>
  <c r="F201" i="5"/>
  <c r="E201" i="5"/>
  <c r="V201" i="5" s="1"/>
  <c r="W201" i="5" s="1"/>
  <c r="D201" i="5"/>
  <c r="S201" i="5" s="1"/>
  <c r="AB201" i="5" s="1"/>
  <c r="C201" i="5"/>
  <c r="B201" i="5"/>
  <c r="O200" i="5"/>
  <c r="K200" i="5"/>
  <c r="L200" i="5" s="1"/>
  <c r="M200" i="5" s="1"/>
  <c r="N200" i="5" s="1"/>
  <c r="J200" i="5"/>
  <c r="G200" i="5"/>
  <c r="H200" i="5" s="1"/>
  <c r="F200" i="5"/>
  <c r="E200" i="5"/>
  <c r="V200" i="5" s="1"/>
  <c r="W200" i="5" s="1"/>
  <c r="D200" i="5"/>
  <c r="S200" i="5" s="1"/>
  <c r="AB200" i="5" s="1"/>
  <c r="C200" i="5"/>
  <c r="B200" i="5"/>
  <c r="O199" i="5"/>
  <c r="K199" i="5"/>
  <c r="L199" i="5" s="1"/>
  <c r="M199" i="5" s="1"/>
  <c r="N199" i="5" s="1"/>
  <c r="J199" i="5"/>
  <c r="G199" i="5"/>
  <c r="P199" i="5" s="1"/>
  <c r="F199" i="5"/>
  <c r="E199" i="5"/>
  <c r="V199" i="5" s="1"/>
  <c r="W199" i="5" s="1"/>
  <c r="D199" i="5"/>
  <c r="S199" i="5" s="1"/>
  <c r="AB199" i="5" s="1"/>
  <c r="C199" i="5"/>
  <c r="B199" i="5"/>
  <c r="O198" i="5"/>
  <c r="K198" i="5"/>
  <c r="L198" i="5" s="1"/>
  <c r="M198" i="5" s="1"/>
  <c r="N198" i="5" s="1"/>
  <c r="J198" i="5"/>
  <c r="G198" i="5"/>
  <c r="P198" i="5" s="1"/>
  <c r="F198" i="5"/>
  <c r="E198" i="5"/>
  <c r="V198" i="5" s="1"/>
  <c r="W198" i="5" s="1"/>
  <c r="D198" i="5"/>
  <c r="S198" i="5" s="1"/>
  <c r="AB198" i="5" s="1"/>
  <c r="C198" i="5"/>
  <c r="B198" i="5"/>
  <c r="O197" i="5"/>
  <c r="K197" i="5"/>
  <c r="L197" i="5" s="1"/>
  <c r="M197" i="5" s="1"/>
  <c r="N197" i="5" s="1"/>
  <c r="J197" i="5"/>
  <c r="G197" i="5"/>
  <c r="F197" i="5"/>
  <c r="E197" i="5"/>
  <c r="V197" i="5" s="1"/>
  <c r="W197" i="5" s="1"/>
  <c r="D197" i="5"/>
  <c r="S197" i="5" s="1"/>
  <c r="AB197" i="5" s="1"/>
  <c r="C197" i="5"/>
  <c r="B197" i="5"/>
  <c r="O196" i="5"/>
  <c r="K196" i="5"/>
  <c r="L196" i="5" s="1"/>
  <c r="M196" i="5" s="1"/>
  <c r="N196" i="5" s="1"/>
  <c r="J196" i="5"/>
  <c r="G196" i="5"/>
  <c r="H196" i="5" s="1"/>
  <c r="F196" i="5"/>
  <c r="E196" i="5"/>
  <c r="D196" i="5"/>
  <c r="S196" i="5" s="1"/>
  <c r="AB196" i="5" s="1"/>
  <c r="C196" i="5"/>
  <c r="B196" i="5"/>
  <c r="O195" i="5"/>
  <c r="K195" i="5"/>
  <c r="L195" i="5" s="1"/>
  <c r="M195" i="5" s="1"/>
  <c r="N195" i="5" s="1"/>
  <c r="J195" i="5"/>
  <c r="G195" i="5"/>
  <c r="P195" i="5" s="1"/>
  <c r="F195" i="5"/>
  <c r="E195" i="5"/>
  <c r="V195" i="5" s="1"/>
  <c r="W195" i="5" s="1"/>
  <c r="D195" i="5"/>
  <c r="S195" i="5" s="1"/>
  <c r="AB195" i="5" s="1"/>
  <c r="C195" i="5"/>
  <c r="B195" i="5"/>
  <c r="O194" i="5"/>
  <c r="K194" i="5"/>
  <c r="L194" i="5" s="1"/>
  <c r="M194" i="5" s="1"/>
  <c r="N194" i="5" s="1"/>
  <c r="J194" i="5"/>
  <c r="G194" i="5"/>
  <c r="P194" i="5" s="1"/>
  <c r="F194" i="5"/>
  <c r="E194" i="5"/>
  <c r="V194" i="5" s="1"/>
  <c r="W194" i="5" s="1"/>
  <c r="D194" i="5"/>
  <c r="S194" i="5" s="1"/>
  <c r="AB194" i="5" s="1"/>
  <c r="C194" i="5"/>
  <c r="B194" i="5"/>
  <c r="O193" i="5"/>
  <c r="K193" i="5"/>
  <c r="L193" i="5" s="1"/>
  <c r="M193" i="5" s="1"/>
  <c r="N193" i="5" s="1"/>
  <c r="J193" i="5"/>
  <c r="G193" i="5"/>
  <c r="H193" i="5" s="1"/>
  <c r="F193" i="5"/>
  <c r="E193" i="5"/>
  <c r="V193" i="5" s="1"/>
  <c r="W193" i="5" s="1"/>
  <c r="D193" i="5"/>
  <c r="S193" i="5" s="1"/>
  <c r="AB193" i="5" s="1"/>
  <c r="C193" i="5"/>
  <c r="B193" i="5"/>
  <c r="O192" i="5"/>
  <c r="K192" i="5"/>
  <c r="L192" i="5" s="1"/>
  <c r="M192" i="5" s="1"/>
  <c r="N192" i="5" s="1"/>
  <c r="J192" i="5"/>
  <c r="G192" i="5"/>
  <c r="H192" i="5" s="1"/>
  <c r="F192" i="5"/>
  <c r="E192" i="5"/>
  <c r="V192" i="5" s="1"/>
  <c r="W192" i="5" s="1"/>
  <c r="D192" i="5"/>
  <c r="S192" i="5" s="1"/>
  <c r="AB192" i="5" s="1"/>
  <c r="C192" i="5"/>
  <c r="B192" i="5"/>
  <c r="O191" i="5"/>
  <c r="K191" i="5"/>
  <c r="L191" i="5" s="1"/>
  <c r="M191" i="5" s="1"/>
  <c r="N191" i="5" s="1"/>
  <c r="J191" i="5"/>
  <c r="G191" i="5"/>
  <c r="P191" i="5" s="1"/>
  <c r="F191" i="5"/>
  <c r="E191" i="5"/>
  <c r="V191" i="5" s="1"/>
  <c r="W191" i="5" s="1"/>
  <c r="D191" i="5"/>
  <c r="S191" i="5" s="1"/>
  <c r="AB191" i="5" s="1"/>
  <c r="C191" i="5"/>
  <c r="B191" i="5"/>
  <c r="O190" i="5"/>
  <c r="K190" i="5"/>
  <c r="L190" i="5" s="1"/>
  <c r="M190" i="5" s="1"/>
  <c r="N190" i="5" s="1"/>
  <c r="J190" i="5"/>
  <c r="G190" i="5"/>
  <c r="P190" i="5" s="1"/>
  <c r="F190" i="5"/>
  <c r="E190" i="5"/>
  <c r="V190" i="5" s="1"/>
  <c r="W190" i="5" s="1"/>
  <c r="D190" i="5"/>
  <c r="S190" i="5" s="1"/>
  <c r="AB190" i="5" s="1"/>
  <c r="C190" i="5"/>
  <c r="B190" i="5"/>
  <c r="O189" i="5"/>
  <c r="K189" i="5"/>
  <c r="L189" i="5" s="1"/>
  <c r="M189" i="5" s="1"/>
  <c r="N189" i="5" s="1"/>
  <c r="J189" i="5"/>
  <c r="G189" i="5"/>
  <c r="H189" i="5" s="1"/>
  <c r="F189" i="5"/>
  <c r="E189" i="5"/>
  <c r="V189" i="5" s="1"/>
  <c r="W189" i="5" s="1"/>
  <c r="D189" i="5"/>
  <c r="S189" i="5" s="1"/>
  <c r="AB189" i="5" s="1"/>
  <c r="C189" i="5"/>
  <c r="B189" i="5"/>
  <c r="O188" i="5"/>
  <c r="K188" i="5"/>
  <c r="L188" i="5" s="1"/>
  <c r="M188" i="5" s="1"/>
  <c r="N188" i="5" s="1"/>
  <c r="J188" i="5"/>
  <c r="G188" i="5"/>
  <c r="H188" i="5" s="1"/>
  <c r="F188" i="5"/>
  <c r="E188" i="5"/>
  <c r="D188" i="5"/>
  <c r="S188" i="5" s="1"/>
  <c r="AB188" i="5" s="1"/>
  <c r="C188" i="5"/>
  <c r="B188" i="5"/>
  <c r="O187" i="5"/>
  <c r="K187" i="5"/>
  <c r="L187" i="5" s="1"/>
  <c r="M187" i="5" s="1"/>
  <c r="N187" i="5" s="1"/>
  <c r="J187" i="5"/>
  <c r="G187" i="5"/>
  <c r="P187" i="5" s="1"/>
  <c r="F187" i="5"/>
  <c r="E187" i="5"/>
  <c r="V187" i="5" s="1"/>
  <c r="W187" i="5" s="1"/>
  <c r="D187" i="5"/>
  <c r="Q187" i="5" s="1"/>
  <c r="C187" i="5"/>
  <c r="B187" i="5"/>
  <c r="O186" i="5"/>
  <c r="K186" i="5"/>
  <c r="L186" i="5" s="1"/>
  <c r="M186" i="5" s="1"/>
  <c r="N186" i="5" s="1"/>
  <c r="J186" i="5"/>
  <c r="G186" i="5"/>
  <c r="F186" i="5"/>
  <c r="E186" i="5"/>
  <c r="V186" i="5" s="1"/>
  <c r="W186" i="5" s="1"/>
  <c r="D186" i="5"/>
  <c r="Q186" i="5" s="1"/>
  <c r="C186" i="5"/>
  <c r="B186" i="5"/>
  <c r="O185" i="5"/>
  <c r="K185" i="5"/>
  <c r="L185" i="5" s="1"/>
  <c r="M185" i="5" s="1"/>
  <c r="N185" i="5" s="1"/>
  <c r="J185" i="5"/>
  <c r="G185" i="5"/>
  <c r="H185" i="5" s="1"/>
  <c r="F185" i="5"/>
  <c r="E185" i="5"/>
  <c r="V185" i="5" s="1"/>
  <c r="W185" i="5" s="1"/>
  <c r="D185" i="5"/>
  <c r="S185" i="5" s="1"/>
  <c r="AB185" i="5" s="1"/>
  <c r="C185" i="5"/>
  <c r="B185" i="5"/>
  <c r="O184" i="5"/>
  <c r="K184" i="5"/>
  <c r="L184" i="5" s="1"/>
  <c r="M184" i="5" s="1"/>
  <c r="N184" i="5" s="1"/>
  <c r="J184" i="5"/>
  <c r="G184" i="5"/>
  <c r="H184" i="5" s="1"/>
  <c r="F184" i="5"/>
  <c r="E184" i="5"/>
  <c r="V184" i="5" s="1"/>
  <c r="W184" i="5" s="1"/>
  <c r="D184" i="5"/>
  <c r="S184" i="5" s="1"/>
  <c r="AB184" i="5" s="1"/>
  <c r="C184" i="5"/>
  <c r="B184" i="5"/>
  <c r="O183" i="5"/>
  <c r="K183" i="5"/>
  <c r="L183" i="5" s="1"/>
  <c r="M183" i="5" s="1"/>
  <c r="N183" i="5" s="1"/>
  <c r="J183" i="5"/>
  <c r="G183" i="5"/>
  <c r="P183" i="5" s="1"/>
  <c r="F183" i="5"/>
  <c r="E183" i="5"/>
  <c r="V183" i="5" s="1"/>
  <c r="W183" i="5" s="1"/>
  <c r="D183" i="5"/>
  <c r="S183" i="5" s="1"/>
  <c r="AB183" i="5" s="1"/>
  <c r="C183" i="5"/>
  <c r="B183" i="5"/>
  <c r="O182" i="5"/>
  <c r="K182" i="5"/>
  <c r="L182" i="5" s="1"/>
  <c r="M182" i="5" s="1"/>
  <c r="N182" i="5" s="1"/>
  <c r="J182" i="5"/>
  <c r="G182" i="5"/>
  <c r="H182" i="5" s="1"/>
  <c r="F182" i="5"/>
  <c r="E182" i="5"/>
  <c r="V182" i="5" s="1"/>
  <c r="W182" i="5" s="1"/>
  <c r="D182" i="5"/>
  <c r="S182" i="5" s="1"/>
  <c r="AB182" i="5" s="1"/>
  <c r="C182" i="5"/>
  <c r="B182" i="5"/>
  <c r="O181" i="5"/>
  <c r="K181" i="5"/>
  <c r="L181" i="5" s="1"/>
  <c r="M181" i="5" s="1"/>
  <c r="N181" i="5" s="1"/>
  <c r="J181" i="5"/>
  <c r="G181" i="5"/>
  <c r="H181" i="5" s="1"/>
  <c r="F181" i="5"/>
  <c r="E181" i="5"/>
  <c r="V181" i="5" s="1"/>
  <c r="W181" i="5" s="1"/>
  <c r="D181" i="5"/>
  <c r="S181" i="5" s="1"/>
  <c r="AB181" i="5" s="1"/>
  <c r="C181" i="5"/>
  <c r="B181" i="5"/>
  <c r="O180" i="5"/>
  <c r="K180" i="5"/>
  <c r="L180" i="5" s="1"/>
  <c r="M180" i="5" s="1"/>
  <c r="N180" i="5" s="1"/>
  <c r="J180" i="5"/>
  <c r="G180" i="5"/>
  <c r="H180" i="5" s="1"/>
  <c r="F180" i="5"/>
  <c r="E180" i="5"/>
  <c r="D180" i="5"/>
  <c r="S180" i="5" s="1"/>
  <c r="AB180" i="5" s="1"/>
  <c r="C180" i="5"/>
  <c r="B180" i="5"/>
  <c r="O179" i="5"/>
  <c r="K179" i="5"/>
  <c r="L179" i="5" s="1"/>
  <c r="M179" i="5" s="1"/>
  <c r="N179" i="5" s="1"/>
  <c r="J179" i="5"/>
  <c r="G179" i="5"/>
  <c r="P179" i="5" s="1"/>
  <c r="F179" i="5"/>
  <c r="E179" i="5"/>
  <c r="V179" i="5" s="1"/>
  <c r="W179" i="5" s="1"/>
  <c r="D179" i="5"/>
  <c r="S179" i="5" s="1"/>
  <c r="AB179" i="5" s="1"/>
  <c r="C179" i="5"/>
  <c r="B179" i="5"/>
  <c r="O178" i="5"/>
  <c r="K178" i="5"/>
  <c r="L178" i="5" s="1"/>
  <c r="M178" i="5" s="1"/>
  <c r="N178" i="5" s="1"/>
  <c r="J178" i="5"/>
  <c r="G178" i="5"/>
  <c r="H178" i="5" s="1"/>
  <c r="F178" i="5"/>
  <c r="E178" i="5"/>
  <c r="V178" i="5" s="1"/>
  <c r="W178" i="5" s="1"/>
  <c r="D178" i="5"/>
  <c r="S178" i="5" s="1"/>
  <c r="AB178" i="5" s="1"/>
  <c r="C178" i="5"/>
  <c r="B178" i="5"/>
  <c r="O177" i="5"/>
  <c r="K177" i="5"/>
  <c r="L177" i="5" s="1"/>
  <c r="M177" i="5" s="1"/>
  <c r="N177" i="5" s="1"/>
  <c r="J177" i="5"/>
  <c r="G177" i="5"/>
  <c r="P177" i="5" s="1"/>
  <c r="F177" i="5"/>
  <c r="E177" i="5"/>
  <c r="V177" i="5" s="1"/>
  <c r="W177" i="5" s="1"/>
  <c r="D177" i="5"/>
  <c r="S177" i="5" s="1"/>
  <c r="AB177" i="5" s="1"/>
  <c r="C177" i="5"/>
  <c r="B177" i="5"/>
  <c r="Z177" i="5" s="1"/>
  <c r="O176" i="5"/>
  <c r="K176" i="5"/>
  <c r="L176" i="5" s="1"/>
  <c r="M176" i="5" s="1"/>
  <c r="N176" i="5" s="1"/>
  <c r="J176" i="5"/>
  <c r="G176" i="5"/>
  <c r="H176" i="5" s="1"/>
  <c r="F176" i="5"/>
  <c r="E176" i="5"/>
  <c r="V176" i="5" s="1"/>
  <c r="W176" i="5" s="1"/>
  <c r="D176" i="5"/>
  <c r="S176" i="5" s="1"/>
  <c r="AB176" i="5" s="1"/>
  <c r="C176" i="5"/>
  <c r="B176" i="5"/>
  <c r="O175" i="5"/>
  <c r="K175" i="5"/>
  <c r="L175" i="5" s="1"/>
  <c r="M175" i="5" s="1"/>
  <c r="N175" i="5" s="1"/>
  <c r="J175" i="5"/>
  <c r="G175" i="5"/>
  <c r="P175" i="5" s="1"/>
  <c r="F175" i="5"/>
  <c r="E175" i="5"/>
  <c r="V175" i="5" s="1"/>
  <c r="W175" i="5" s="1"/>
  <c r="D175" i="5"/>
  <c r="S175" i="5" s="1"/>
  <c r="AB175" i="5" s="1"/>
  <c r="C175" i="5"/>
  <c r="B175" i="5"/>
  <c r="O174" i="5"/>
  <c r="K174" i="5"/>
  <c r="L174" i="5" s="1"/>
  <c r="M174" i="5" s="1"/>
  <c r="N174" i="5" s="1"/>
  <c r="J174" i="5"/>
  <c r="G174" i="5"/>
  <c r="F174" i="5"/>
  <c r="E174" i="5"/>
  <c r="V174" i="5" s="1"/>
  <c r="W174" i="5" s="1"/>
  <c r="D174" i="5"/>
  <c r="S174" i="5" s="1"/>
  <c r="AB174" i="5" s="1"/>
  <c r="C174" i="5"/>
  <c r="B174" i="5"/>
  <c r="O173" i="5"/>
  <c r="K173" i="5"/>
  <c r="L173" i="5" s="1"/>
  <c r="M173" i="5" s="1"/>
  <c r="N173" i="5" s="1"/>
  <c r="J173" i="5"/>
  <c r="G173" i="5"/>
  <c r="H173" i="5" s="1"/>
  <c r="F173" i="5"/>
  <c r="E173" i="5"/>
  <c r="V173" i="5" s="1"/>
  <c r="W173" i="5" s="1"/>
  <c r="D173" i="5"/>
  <c r="S173" i="5" s="1"/>
  <c r="AB173" i="5" s="1"/>
  <c r="C173" i="5"/>
  <c r="B173" i="5"/>
  <c r="O172" i="5"/>
  <c r="K172" i="5"/>
  <c r="L172" i="5" s="1"/>
  <c r="M172" i="5" s="1"/>
  <c r="N172" i="5" s="1"/>
  <c r="J172" i="5"/>
  <c r="G172" i="5"/>
  <c r="P172" i="5" s="1"/>
  <c r="F172" i="5"/>
  <c r="E172" i="5"/>
  <c r="D172" i="5"/>
  <c r="S172" i="5" s="1"/>
  <c r="AB172" i="5" s="1"/>
  <c r="C172" i="5"/>
  <c r="B172" i="5"/>
  <c r="O171" i="5"/>
  <c r="K171" i="5"/>
  <c r="L171" i="5" s="1"/>
  <c r="M171" i="5" s="1"/>
  <c r="N171" i="5" s="1"/>
  <c r="J171" i="5"/>
  <c r="G171" i="5"/>
  <c r="P171" i="5" s="1"/>
  <c r="F171" i="5"/>
  <c r="E171" i="5"/>
  <c r="V171" i="5" s="1"/>
  <c r="W171" i="5" s="1"/>
  <c r="D171" i="5"/>
  <c r="Q171" i="5" s="1"/>
  <c r="C171" i="5"/>
  <c r="B171" i="5"/>
  <c r="O170" i="5"/>
  <c r="K170" i="5"/>
  <c r="L170" i="5" s="1"/>
  <c r="M170" i="5" s="1"/>
  <c r="N170" i="5" s="1"/>
  <c r="J170" i="5"/>
  <c r="G170" i="5"/>
  <c r="P170" i="5" s="1"/>
  <c r="F170" i="5"/>
  <c r="E170" i="5"/>
  <c r="V170" i="5" s="1"/>
  <c r="W170" i="5" s="1"/>
  <c r="D170" i="5"/>
  <c r="C170" i="5"/>
  <c r="B170" i="5"/>
  <c r="O169" i="5"/>
  <c r="K169" i="5"/>
  <c r="L169" i="5" s="1"/>
  <c r="M169" i="5" s="1"/>
  <c r="N169" i="5" s="1"/>
  <c r="J169" i="5"/>
  <c r="G169" i="5"/>
  <c r="P169" i="5" s="1"/>
  <c r="F169" i="5"/>
  <c r="E169" i="5"/>
  <c r="V169" i="5" s="1"/>
  <c r="W169" i="5" s="1"/>
  <c r="D169" i="5"/>
  <c r="S169" i="5" s="1"/>
  <c r="AB169" i="5" s="1"/>
  <c r="C169" i="5"/>
  <c r="B169" i="5"/>
  <c r="O168" i="5"/>
  <c r="K168" i="5"/>
  <c r="L168" i="5" s="1"/>
  <c r="M168" i="5" s="1"/>
  <c r="N168" i="5" s="1"/>
  <c r="J168" i="5"/>
  <c r="G168" i="5"/>
  <c r="P168" i="5" s="1"/>
  <c r="F168" i="5"/>
  <c r="E168" i="5"/>
  <c r="V168" i="5" s="1"/>
  <c r="W168" i="5" s="1"/>
  <c r="D168" i="5"/>
  <c r="S168" i="5" s="1"/>
  <c r="AB168" i="5" s="1"/>
  <c r="C168" i="5"/>
  <c r="B168" i="5"/>
  <c r="O167" i="5"/>
  <c r="K167" i="5"/>
  <c r="L167" i="5" s="1"/>
  <c r="M167" i="5" s="1"/>
  <c r="N167" i="5" s="1"/>
  <c r="J167" i="5"/>
  <c r="G167" i="5"/>
  <c r="P167" i="5" s="1"/>
  <c r="F167" i="5"/>
  <c r="E167" i="5"/>
  <c r="V167" i="5" s="1"/>
  <c r="W167" i="5" s="1"/>
  <c r="D167" i="5"/>
  <c r="S167" i="5" s="1"/>
  <c r="AB167" i="5" s="1"/>
  <c r="C167" i="5"/>
  <c r="B167" i="5"/>
  <c r="O166" i="5"/>
  <c r="K166" i="5"/>
  <c r="L166" i="5" s="1"/>
  <c r="M166" i="5" s="1"/>
  <c r="N166" i="5" s="1"/>
  <c r="J166" i="5"/>
  <c r="G166" i="5"/>
  <c r="P166" i="5" s="1"/>
  <c r="F166" i="5"/>
  <c r="E166" i="5"/>
  <c r="V166" i="5" s="1"/>
  <c r="W166" i="5" s="1"/>
  <c r="D166" i="5"/>
  <c r="S166" i="5" s="1"/>
  <c r="AB166" i="5" s="1"/>
  <c r="C166" i="5"/>
  <c r="B166" i="5"/>
  <c r="O165" i="5"/>
  <c r="K165" i="5"/>
  <c r="L165" i="5" s="1"/>
  <c r="M165" i="5" s="1"/>
  <c r="N165" i="5" s="1"/>
  <c r="J165" i="5"/>
  <c r="G165" i="5"/>
  <c r="P165" i="5" s="1"/>
  <c r="F165" i="5"/>
  <c r="E165" i="5"/>
  <c r="V165" i="5" s="1"/>
  <c r="W165" i="5" s="1"/>
  <c r="D165" i="5"/>
  <c r="S165" i="5" s="1"/>
  <c r="AB165" i="5" s="1"/>
  <c r="C165" i="5"/>
  <c r="B165" i="5"/>
  <c r="O164" i="5"/>
  <c r="K164" i="5"/>
  <c r="L164" i="5" s="1"/>
  <c r="M164" i="5" s="1"/>
  <c r="N164" i="5" s="1"/>
  <c r="J164" i="5"/>
  <c r="G164" i="5"/>
  <c r="H164" i="5" s="1"/>
  <c r="F164" i="5"/>
  <c r="E164" i="5"/>
  <c r="D164" i="5"/>
  <c r="S164" i="5" s="1"/>
  <c r="AB164" i="5" s="1"/>
  <c r="C164" i="5"/>
  <c r="B164" i="5"/>
  <c r="O163" i="5"/>
  <c r="K163" i="5"/>
  <c r="L163" i="5" s="1"/>
  <c r="M163" i="5" s="1"/>
  <c r="N163" i="5" s="1"/>
  <c r="J163" i="5"/>
  <c r="G163" i="5"/>
  <c r="P163" i="5" s="1"/>
  <c r="F163" i="5"/>
  <c r="E163" i="5"/>
  <c r="V163" i="5" s="1"/>
  <c r="W163" i="5" s="1"/>
  <c r="D163" i="5"/>
  <c r="S163" i="5" s="1"/>
  <c r="AB163" i="5" s="1"/>
  <c r="C163" i="5"/>
  <c r="B163" i="5"/>
  <c r="O162" i="5"/>
  <c r="K162" i="5"/>
  <c r="L162" i="5" s="1"/>
  <c r="M162" i="5" s="1"/>
  <c r="N162" i="5" s="1"/>
  <c r="J162" i="5"/>
  <c r="G162" i="5"/>
  <c r="H162" i="5" s="1"/>
  <c r="F162" i="5"/>
  <c r="E162" i="5"/>
  <c r="T162" i="5" s="1"/>
  <c r="D162" i="5"/>
  <c r="S162" i="5" s="1"/>
  <c r="AB162" i="5" s="1"/>
  <c r="C162" i="5"/>
  <c r="B162" i="5"/>
  <c r="O161" i="5"/>
  <c r="K161" i="5"/>
  <c r="L161" i="5" s="1"/>
  <c r="M161" i="5" s="1"/>
  <c r="N161" i="5" s="1"/>
  <c r="J161" i="5"/>
  <c r="G161" i="5"/>
  <c r="P161" i="5" s="1"/>
  <c r="F161" i="5"/>
  <c r="E161" i="5"/>
  <c r="V161" i="5" s="1"/>
  <c r="W161" i="5" s="1"/>
  <c r="D161" i="5"/>
  <c r="S161" i="5" s="1"/>
  <c r="AB161" i="5" s="1"/>
  <c r="C161" i="5"/>
  <c r="B161" i="5"/>
  <c r="O160" i="5"/>
  <c r="K160" i="5"/>
  <c r="L160" i="5" s="1"/>
  <c r="M160" i="5" s="1"/>
  <c r="N160" i="5" s="1"/>
  <c r="J160" i="5"/>
  <c r="G160" i="5"/>
  <c r="H160" i="5" s="1"/>
  <c r="F160" i="5"/>
  <c r="E160" i="5"/>
  <c r="V160" i="5" s="1"/>
  <c r="W160" i="5" s="1"/>
  <c r="D160" i="5"/>
  <c r="S160" i="5" s="1"/>
  <c r="AB160" i="5" s="1"/>
  <c r="C160" i="5"/>
  <c r="B160" i="5"/>
  <c r="O159" i="5"/>
  <c r="K159" i="5"/>
  <c r="L159" i="5" s="1"/>
  <c r="M159" i="5" s="1"/>
  <c r="N159" i="5" s="1"/>
  <c r="J159" i="5"/>
  <c r="G159" i="5"/>
  <c r="P159" i="5" s="1"/>
  <c r="F159" i="5"/>
  <c r="E159" i="5"/>
  <c r="V159" i="5" s="1"/>
  <c r="W159" i="5" s="1"/>
  <c r="D159" i="5"/>
  <c r="S159" i="5" s="1"/>
  <c r="AB159" i="5" s="1"/>
  <c r="C159" i="5"/>
  <c r="B159" i="5"/>
  <c r="O158" i="5"/>
  <c r="K158" i="5"/>
  <c r="L158" i="5" s="1"/>
  <c r="M158" i="5" s="1"/>
  <c r="N158" i="5" s="1"/>
  <c r="J158" i="5"/>
  <c r="G158" i="5"/>
  <c r="H158" i="5" s="1"/>
  <c r="F158" i="5"/>
  <c r="E158" i="5"/>
  <c r="V158" i="5" s="1"/>
  <c r="W158" i="5" s="1"/>
  <c r="D158" i="5"/>
  <c r="S158" i="5" s="1"/>
  <c r="AB158" i="5" s="1"/>
  <c r="C158" i="5"/>
  <c r="B158" i="5"/>
  <c r="O157" i="5"/>
  <c r="K157" i="5"/>
  <c r="L157" i="5" s="1"/>
  <c r="M157" i="5" s="1"/>
  <c r="N157" i="5" s="1"/>
  <c r="J157" i="5"/>
  <c r="G157" i="5"/>
  <c r="P157" i="5" s="1"/>
  <c r="F157" i="5"/>
  <c r="E157" i="5"/>
  <c r="V157" i="5" s="1"/>
  <c r="W157" i="5" s="1"/>
  <c r="D157" i="5"/>
  <c r="S157" i="5" s="1"/>
  <c r="AB157" i="5" s="1"/>
  <c r="C157" i="5"/>
  <c r="B157" i="5"/>
  <c r="O156" i="5"/>
  <c r="K156" i="5"/>
  <c r="L156" i="5" s="1"/>
  <c r="M156" i="5" s="1"/>
  <c r="N156" i="5" s="1"/>
  <c r="J156" i="5"/>
  <c r="G156" i="5"/>
  <c r="H156" i="5" s="1"/>
  <c r="F156" i="5"/>
  <c r="E156" i="5"/>
  <c r="V156" i="5" s="1"/>
  <c r="W156" i="5" s="1"/>
  <c r="D156" i="5"/>
  <c r="S156" i="5" s="1"/>
  <c r="AB156" i="5" s="1"/>
  <c r="C156" i="5"/>
  <c r="B156" i="5"/>
  <c r="O155" i="5"/>
  <c r="K155" i="5"/>
  <c r="L155" i="5" s="1"/>
  <c r="M155" i="5" s="1"/>
  <c r="N155" i="5" s="1"/>
  <c r="J155" i="5"/>
  <c r="G155" i="5"/>
  <c r="P155" i="5" s="1"/>
  <c r="F155" i="5"/>
  <c r="E155" i="5"/>
  <c r="D155" i="5"/>
  <c r="S155" i="5" s="1"/>
  <c r="AB155" i="5" s="1"/>
  <c r="C155" i="5"/>
  <c r="B155" i="5"/>
  <c r="O154" i="5"/>
  <c r="K154" i="5"/>
  <c r="L154" i="5" s="1"/>
  <c r="M154" i="5" s="1"/>
  <c r="N154" i="5" s="1"/>
  <c r="J154" i="5"/>
  <c r="G154" i="5"/>
  <c r="H154" i="5" s="1"/>
  <c r="F154" i="5"/>
  <c r="E154" i="5"/>
  <c r="V154" i="5" s="1"/>
  <c r="W154" i="5" s="1"/>
  <c r="D154" i="5"/>
  <c r="C154" i="5"/>
  <c r="B154" i="5"/>
  <c r="Z154" i="5" s="1"/>
  <c r="O153" i="5"/>
  <c r="K153" i="5"/>
  <c r="L153" i="5" s="1"/>
  <c r="M153" i="5" s="1"/>
  <c r="N153" i="5" s="1"/>
  <c r="J153" i="5"/>
  <c r="G153" i="5"/>
  <c r="H153" i="5" s="1"/>
  <c r="F153" i="5"/>
  <c r="E153" i="5"/>
  <c r="V153" i="5" s="1"/>
  <c r="W153" i="5" s="1"/>
  <c r="D153" i="5"/>
  <c r="S153" i="5" s="1"/>
  <c r="AB153" i="5" s="1"/>
  <c r="C153" i="5"/>
  <c r="B153" i="5"/>
  <c r="O152" i="5"/>
  <c r="K152" i="5"/>
  <c r="L152" i="5" s="1"/>
  <c r="M152" i="5" s="1"/>
  <c r="N152" i="5" s="1"/>
  <c r="J152" i="5"/>
  <c r="G152" i="5"/>
  <c r="H152" i="5" s="1"/>
  <c r="F152" i="5"/>
  <c r="E152" i="5"/>
  <c r="V152" i="5" s="1"/>
  <c r="W152" i="5" s="1"/>
  <c r="D152" i="5"/>
  <c r="C152" i="5"/>
  <c r="B152" i="5"/>
  <c r="O151" i="5"/>
  <c r="K151" i="5"/>
  <c r="L151" i="5" s="1"/>
  <c r="M151" i="5" s="1"/>
  <c r="N151" i="5" s="1"/>
  <c r="J151" i="5"/>
  <c r="G151" i="5"/>
  <c r="H151" i="5" s="1"/>
  <c r="F151" i="5"/>
  <c r="E151" i="5"/>
  <c r="V151" i="5" s="1"/>
  <c r="W151" i="5" s="1"/>
  <c r="D151" i="5"/>
  <c r="S151" i="5" s="1"/>
  <c r="AB151" i="5" s="1"/>
  <c r="C151" i="5"/>
  <c r="B151" i="5"/>
  <c r="O150" i="5"/>
  <c r="K150" i="5"/>
  <c r="L150" i="5" s="1"/>
  <c r="M150" i="5" s="1"/>
  <c r="N150" i="5" s="1"/>
  <c r="J150" i="5"/>
  <c r="G150" i="5"/>
  <c r="H150" i="5" s="1"/>
  <c r="F150" i="5"/>
  <c r="E150" i="5"/>
  <c r="V150" i="5" s="1"/>
  <c r="W150" i="5" s="1"/>
  <c r="D150" i="5"/>
  <c r="S150" i="5" s="1"/>
  <c r="AB150" i="5" s="1"/>
  <c r="C150" i="5"/>
  <c r="B150" i="5"/>
  <c r="O149" i="5"/>
  <c r="K149" i="5"/>
  <c r="L149" i="5" s="1"/>
  <c r="M149" i="5" s="1"/>
  <c r="N149" i="5" s="1"/>
  <c r="J149" i="5"/>
  <c r="G149" i="5"/>
  <c r="H149" i="5" s="1"/>
  <c r="F149" i="5"/>
  <c r="E149" i="5"/>
  <c r="V149" i="5" s="1"/>
  <c r="W149" i="5" s="1"/>
  <c r="D149" i="5"/>
  <c r="S149" i="5" s="1"/>
  <c r="AB149" i="5" s="1"/>
  <c r="C149" i="5"/>
  <c r="B149" i="5"/>
  <c r="O148" i="5"/>
  <c r="K148" i="5"/>
  <c r="L148" i="5" s="1"/>
  <c r="M148" i="5" s="1"/>
  <c r="N148" i="5" s="1"/>
  <c r="J148" i="5"/>
  <c r="G148" i="5"/>
  <c r="H148" i="5" s="1"/>
  <c r="F148" i="5"/>
  <c r="E148" i="5"/>
  <c r="V148" i="5" s="1"/>
  <c r="W148" i="5" s="1"/>
  <c r="D148" i="5"/>
  <c r="S148" i="5" s="1"/>
  <c r="AB148" i="5" s="1"/>
  <c r="C148" i="5"/>
  <c r="B148" i="5"/>
  <c r="O147" i="5"/>
  <c r="K147" i="5"/>
  <c r="L147" i="5" s="1"/>
  <c r="M147" i="5" s="1"/>
  <c r="N147" i="5" s="1"/>
  <c r="J147" i="5"/>
  <c r="G147" i="5"/>
  <c r="H147" i="5" s="1"/>
  <c r="F147" i="5"/>
  <c r="E147" i="5"/>
  <c r="V147" i="5" s="1"/>
  <c r="W147" i="5" s="1"/>
  <c r="D147" i="5"/>
  <c r="S147" i="5" s="1"/>
  <c r="AB147" i="5" s="1"/>
  <c r="C147" i="5"/>
  <c r="B147" i="5"/>
  <c r="O146" i="5"/>
  <c r="K146" i="5"/>
  <c r="L146" i="5" s="1"/>
  <c r="M146" i="5" s="1"/>
  <c r="N146" i="5" s="1"/>
  <c r="J146" i="5"/>
  <c r="G146" i="5"/>
  <c r="H146" i="5" s="1"/>
  <c r="F146" i="5"/>
  <c r="E146" i="5"/>
  <c r="V146" i="5" s="1"/>
  <c r="W146" i="5" s="1"/>
  <c r="D146" i="5"/>
  <c r="S146" i="5" s="1"/>
  <c r="AB146" i="5" s="1"/>
  <c r="C146" i="5"/>
  <c r="B146" i="5"/>
  <c r="O145" i="5"/>
  <c r="K145" i="5"/>
  <c r="L145" i="5" s="1"/>
  <c r="M145" i="5" s="1"/>
  <c r="N145" i="5" s="1"/>
  <c r="J145" i="5"/>
  <c r="G145" i="5"/>
  <c r="H145" i="5" s="1"/>
  <c r="F145" i="5"/>
  <c r="E145" i="5"/>
  <c r="V145" i="5" s="1"/>
  <c r="W145" i="5" s="1"/>
  <c r="D145" i="5"/>
  <c r="S145" i="5" s="1"/>
  <c r="AB145" i="5" s="1"/>
  <c r="C145" i="5"/>
  <c r="B145" i="5"/>
  <c r="O144" i="5"/>
  <c r="K144" i="5"/>
  <c r="L144" i="5" s="1"/>
  <c r="M144" i="5" s="1"/>
  <c r="N144" i="5" s="1"/>
  <c r="J144" i="5"/>
  <c r="G144" i="5"/>
  <c r="H144" i="5" s="1"/>
  <c r="F144" i="5"/>
  <c r="E144" i="5"/>
  <c r="V144" i="5" s="1"/>
  <c r="W144" i="5" s="1"/>
  <c r="D144" i="5"/>
  <c r="S144" i="5" s="1"/>
  <c r="AB144" i="5" s="1"/>
  <c r="C144" i="5"/>
  <c r="B144" i="5"/>
  <c r="O143" i="5"/>
  <c r="K143" i="5"/>
  <c r="L143" i="5" s="1"/>
  <c r="M143" i="5" s="1"/>
  <c r="N143" i="5" s="1"/>
  <c r="J143" i="5"/>
  <c r="G143" i="5"/>
  <c r="H143" i="5" s="1"/>
  <c r="F143" i="5"/>
  <c r="E143" i="5"/>
  <c r="V143" i="5" s="1"/>
  <c r="W143" i="5" s="1"/>
  <c r="D143" i="5"/>
  <c r="S143" i="5" s="1"/>
  <c r="AB143" i="5" s="1"/>
  <c r="C143" i="5"/>
  <c r="B143" i="5"/>
  <c r="O142" i="5"/>
  <c r="K142" i="5"/>
  <c r="L142" i="5" s="1"/>
  <c r="M142" i="5" s="1"/>
  <c r="N142" i="5" s="1"/>
  <c r="J142" i="5"/>
  <c r="G142" i="5"/>
  <c r="H142" i="5" s="1"/>
  <c r="F142" i="5"/>
  <c r="E142" i="5"/>
  <c r="V142" i="5" s="1"/>
  <c r="W142" i="5" s="1"/>
  <c r="D142" i="5"/>
  <c r="S142" i="5" s="1"/>
  <c r="AB142" i="5" s="1"/>
  <c r="C142" i="5"/>
  <c r="B142" i="5"/>
  <c r="O141" i="5"/>
  <c r="K141" i="5"/>
  <c r="L141" i="5" s="1"/>
  <c r="M141" i="5" s="1"/>
  <c r="N141" i="5" s="1"/>
  <c r="J141" i="5"/>
  <c r="G141" i="5"/>
  <c r="H141" i="5" s="1"/>
  <c r="F141" i="5"/>
  <c r="E141" i="5"/>
  <c r="V141" i="5" s="1"/>
  <c r="W141" i="5" s="1"/>
  <c r="D141" i="5"/>
  <c r="S141" i="5" s="1"/>
  <c r="AB141" i="5" s="1"/>
  <c r="C141" i="5"/>
  <c r="B141" i="5"/>
  <c r="O140" i="5"/>
  <c r="K140" i="5"/>
  <c r="L140" i="5" s="1"/>
  <c r="M140" i="5" s="1"/>
  <c r="N140" i="5" s="1"/>
  <c r="J140" i="5"/>
  <c r="G140" i="5"/>
  <c r="H140" i="5" s="1"/>
  <c r="F140" i="5"/>
  <c r="E140" i="5"/>
  <c r="V140" i="5" s="1"/>
  <c r="W140" i="5" s="1"/>
  <c r="D140" i="5"/>
  <c r="S140" i="5" s="1"/>
  <c r="AB140" i="5" s="1"/>
  <c r="C140" i="5"/>
  <c r="B140" i="5"/>
  <c r="O139" i="5"/>
  <c r="K139" i="5"/>
  <c r="L139" i="5" s="1"/>
  <c r="M139" i="5" s="1"/>
  <c r="N139" i="5" s="1"/>
  <c r="J139" i="5"/>
  <c r="G139" i="5"/>
  <c r="H139" i="5" s="1"/>
  <c r="F139" i="5"/>
  <c r="E139" i="5"/>
  <c r="V139" i="5" s="1"/>
  <c r="W139" i="5" s="1"/>
  <c r="D139" i="5"/>
  <c r="S139" i="5" s="1"/>
  <c r="AB139" i="5" s="1"/>
  <c r="C139" i="5"/>
  <c r="B139" i="5"/>
  <c r="O138" i="5"/>
  <c r="K138" i="5"/>
  <c r="L138" i="5" s="1"/>
  <c r="M138" i="5" s="1"/>
  <c r="N138" i="5" s="1"/>
  <c r="J138" i="5"/>
  <c r="G138" i="5"/>
  <c r="H138" i="5" s="1"/>
  <c r="F138" i="5"/>
  <c r="E138" i="5"/>
  <c r="V138" i="5" s="1"/>
  <c r="W138" i="5" s="1"/>
  <c r="D138" i="5"/>
  <c r="S138" i="5" s="1"/>
  <c r="AB138" i="5" s="1"/>
  <c r="C138" i="5"/>
  <c r="B138" i="5"/>
  <c r="O137" i="5"/>
  <c r="K137" i="5"/>
  <c r="L137" i="5" s="1"/>
  <c r="M137" i="5" s="1"/>
  <c r="N137" i="5" s="1"/>
  <c r="J137" i="5"/>
  <c r="G137" i="5"/>
  <c r="H137" i="5" s="1"/>
  <c r="F137" i="5"/>
  <c r="E137" i="5"/>
  <c r="V137" i="5" s="1"/>
  <c r="W137" i="5" s="1"/>
  <c r="D137" i="5"/>
  <c r="S137" i="5" s="1"/>
  <c r="AB137" i="5" s="1"/>
  <c r="C137" i="5"/>
  <c r="B137" i="5"/>
  <c r="O136" i="5"/>
  <c r="K136" i="5"/>
  <c r="L136" i="5" s="1"/>
  <c r="M136" i="5" s="1"/>
  <c r="N136" i="5" s="1"/>
  <c r="J136" i="5"/>
  <c r="G136" i="5"/>
  <c r="H136" i="5" s="1"/>
  <c r="F136" i="5"/>
  <c r="E136" i="5"/>
  <c r="D136" i="5"/>
  <c r="Q136" i="5" s="1"/>
  <c r="C136" i="5"/>
  <c r="B136" i="5"/>
  <c r="O135" i="5"/>
  <c r="K135" i="5"/>
  <c r="L135" i="5" s="1"/>
  <c r="M135" i="5" s="1"/>
  <c r="N135" i="5" s="1"/>
  <c r="J135" i="5"/>
  <c r="G135" i="5"/>
  <c r="H135" i="5" s="1"/>
  <c r="F135" i="5"/>
  <c r="E135" i="5"/>
  <c r="V135" i="5" s="1"/>
  <c r="W135" i="5" s="1"/>
  <c r="D135" i="5"/>
  <c r="Q135" i="5" s="1"/>
  <c r="C135" i="5"/>
  <c r="B135" i="5"/>
  <c r="O134" i="5"/>
  <c r="K134" i="5"/>
  <c r="L134" i="5" s="1"/>
  <c r="M134" i="5" s="1"/>
  <c r="N134" i="5" s="1"/>
  <c r="J134" i="5"/>
  <c r="G134" i="5"/>
  <c r="H134" i="5" s="1"/>
  <c r="F134" i="5"/>
  <c r="E134" i="5"/>
  <c r="V134" i="5" s="1"/>
  <c r="W134" i="5" s="1"/>
  <c r="D134" i="5"/>
  <c r="S134" i="5" s="1"/>
  <c r="AB134" i="5" s="1"/>
  <c r="C134" i="5"/>
  <c r="B134" i="5"/>
  <c r="O133" i="5"/>
  <c r="K133" i="5"/>
  <c r="L133" i="5" s="1"/>
  <c r="M133" i="5" s="1"/>
  <c r="N133" i="5" s="1"/>
  <c r="J133" i="5"/>
  <c r="G133" i="5"/>
  <c r="H133" i="5" s="1"/>
  <c r="F133" i="5"/>
  <c r="E133" i="5"/>
  <c r="V133" i="5" s="1"/>
  <c r="W133" i="5" s="1"/>
  <c r="D133" i="5"/>
  <c r="S133" i="5" s="1"/>
  <c r="AB133" i="5" s="1"/>
  <c r="C133" i="5"/>
  <c r="B133" i="5"/>
  <c r="O132" i="5"/>
  <c r="K132" i="5"/>
  <c r="L132" i="5" s="1"/>
  <c r="M132" i="5" s="1"/>
  <c r="N132" i="5" s="1"/>
  <c r="J132" i="5"/>
  <c r="G132" i="5"/>
  <c r="H132" i="5" s="1"/>
  <c r="F132" i="5"/>
  <c r="E132" i="5"/>
  <c r="V132" i="5" s="1"/>
  <c r="W132" i="5" s="1"/>
  <c r="D132" i="5"/>
  <c r="S132" i="5" s="1"/>
  <c r="AB132" i="5" s="1"/>
  <c r="C132" i="5"/>
  <c r="B132" i="5"/>
  <c r="O131" i="5"/>
  <c r="K131" i="5"/>
  <c r="L131" i="5" s="1"/>
  <c r="M131" i="5" s="1"/>
  <c r="N131" i="5" s="1"/>
  <c r="J131" i="5"/>
  <c r="G131" i="5"/>
  <c r="H131" i="5" s="1"/>
  <c r="F131" i="5"/>
  <c r="E131" i="5"/>
  <c r="V131" i="5" s="1"/>
  <c r="W131" i="5" s="1"/>
  <c r="D131" i="5"/>
  <c r="S131" i="5" s="1"/>
  <c r="AB131" i="5" s="1"/>
  <c r="C131" i="5"/>
  <c r="B131" i="5"/>
  <c r="O130" i="5"/>
  <c r="K130" i="5"/>
  <c r="L130" i="5" s="1"/>
  <c r="M130" i="5" s="1"/>
  <c r="N130" i="5" s="1"/>
  <c r="J130" i="5"/>
  <c r="G130" i="5"/>
  <c r="H130" i="5" s="1"/>
  <c r="F130" i="5"/>
  <c r="E130" i="5"/>
  <c r="V130" i="5" s="1"/>
  <c r="W130" i="5" s="1"/>
  <c r="D130" i="5"/>
  <c r="S130" i="5" s="1"/>
  <c r="AB130" i="5" s="1"/>
  <c r="C130" i="5"/>
  <c r="B130" i="5"/>
  <c r="O129" i="5"/>
  <c r="K129" i="5"/>
  <c r="L129" i="5" s="1"/>
  <c r="M129" i="5" s="1"/>
  <c r="N129" i="5" s="1"/>
  <c r="J129" i="5"/>
  <c r="G129" i="5"/>
  <c r="H129" i="5" s="1"/>
  <c r="F129" i="5"/>
  <c r="E129" i="5"/>
  <c r="V129" i="5" s="1"/>
  <c r="W129" i="5" s="1"/>
  <c r="D129" i="5"/>
  <c r="S129" i="5" s="1"/>
  <c r="AB129" i="5" s="1"/>
  <c r="C129" i="5"/>
  <c r="B129" i="5"/>
  <c r="O128" i="5"/>
  <c r="K128" i="5"/>
  <c r="L128" i="5" s="1"/>
  <c r="M128" i="5" s="1"/>
  <c r="N128" i="5" s="1"/>
  <c r="J128" i="5"/>
  <c r="G128" i="5"/>
  <c r="H128" i="5" s="1"/>
  <c r="F128" i="5"/>
  <c r="E128" i="5"/>
  <c r="V128" i="5" s="1"/>
  <c r="W128" i="5" s="1"/>
  <c r="D128" i="5"/>
  <c r="S128" i="5" s="1"/>
  <c r="AB128" i="5" s="1"/>
  <c r="C128" i="5"/>
  <c r="B128" i="5"/>
  <c r="O127" i="5"/>
  <c r="K127" i="5"/>
  <c r="L127" i="5" s="1"/>
  <c r="M127" i="5" s="1"/>
  <c r="N127" i="5" s="1"/>
  <c r="J127" i="5"/>
  <c r="G127" i="5"/>
  <c r="H127" i="5" s="1"/>
  <c r="F127" i="5"/>
  <c r="E127" i="5"/>
  <c r="V127" i="5" s="1"/>
  <c r="W127" i="5" s="1"/>
  <c r="D127" i="5"/>
  <c r="S127" i="5" s="1"/>
  <c r="AB127" i="5" s="1"/>
  <c r="C127" i="5"/>
  <c r="B127" i="5"/>
  <c r="O126" i="5"/>
  <c r="K126" i="5"/>
  <c r="L126" i="5" s="1"/>
  <c r="M126" i="5" s="1"/>
  <c r="N126" i="5" s="1"/>
  <c r="J126" i="5"/>
  <c r="G126" i="5"/>
  <c r="H126" i="5" s="1"/>
  <c r="F126" i="5"/>
  <c r="E126" i="5"/>
  <c r="V126" i="5" s="1"/>
  <c r="W126" i="5" s="1"/>
  <c r="D126" i="5"/>
  <c r="S126" i="5" s="1"/>
  <c r="AB126" i="5" s="1"/>
  <c r="C126" i="5"/>
  <c r="B126" i="5"/>
  <c r="O125" i="5"/>
  <c r="K125" i="5"/>
  <c r="L125" i="5" s="1"/>
  <c r="M125" i="5" s="1"/>
  <c r="N125" i="5" s="1"/>
  <c r="J125" i="5"/>
  <c r="G125" i="5"/>
  <c r="H125" i="5" s="1"/>
  <c r="F125" i="5"/>
  <c r="E125" i="5"/>
  <c r="V125" i="5" s="1"/>
  <c r="W125" i="5" s="1"/>
  <c r="D125" i="5"/>
  <c r="S125" i="5" s="1"/>
  <c r="AB125" i="5" s="1"/>
  <c r="C125" i="5"/>
  <c r="B125" i="5"/>
  <c r="Z125" i="5" s="1"/>
  <c r="O124" i="5"/>
  <c r="K124" i="5"/>
  <c r="L124" i="5" s="1"/>
  <c r="M124" i="5" s="1"/>
  <c r="N124" i="5" s="1"/>
  <c r="J124" i="5"/>
  <c r="G124" i="5"/>
  <c r="H124" i="5" s="1"/>
  <c r="F124" i="5"/>
  <c r="E124" i="5"/>
  <c r="V124" i="5" s="1"/>
  <c r="W124" i="5" s="1"/>
  <c r="D124" i="5"/>
  <c r="S124" i="5" s="1"/>
  <c r="AB124" i="5" s="1"/>
  <c r="C124" i="5"/>
  <c r="B124" i="5"/>
  <c r="O123" i="5"/>
  <c r="K123" i="5"/>
  <c r="L123" i="5" s="1"/>
  <c r="M123" i="5" s="1"/>
  <c r="N123" i="5" s="1"/>
  <c r="J123" i="5"/>
  <c r="G123" i="5"/>
  <c r="H123" i="5" s="1"/>
  <c r="F123" i="5"/>
  <c r="E123" i="5"/>
  <c r="V123" i="5" s="1"/>
  <c r="W123" i="5" s="1"/>
  <c r="D123" i="5"/>
  <c r="S123" i="5" s="1"/>
  <c r="AB123" i="5" s="1"/>
  <c r="C123" i="5"/>
  <c r="B123" i="5"/>
  <c r="O122" i="5"/>
  <c r="K122" i="5"/>
  <c r="L122" i="5" s="1"/>
  <c r="M122" i="5" s="1"/>
  <c r="N122" i="5" s="1"/>
  <c r="J122" i="5"/>
  <c r="G122" i="5"/>
  <c r="H122" i="5" s="1"/>
  <c r="F122" i="5"/>
  <c r="E122" i="5"/>
  <c r="V122" i="5" s="1"/>
  <c r="W122" i="5" s="1"/>
  <c r="D122" i="5"/>
  <c r="S122" i="5" s="1"/>
  <c r="AB122" i="5" s="1"/>
  <c r="C122" i="5"/>
  <c r="B122" i="5"/>
  <c r="O121" i="5"/>
  <c r="K121" i="5"/>
  <c r="L121" i="5" s="1"/>
  <c r="M121" i="5" s="1"/>
  <c r="N121" i="5" s="1"/>
  <c r="J121" i="5"/>
  <c r="G121" i="5"/>
  <c r="H121" i="5" s="1"/>
  <c r="F121" i="5"/>
  <c r="E121" i="5"/>
  <c r="V121" i="5" s="1"/>
  <c r="W121" i="5" s="1"/>
  <c r="D121" i="5"/>
  <c r="S121" i="5" s="1"/>
  <c r="AB121" i="5" s="1"/>
  <c r="C121" i="5"/>
  <c r="B121" i="5"/>
  <c r="O120" i="5"/>
  <c r="K120" i="5"/>
  <c r="L120" i="5" s="1"/>
  <c r="M120" i="5" s="1"/>
  <c r="N120" i="5" s="1"/>
  <c r="J120" i="5"/>
  <c r="G120" i="5"/>
  <c r="H120" i="5" s="1"/>
  <c r="F120" i="5"/>
  <c r="E120" i="5"/>
  <c r="V120" i="5" s="1"/>
  <c r="W120" i="5" s="1"/>
  <c r="D120" i="5"/>
  <c r="Q120" i="5" s="1"/>
  <c r="C120" i="5"/>
  <c r="B120" i="5"/>
  <c r="O119" i="5"/>
  <c r="K119" i="5"/>
  <c r="L119" i="5" s="1"/>
  <c r="M119" i="5" s="1"/>
  <c r="N119" i="5" s="1"/>
  <c r="J119" i="5"/>
  <c r="G119" i="5"/>
  <c r="H119" i="5" s="1"/>
  <c r="F119" i="5"/>
  <c r="E119" i="5"/>
  <c r="V119" i="5" s="1"/>
  <c r="W119" i="5" s="1"/>
  <c r="D119" i="5"/>
  <c r="Q119" i="5" s="1"/>
  <c r="C119" i="5"/>
  <c r="B119" i="5"/>
  <c r="O118" i="5"/>
  <c r="K118" i="5"/>
  <c r="L118" i="5" s="1"/>
  <c r="M118" i="5" s="1"/>
  <c r="N118" i="5" s="1"/>
  <c r="J118" i="5"/>
  <c r="G118" i="5"/>
  <c r="H118" i="5" s="1"/>
  <c r="F118" i="5"/>
  <c r="E118" i="5"/>
  <c r="V118" i="5" s="1"/>
  <c r="W118" i="5" s="1"/>
  <c r="D118" i="5"/>
  <c r="S118" i="5" s="1"/>
  <c r="AB118" i="5" s="1"/>
  <c r="C118" i="5"/>
  <c r="B118" i="5"/>
  <c r="O117" i="5"/>
  <c r="K117" i="5"/>
  <c r="L117" i="5" s="1"/>
  <c r="M117" i="5" s="1"/>
  <c r="N117" i="5" s="1"/>
  <c r="J117" i="5"/>
  <c r="G117" i="5"/>
  <c r="H117" i="5" s="1"/>
  <c r="F117" i="5"/>
  <c r="E117" i="5"/>
  <c r="V117" i="5" s="1"/>
  <c r="W117" i="5" s="1"/>
  <c r="D117" i="5"/>
  <c r="S117" i="5" s="1"/>
  <c r="AB117" i="5" s="1"/>
  <c r="C117" i="5"/>
  <c r="B117" i="5"/>
  <c r="O116" i="5"/>
  <c r="K116" i="5"/>
  <c r="L116" i="5" s="1"/>
  <c r="M116" i="5" s="1"/>
  <c r="N116" i="5" s="1"/>
  <c r="J116" i="5"/>
  <c r="G116" i="5"/>
  <c r="H116" i="5" s="1"/>
  <c r="F116" i="5"/>
  <c r="E116" i="5"/>
  <c r="V116" i="5" s="1"/>
  <c r="W116" i="5" s="1"/>
  <c r="D116" i="5"/>
  <c r="S116" i="5" s="1"/>
  <c r="AB116" i="5" s="1"/>
  <c r="C116" i="5"/>
  <c r="B116" i="5"/>
  <c r="O115" i="5"/>
  <c r="K115" i="5"/>
  <c r="L115" i="5" s="1"/>
  <c r="M115" i="5" s="1"/>
  <c r="N115" i="5" s="1"/>
  <c r="J115" i="5"/>
  <c r="G115" i="5"/>
  <c r="H115" i="5" s="1"/>
  <c r="F115" i="5"/>
  <c r="E115" i="5"/>
  <c r="V115" i="5" s="1"/>
  <c r="W115" i="5" s="1"/>
  <c r="D115" i="5"/>
  <c r="S115" i="5" s="1"/>
  <c r="AB115" i="5" s="1"/>
  <c r="C115" i="5"/>
  <c r="B115" i="5"/>
  <c r="O114" i="5"/>
  <c r="K114" i="5"/>
  <c r="L114" i="5" s="1"/>
  <c r="M114" i="5" s="1"/>
  <c r="N114" i="5" s="1"/>
  <c r="J114" i="5"/>
  <c r="G114" i="5"/>
  <c r="H114" i="5" s="1"/>
  <c r="F114" i="5"/>
  <c r="E114" i="5"/>
  <c r="V114" i="5" s="1"/>
  <c r="W114" i="5" s="1"/>
  <c r="D114" i="5"/>
  <c r="S114" i="5" s="1"/>
  <c r="AB114" i="5" s="1"/>
  <c r="C114" i="5"/>
  <c r="B114" i="5"/>
  <c r="O113" i="5"/>
  <c r="K113" i="5"/>
  <c r="L113" i="5" s="1"/>
  <c r="M113" i="5" s="1"/>
  <c r="N113" i="5" s="1"/>
  <c r="J113" i="5"/>
  <c r="G113" i="5"/>
  <c r="H113" i="5" s="1"/>
  <c r="F113" i="5"/>
  <c r="E113" i="5"/>
  <c r="V113" i="5" s="1"/>
  <c r="W113" i="5" s="1"/>
  <c r="D113" i="5"/>
  <c r="S113" i="5" s="1"/>
  <c r="AB113" i="5" s="1"/>
  <c r="C113" i="5"/>
  <c r="B113" i="5"/>
  <c r="O112" i="5"/>
  <c r="K112" i="5"/>
  <c r="L112" i="5" s="1"/>
  <c r="M112" i="5" s="1"/>
  <c r="N112" i="5" s="1"/>
  <c r="J112" i="5"/>
  <c r="G112" i="5"/>
  <c r="H112" i="5" s="1"/>
  <c r="F112" i="5"/>
  <c r="E112" i="5"/>
  <c r="D112" i="5"/>
  <c r="S112" i="5" s="1"/>
  <c r="AB112" i="5" s="1"/>
  <c r="C112" i="5"/>
  <c r="B112" i="5"/>
  <c r="O111" i="5"/>
  <c r="K111" i="5"/>
  <c r="L111" i="5" s="1"/>
  <c r="M111" i="5" s="1"/>
  <c r="N111" i="5" s="1"/>
  <c r="J111" i="5"/>
  <c r="G111" i="5"/>
  <c r="H111" i="5" s="1"/>
  <c r="F111" i="5"/>
  <c r="E111" i="5"/>
  <c r="V111" i="5" s="1"/>
  <c r="W111" i="5" s="1"/>
  <c r="D111" i="5"/>
  <c r="S111" i="5" s="1"/>
  <c r="AB111" i="5" s="1"/>
  <c r="C111" i="5"/>
  <c r="B111" i="5"/>
  <c r="O110" i="5"/>
  <c r="K110" i="5"/>
  <c r="L110" i="5" s="1"/>
  <c r="M110" i="5" s="1"/>
  <c r="N110" i="5" s="1"/>
  <c r="J110" i="5"/>
  <c r="G110" i="5"/>
  <c r="H110" i="5" s="1"/>
  <c r="F110" i="5"/>
  <c r="E110" i="5"/>
  <c r="V110" i="5" s="1"/>
  <c r="W110" i="5" s="1"/>
  <c r="D110" i="5"/>
  <c r="S110" i="5" s="1"/>
  <c r="AB110" i="5" s="1"/>
  <c r="C110" i="5"/>
  <c r="B110" i="5"/>
  <c r="O109" i="5"/>
  <c r="K109" i="5"/>
  <c r="L109" i="5" s="1"/>
  <c r="M109" i="5" s="1"/>
  <c r="N109" i="5" s="1"/>
  <c r="J109" i="5"/>
  <c r="G109" i="5"/>
  <c r="H109" i="5" s="1"/>
  <c r="F109" i="5"/>
  <c r="E109" i="5"/>
  <c r="V109" i="5" s="1"/>
  <c r="W109" i="5" s="1"/>
  <c r="D109" i="5"/>
  <c r="S109" i="5" s="1"/>
  <c r="AB109" i="5" s="1"/>
  <c r="C109" i="5"/>
  <c r="B109" i="5"/>
  <c r="O108" i="5"/>
  <c r="K108" i="5"/>
  <c r="L108" i="5" s="1"/>
  <c r="M108" i="5" s="1"/>
  <c r="N108" i="5" s="1"/>
  <c r="J108" i="5"/>
  <c r="G108" i="5"/>
  <c r="H108" i="5" s="1"/>
  <c r="F108" i="5"/>
  <c r="E108" i="5"/>
  <c r="V108" i="5" s="1"/>
  <c r="W108" i="5" s="1"/>
  <c r="D108" i="5"/>
  <c r="S108" i="5" s="1"/>
  <c r="AB108" i="5" s="1"/>
  <c r="C108" i="5"/>
  <c r="B108" i="5"/>
  <c r="O107" i="5"/>
  <c r="K107" i="5"/>
  <c r="L107" i="5" s="1"/>
  <c r="M107" i="5" s="1"/>
  <c r="N107" i="5" s="1"/>
  <c r="J107" i="5"/>
  <c r="G107" i="5"/>
  <c r="H107" i="5" s="1"/>
  <c r="F107" i="5"/>
  <c r="E107" i="5"/>
  <c r="V107" i="5" s="1"/>
  <c r="W107" i="5" s="1"/>
  <c r="D107" i="5"/>
  <c r="S107" i="5" s="1"/>
  <c r="AB107" i="5" s="1"/>
  <c r="C107" i="5"/>
  <c r="B107" i="5"/>
  <c r="O106" i="5"/>
  <c r="K106" i="5"/>
  <c r="L106" i="5" s="1"/>
  <c r="M106" i="5" s="1"/>
  <c r="N106" i="5" s="1"/>
  <c r="J106" i="5"/>
  <c r="G106" i="5"/>
  <c r="H106" i="5" s="1"/>
  <c r="F106" i="5"/>
  <c r="E106" i="5"/>
  <c r="V106" i="5" s="1"/>
  <c r="W106" i="5" s="1"/>
  <c r="D106" i="5"/>
  <c r="S106" i="5" s="1"/>
  <c r="AB106" i="5" s="1"/>
  <c r="C106" i="5"/>
  <c r="B106" i="5"/>
  <c r="O105" i="5"/>
  <c r="K105" i="5"/>
  <c r="L105" i="5" s="1"/>
  <c r="M105" i="5" s="1"/>
  <c r="N105" i="5" s="1"/>
  <c r="J105" i="5"/>
  <c r="G105" i="5"/>
  <c r="H105" i="5" s="1"/>
  <c r="F105" i="5"/>
  <c r="E105" i="5"/>
  <c r="V105" i="5" s="1"/>
  <c r="W105" i="5" s="1"/>
  <c r="D105" i="5"/>
  <c r="S105" i="5" s="1"/>
  <c r="AB105" i="5" s="1"/>
  <c r="C105" i="5"/>
  <c r="B105" i="5"/>
  <c r="O104" i="5"/>
  <c r="K104" i="5"/>
  <c r="L104" i="5" s="1"/>
  <c r="M104" i="5" s="1"/>
  <c r="N104" i="5" s="1"/>
  <c r="J104" i="5"/>
  <c r="G104" i="5"/>
  <c r="H104" i="5" s="1"/>
  <c r="F104" i="5"/>
  <c r="E104" i="5"/>
  <c r="V104" i="5" s="1"/>
  <c r="W104" i="5" s="1"/>
  <c r="D104" i="5"/>
  <c r="S104" i="5" s="1"/>
  <c r="AB104" i="5" s="1"/>
  <c r="C104" i="5"/>
  <c r="B104" i="5"/>
  <c r="O103" i="5"/>
  <c r="K103" i="5"/>
  <c r="L103" i="5" s="1"/>
  <c r="M103" i="5" s="1"/>
  <c r="N103" i="5" s="1"/>
  <c r="J103" i="5"/>
  <c r="G103" i="5"/>
  <c r="H103" i="5" s="1"/>
  <c r="F103" i="5"/>
  <c r="E103" i="5"/>
  <c r="V103" i="5" s="1"/>
  <c r="W103" i="5" s="1"/>
  <c r="D103" i="5"/>
  <c r="Q103" i="5" s="1"/>
  <c r="C103" i="5"/>
  <c r="B103" i="5"/>
  <c r="O102" i="5"/>
  <c r="K102" i="5"/>
  <c r="L102" i="5" s="1"/>
  <c r="M102" i="5" s="1"/>
  <c r="N102" i="5" s="1"/>
  <c r="J102" i="5"/>
  <c r="G102" i="5"/>
  <c r="H102" i="5" s="1"/>
  <c r="F102" i="5"/>
  <c r="E102" i="5"/>
  <c r="V102" i="5" s="1"/>
  <c r="W102" i="5" s="1"/>
  <c r="D102" i="5"/>
  <c r="S102" i="5" s="1"/>
  <c r="AB102" i="5" s="1"/>
  <c r="C102" i="5"/>
  <c r="B102" i="5"/>
  <c r="O101" i="5"/>
  <c r="K101" i="5"/>
  <c r="L101" i="5" s="1"/>
  <c r="M101" i="5" s="1"/>
  <c r="N101" i="5" s="1"/>
  <c r="J101" i="5"/>
  <c r="G101" i="5"/>
  <c r="H101" i="5" s="1"/>
  <c r="F101" i="5"/>
  <c r="E101" i="5"/>
  <c r="V101" i="5" s="1"/>
  <c r="W101" i="5" s="1"/>
  <c r="D101" i="5"/>
  <c r="S101" i="5" s="1"/>
  <c r="AB101" i="5" s="1"/>
  <c r="C101" i="5"/>
  <c r="B101" i="5"/>
  <c r="O100" i="5"/>
  <c r="K100" i="5"/>
  <c r="L100" i="5" s="1"/>
  <c r="M100" i="5" s="1"/>
  <c r="N100" i="5" s="1"/>
  <c r="J100" i="5"/>
  <c r="G100" i="5"/>
  <c r="H100" i="5" s="1"/>
  <c r="F100" i="5"/>
  <c r="E100" i="5"/>
  <c r="V100" i="5" s="1"/>
  <c r="W100" i="5" s="1"/>
  <c r="D100" i="5"/>
  <c r="C100" i="5"/>
  <c r="B100" i="5"/>
  <c r="Z100" i="5" s="1"/>
  <c r="O99" i="5"/>
  <c r="K99" i="5"/>
  <c r="L99" i="5" s="1"/>
  <c r="M99" i="5" s="1"/>
  <c r="N99" i="5" s="1"/>
  <c r="J99" i="5"/>
  <c r="G99" i="5"/>
  <c r="H99" i="5" s="1"/>
  <c r="F99" i="5"/>
  <c r="E99" i="5"/>
  <c r="V99" i="5" s="1"/>
  <c r="W99" i="5" s="1"/>
  <c r="D99" i="5"/>
  <c r="S99" i="5" s="1"/>
  <c r="AB99" i="5" s="1"/>
  <c r="C99" i="5"/>
  <c r="B99" i="5"/>
  <c r="O98" i="5"/>
  <c r="K98" i="5"/>
  <c r="L98" i="5" s="1"/>
  <c r="M98" i="5" s="1"/>
  <c r="N98" i="5" s="1"/>
  <c r="J98" i="5"/>
  <c r="G98" i="5"/>
  <c r="H98" i="5" s="1"/>
  <c r="F98" i="5"/>
  <c r="E98" i="5"/>
  <c r="V98" i="5" s="1"/>
  <c r="W98" i="5" s="1"/>
  <c r="D98" i="5"/>
  <c r="S98" i="5" s="1"/>
  <c r="AB98" i="5" s="1"/>
  <c r="C98" i="5"/>
  <c r="B98" i="5"/>
  <c r="O97" i="5"/>
  <c r="K97" i="5"/>
  <c r="L97" i="5" s="1"/>
  <c r="M97" i="5" s="1"/>
  <c r="N97" i="5" s="1"/>
  <c r="J97" i="5"/>
  <c r="G97" i="5"/>
  <c r="H97" i="5" s="1"/>
  <c r="F97" i="5"/>
  <c r="E97" i="5"/>
  <c r="V97" i="5" s="1"/>
  <c r="W97" i="5" s="1"/>
  <c r="D97" i="5"/>
  <c r="S97" i="5" s="1"/>
  <c r="AB97" i="5" s="1"/>
  <c r="C97" i="5"/>
  <c r="B97" i="5"/>
  <c r="O96" i="5"/>
  <c r="K96" i="5"/>
  <c r="L96" i="5" s="1"/>
  <c r="M96" i="5" s="1"/>
  <c r="N96" i="5" s="1"/>
  <c r="J96" i="5"/>
  <c r="G96" i="5"/>
  <c r="H96" i="5" s="1"/>
  <c r="F96" i="5"/>
  <c r="E96" i="5"/>
  <c r="V96" i="5" s="1"/>
  <c r="W96" i="5" s="1"/>
  <c r="D96" i="5"/>
  <c r="S96" i="5" s="1"/>
  <c r="AB96" i="5" s="1"/>
  <c r="C96" i="5"/>
  <c r="B96" i="5"/>
  <c r="O95" i="5"/>
  <c r="K95" i="5"/>
  <c r="L95" i="5" s="1"/>
  <c r="M95" i="5" s="1"/>
  <c r="N95" i="5" s="1"/>
  <c r="J95" i="5"/>
  <c r="G95" i="5"/>
  <c r="H95" i="5" s="1"/>
  <c r="F95" i="5"/>
  <c r="E95" i="5"/>
  <c r="V95" i="5" s="1"/>
  <c r="W95" i="5" s="1"/>
  <c r="D95" i="5"/>
  <c r="S95" i="5" s="1"/>
  <c r="AB95" i="5" s="1"/>
  <c r="C95" i="5"/>
  <c r="B95" i="5"/>
  <c r="O94" i="5"/>
  <c r="K94" i="5"/>
  <c r="L94" i="5" s="1"/>
  <c r="M94" i="5" s="1"/>
  <c r="N94" i="5" s="1"/>
  <c r="J94" i="5"/>
  <c r="G94" i="5"/>
  <c r="H94" i="5" s="1"/>
  <c r="F94" i="5"/>
  <c r="E94" i="5"/>
  <c r="V94" i="5" s="1"/>
  <c r="W94" i="5" s="1"/>
  <c r="D94" i="5"/>
  <c r="S94" i="5" s="1"/>
  <c r="AB94" i="5" s="1"/>
  <c r="C94" i="5"/>
  <c r="B94" i="5"/>
  <c r="O93" i="5"/>
  <c r="K93" i="5"/>
  <c r="L93" i="5" s="1"/>
  <c r="M93" i="5" s="1"/>
  <c r="N93" i="5" s="1"/>
  <c r="J93" i="5"/>
  <c r="G93" i="5"/>
  <c r="H93" i="5" s="1"/>
  <c r="F93" i="5"/>
  <c r="E93" i="5"/>
  <c r="V93" i="5" s="1"/>
  <c r="W93" i="5" s="1"/>
  <c r="D93" i="5"/>
  <c r="S93" i="5" s="1"/>
  <c r="AB93" i="5" s="1"/>
  <c r="C93" i="5"/>
  <c r="B93" i="5"/>
  <c r="O92" i="5"/>
  <c r="K92" i="5"/>
  <c r="L92" i="5" s="1"/>
  <c r="M92" i="5" s="1"/>
  <c r="N92" i="5" s="1"/>
  <c r="J92" i="5"/>
  <c r="G92" i="5"/>
  <c r="H92" i="5" s="1"/>
  <c r="F92" i="5"/>
  <c r="E92" i="5"/>
  <c r="V92" i="5" s="1"/>
  <c r="W92" i="5" s="1"/>
  <c r="D92" i="5"/>
  <c r="S92" i="5" s="1"/>
  <c r="AB92" i="5" s="1"/>
  <c r="C92" i="5"/>
  <c r="B92" i="5"/>
  <c r="O91" i="5"/>
  <c r="K91" i="5"/>
  <c r="L91" i="5" s="1"/>
  <c r="M91" i="5" s="1"/>
  <c r="N91" i="5" s="1"/>
  <c r="J91" i="5"/>
  <c r="G91" i="5"/>
  <c r="H91" i="5" s="1"/>
  <c r="F91" i="5"/>
  <c r="E91" i="5"/>
  <c r="V91" i="5" s="1"/>
  <c r="W91" i="5" s="1"/>
  <c r="D91" i="5"/>
  <c r="S91" i="5" s="1"/>
  <c r="AB91" i="5" s="1"/>
  <c r="C91" i="5"/>
  <c r="B91" i="5"/>
  <c r="O90" i="5"/>
  <c r="K90" i="5"/>
  <c r="L90" i="5" s="1"/>
  <c r="M90" i="5" s="1"/>
  <c r="N90" i="5" s="1"/>
  <c r="J90" i="5"/>
  <c r="G90" i="5"/>
  <c r="H90" i="5" s="1"/>
  <c r="F90" i="5"/>
  <c r="E90" i="5"/>
  <c r="V90" i="5" s="1"/>
  <c r="W90" i="5" s="1"/>
  <c r="D90" i="5"/>
  <c r="S90" i="5" s="1"/>
  <c r="AB90" i="5" s="1"/>
  <c r="C90" i="5"/>
  <c r="B90" i="5"/>
  <c r="O89" i="5"/>
  <c r="K89" i="5"/>
  <c r="L89" i="5" s="1"/>
  <c r="M89" i="5" s="1"/>
  <c r="N89" i="5" s="1"/>
  <c r="J89" i="5"/>
  <c r="G89" i="5"/>
  <c r="H89" i="5" s="1"/>
  <c r="F89" i="5"/>
  <c r="E89" i="5"/>
  <c r="V89" i="5" s="1"/>
  <c r="W89" i="5" s="1"/>
  <c r="D89" i="5"/>
  <c r="S89" i="5" s="1"/>
  <c r="AB89" i="5" s="1"/>
  <c r="C89" i="5"/>
  <c r="B89" i="5"/>
  <c r="O88" i="5"/>
  <c r="K88" i="5"/>
  <c r="L88" i="5" s="1"/>
  <c r="M88" i="5" s="1"/>
  <c r="N88" i="5" s="1"/>
  <c r="J88" i="5"/>
  <c r="G88" i="5"/>
  <c r="H88" i="5" s="1"/>
  <c r="F88" i="5"/>
  <c r="E88" i="5"/>
  <c r="V88" i="5" s="1"/>
  <c r="W88" i="5" s="1"/>
  <c r="D88" i="5"/>
  <c r="S88" i="5" s="1"/>
  <c r="AB88" i="5" s="1"/>
  <c r="C88" i="5"/>
  <c r="B88" i="5"/>
  <c r="O87" i="5"/>
  <c r="K87" i="5"/>
  <c r="L87" i="5" s="1"/>
  <c r="M87" i="5" s="1"/>
  <c r="N87" i="5" s="1"/>
  <c r="J87" i="5"/>
  <c r="G87" i="5"/>
  <c r="H87" i="5" s="1"/>
  <c r="F87" i="5"/>
  <c r="E87" i="5"/>
  <c r="V87" i="5" s="1"/>
  <c r="W87" i="5" s="1"/>
  <c r="D87" i="5"/>
  <c r="S87" i="5" s="1"/>
  <c r="AB87" i="5" s="1"/>
  <c r="C87" i="5"/>
  <c r="B87" i="5"/>
  <c r="O86" i="5"/>
  <c r="K86" i="5"/>
  <c r="L86" i="5" s="1"/>
  <c r="M86" i="5" s="1"/>
  <c r="N86" i="5" s="1"/>
  <c r="J86" i="5"/>
  <c r="G86" i="5"/>
  <c r="H86" i="5" s="1"/>
  <c r="F86" i="5"/>
  <c r="E86" i="5"/>
  <c r="V86" i="5" s="1"/>
  <c r="W86" i="5" s="1"/>
  <c r="D86" i="5"/>
  <c r="S86" i="5" s="1"/>
  <c r="AB86" i="5" s="1"/>
  <c r="C86" i="5"/>
  <c r="B86" i="5"/>
  <c r="O85" i="5"/>
  <c r="K85" i="5"/>
  <c r="L85" i="5" s="1"/>
  <c r="M85" i="5" s="1"/>
  <c r="N85" i="5" s="1"/>
  <c r="J85" i="5"/>
  <c r="G85" i="5"/>
  <c r="H85" i="5" s="1"/>
  <c r="F85" i="5"/>
  <c r="E85" i="5"/>
  <c r="V85" i="5" s="1"/>
  <c r="W85" i="5" s="1"/>
  <c r="D85" i="5"/>
  <c r="S85" i="5" s="1"/>
  <c r="AB85" i="5" s="1"/>
  <c r="C85" i="5"/>
  <c r="B85" i="5"/>
  <c r="O84" i="5"/>
  <c r="K84" i="5"/>
  <c r="L84" i="5" s="1"/>
  <c r="M84" i="5" s="1"/>
  <c r="N84" i="5" s="1"/>
  <c r="J84" i="5"/>
  <c r="G84" i="5"/>
  <c r="P84" i="5" s="1"/>
  <c r="F84" i="5"/>
  <c r="E84" i="5"/>
  <c r="D84" i="5"/>
  <c r="Q84" i="5" s="1"/>
  <c r="C84" i="5"/>
  <c r="B84" i="5"/>
  <c r="O83" i="5"/>
  <c r="K83" i="5"/>
  <c r="L83" i="5" s="1"/>
  <c r="M83" i="5" s="1"/>
  <c r="N83" i="5" s="1"/>
  <c r="J83" i="5"/>
  <c r="G83" i="5"/>
  <c r="P83" i="5" s="1"/>
  <c r="F83" i="5"/>
  <c r="E83" i="5"/>
  <c r="V83" i="5" s="1"/>
  <c r="W83" i="5" s="1"/>
  <c r="D83" i="5"/>
  <c r="Q83" i="5" s="1"/>
  <c r="C83" i="5"/>
  <c r="B83" i="5"/>
  <c r="O82" i="5"/>
  <c r="K82" i="5"/>
  <c r="L82" i="5" s="1"/>
  <c r="M82" i="5" s="1"/>
  <c r="N82" i="5" s="1"/>
  <c r="J82" i="5"/>
  <c r="G82" i="5"/>
  <c r="H82" i="5" s="1"/>
  <c r="F82" i="5"/>
  <c r="E82" i="5"/>
  <c r="V82" i="5" s="1"/>
  <c r="W82" i="5" s="1"/>
  <c r="D82" i="5"/>
  <c r="S82" i="5" s="1"/>
  <c r="AB82" i="5" s="1"/>
  <c r="C82" i="5"/>
  <c r="B82" i="5"/>
  <c r="O81" i="5"/>
  <c r="K81" i="5"/>
  <c r="L81" i="5" s="1"/>
  <c r="M81" i="5" s="1"/>
  <c r="N81" i="5" s="1"/>
  <c r="J81" i="5"/>
  <c r="G81" i="5"/>
  <c r="H81" i="5" s="1"/>
  <c r="F81" i="5"/>
  <c r="E81" i="5"/>
  <c r="V81" i="5" s="1"/>
  <c r="W81" i="5" s="1"/>
  <c r="D81" i="5"/>
  <c r="S81" i="5" s="1"/>
  <c r="AB81" i="5" s="1"/>
  <c r="C81" i="5"/>
  <c r="B81" i="5"/>
  <c r="O80" i="5"/>
  <c r="K80" i="5"/>
  <c r="L80" i="5" s="1"/>
  <c r="M80" i="5" s="1"/>
  <c r="N80" i="5" s="1"/>
  <c r="J80" i="5"/>
  <c r="G80" i="5"/>
  <c r="H80" i="5" s="1"/>
  <c r="F80" i="5"/>
  <c r="E80" i="5"/>
  <c r="V80" i="5" s="1"/>
  <c r="W80" i="5" s="1"/>
  <c r="D80" i="5"/>
  <c r="S80" i="5" s="1"/>
  <c r="AB80" i="5" s="1"/>
  <c r="C80" i="5"/>
  <c r="B80" i="5"/>
  <c r="O79" i="5"/>
  <c r="K79" i="5"/>
  <c r="L79" i="5" s="1"/>
  <c r="M79" i="5" s="1"/>
  <c r="N79" i="5" s="1"/>
  <c r="J79" i="5"/>
  <c r="G79" i="5"/>
  <c r="P79" i="5" s="1"/>
  <c r="F79" i="5"/>
  <c r="E79" i="5"/>
  <c r="V79" i="5" s="1"/>
  <c r="W79" i="5" s="1"/>
  <c r="D79" i="5"/>
  <c r="S79" i="5" s="1"/>
  <c r="AB79" i="5" s="1"/>
  <c r="C79" i="5"/>
  <c r="B79" i="5"/>
  <c r="O78" i="5"/>
  <c r="K78" i="5"/>
  <c r="L78" i="5" s="1"/>
  <c r="M78" i="5" s="1"/>
  <c r="N78" i="5" s="1"/>
  <c r="J78" i="5"/>
  <c r="G78" i="5"/>
  <c r="H78" i="5" s="1"/>
  <c r="F78" i="5"/>
  <c r="E78" i="5"/>
  <c r="V78" i="5" s="1"/>
  <c r="W78" i="5" s="1"/>
  <c r="D78" i="5"/>
  <c r="S78" i="5" s="1"/>
  <c r="AB78" i="5" s="1"/>
  <c r="C78" i="5"/>
  <c r="B78" i="5"/>
  <c r="O77" i="5"/>
  <c r="K77" i="5"/>
  <c r="L77" i="5" s="1"/>
  <c r="M77" i="5" s="1"/>
  <c r="N77" i="5" s="1"/>
  <c r="J77" i="5"/>
  <c r="G77" i="5"/>
  <c r="P77" i="5" s="1"/>
  <c r="F77" i="5"/>
  <c r="E77" i="5"/>
  <c r="V77" i="5" s="1"/>
  <c r="W77" i="5" s="1"/>
  <c r="D77" i="5"/>
  <c r="S77" i="5" s="1"/>
  <c r="AB77" i="5" s="1"/>
  <c r="C77" i="5"/>
  <c r="B77" i="5"/>
  <c r="O76" i="5"/>
  <c r="K76" i="5"/>
  <c r="L76" i="5" s="1"/>
  <c r="M76" i="5" s="1"/>
  <c r="N76" i="5" s="1"/>
  <c r="J76" i="5"/>
  <c r="G76" i="5"/>
  <c r="P76" i="5" s="1"/>
  <c r="F76" i="5"/>
  <c r="E76" i="5"/>
  <c r="V76" i="5" s="1"/>
  <c r="W76" i="5" s="1"/>
  <c r="D76" i="5"/>
  <c r="S76" i="5" s="1"/>
  <c r="AB76" i="5" s="1"/>
  <c r="C76" i="5"/>
  <c r="B76" i="5"/>
  <c r="O75" i="5"/>
  <c r="K75" i="5"/>
  <c r="L75" i="5" s="1"/>
  <c r="M75" i="5" s="1"/>
  <c r="N75" i="5" s="1"/>
  <c r="J75" i="5"/>
  <c r="G75" i="5"/>
  <c r="P75" i="5" s="1"/>
  <c r="F75" i="5"/>
  <c r="E75" i="5"/>
  <c r="V75" i="5" s="1"/>
  <c r="W75" i="5" s="1"/>
  <c r="D75" i="5"/>
  <c r="S75" i="5" s="1"/>
  <c r="AB75" i="5" s="1"/>
  <c r="C75" i="5"/>
  <c r="B75" i="5"/>
  <c r="O74" i="5"/>
  <c r="K74" i="5"/>
  <c r="L74" i="5" s="1"/>
  <c r="M74" i="5" s="1"/>
  <c r="N74" i="5" s="1"/>
  <c r="J74" i="5"/>
  <c r="G74" i="5"/>
  <c r="H74" i="5" s="1"/>
  <c r="F74" i="5"/>
  <c r="E74" i="5"/>
  <c r="V74" i="5" s="1"/>
  <c r="W74" i="5" s="1"/>
  <c r="D74" i="5"/>
  <c r="S74" i="5" s="1"/>
  <c r="AB74" i="5" s="1"/>
  <c r="C74" i="5"/>
  <c r="B74" i="5"/>
  <c r="O73" i="5"/>
  <c r="K73" i="5"/>
  <c r="L73" i="5" s="1"/>
  <c r="M73" i="5" s="1"/>
  <c r="N73" i="5" s="1"/>
  <c r="J73" i="5"/>
  <c r="G73" i="5"/>
  <c r="H73" i="5" s="1"/>
  <c r="F73" i="5"/>
  <c r="E73" i="5"/>
  <c r="V73" i="5" s="1"/>
  <c r="W73" i="5" s="1"/>
  <c r="D73" i="5"/>
  <c r="S73" i="5" s="1"/>
  <c r="AB73" i="5" s="1"/>
  <c r="C73" i="5"/>
  <c r="B73" i="5"/>
  <c r="Z73" i="5" s="1"/>
  <c r="O72" i="5"/>
  <c r="K72" i="5"/>
  <c r="L72" i="5" s="1"/>
  <c r="M72" i="5" s="1"/>
  <c r="N72" i="5" s="1"/>
  <c r="J72" i="5"/>
  <c r="G72" i="5"/>
  <c r="H72" i="5" s="1"/>
  <c r="F72" i="5"/>
  <c r="E72" i="5"/>
  <c r="V72" i="5" s="1"/>
  <c r="W72" i="5" s="1"/>
  <c r="D72" i="5"/>
  <c r="S72" i="5" s="1"/>
  <c r="AB72" i="5" s="1"/>
  <c r="C72" i="5"/>
  <c r="B72" i="5"/>
  <c r="O71" i="5"/>
  <c r="K71" i="5"/>
  <c r="L71" i="5" s="1"/>
  <c r="M71" i="5" s="1"/>
  <c r="N71" i="5" s="1"/>
  <c r="J71" i="5"/>
  <c r="G71" i="5"/>
  <c r="H71" i="5" s="1"/>
  <c r="F71" i="5"/>
  <c r="E71" i="5"/>
  <c r="V71" i="5" s="1"/>
  <c r="W71" i="5" s="1"/>
  <c r="D71" i="5"/>
  <c r="S71" i="5" s="1"/>
  <c r="AB71" i="5" s="1"/>
  <c r="C71" i="5"/>
  <c r="B71" i="5"/>
  <c r="O70" i="5"/>
  <c r="K70" i="5"/>
  <c r="L70" i="5" s="1"/>
  <c r="M70" i="5" s="1"/>
  <c r="N70" i="5" s="1"/>
  <c r="J70" i="5"/>
  <c r="G70" i="5"/>
  <c r="H70" i="5" s="1"/>
  <c r="F70" i="5"/>
  <c r="E70" i="5"/>
  <c r="V70" i="5" s="1"/>
  <c r="W70" i="5" s="1"/>
  <c r="D70" i="5"/>
  <c r="S70" i="5" s="1"/>
  <c r="AB70" i="5" s="1"/>
  <c r="C70" i="5"/>
  <c r="B70" i="5"/>
  <c r="O69" i="5"/>
  <c r="K69" i="5"/>
  <c r="L69" i="5" s="1"/>
  <c r="M69" i="5" s="1"/>
  <c r="N69" i="5" s="1"/>
  <c r="J69" i="5"/>
  <c r="G69" i="5"/>
  <c r="P69" i="5" s="1"/>
  <c r="F69" i="5"/>
  <c r="E69" i="5"/>
  <c r="V69" i="5" s="1"/>
  <c r="W69" i="5" s="1"/>
  <c r="D69" i="5"/>
  <c r="S69" i="5" s="1"/>
  <c r="AB69" i="5" s="1"/>
  <c r="C69" i="5"/>
  <c r="B69" i="5"/>
  <c r="O68" i="5"/>
  <c r="K68" i="5"/>
  <c r="L68" i="5" s="1"/>
  <c r="M68" i="5" s="1"/>
  <c r="N68" i="5" s="1"/>
  <c r="J68" i="5"/>
  <c r="G68" i="5"/>
  <c r="H68" i="5" s="1"/>
  <c r="F68" i="5"/>
  <c r="E68" i="5"/>
  <c r="V68" i="5" s="1"/>
  <c r="W68" i="5" s="1"/>
  <c r="D68" i="5"/>
  <c r="Q68" i="5" s="1"/>
  <c r="C68" i="5"/>
  <c r="B68" i="5"/>
  <c r="O67" i="5"/>
  <c r="K67" i="5"/>
  <c r="L67" i="5" s="1"/>
  <c r="M67" i="5" s="1"/>
  <c r="N67" i="5" s="1"/>
  <c r="J67" i="5"/>
  <c r="G67" i="5"/>
  <c r="H67" i="5" s="1"/>
  <c r="F67" i="5"/>
  <c r="E67" i="5"/>
  <c r="V67" i="5" s="1"/>
  <c r="W67" i="5" s="1"/>
  <c r="D67" i="5"/>
  <c r="C67" i="5"/>
  <c r="B67" i="5"/>
  <c r="O66" i="5"/>
  <c r="K66" i="5"/>
  <c r="L66" i="5" s="1"/>
  <c r="M66" i="5" s="1"/>
  <c r="N66" i="5" s="1"/>
  <c r="J66" i="5"/>
  <c r="G66" i="5"/>
  <c r="H66" i="5" s="1"/>
  <c r="F66" i="5"/>
  <c r="E66" i="5"/>
  <c r="V66" i="5" s="1"/>
  <c r="W66" i="5" s="1"/>
  <c r="D66" i="5"/>
  <c r="S66" i="5" s="1"/>
  <c r="AB66" i="5" s="1"/>
  <c r="C66" i="5"/>
  <c r="B66" i="5"/>
  <c r="O65" i="5"/>
  <c r="K65" i="5"/>
  <c r="L65" i="5" s="1"/>
  <c r="M65" i="5" s="1"/>
  <c r="N65" i="5" s="1"/>
  <c r="J65" i="5"/>
  <c r="G65" i="5"/>
  <c r="H65" i="5" s="1"/>
  <c r="F65" i="5"/>
  <c r="E65" i="5"/>
  <c r="V65" i="5" s="1"/>
  <c r="W65" i="5" s="1"/>
  <c r="D65" i="5"/>
  <c r="S65" i="5" s="1"/>
  <c r="AB65" i="5" s="1"/>
  <c r="C65" i="5"/>
  <c r="B65" i="5"/>
  <c r="O64" i="5"/>
  <c r="K64" i="5"/>
  <c r="L64" i="5" s="1"/>
  <c r="M64" i="5" s="1"/>
  <c r="N64" i="5" s="1"/>
  <c r="J64" i="5"/>
  <c r="G64" i="5"/>
  <c r="H64" i="5" s="1"/>
  <c r="F64" i="5"/>
  <c r="E64" i="5"/>
  <c r="V64" i="5" s="1"/>
  <c r="W64" i="5" s="1"/>
  <c r="D64" i="5"/>
  <c r="S64" i="5" s="1"/>
  <c r="AB64" i="5" s="1"/>
  <c r="C64" i="5"/>
  <c r="B64" i="5"/>
  <c r="O63" i="5"/>
  <c r="K63" i="5"/>
  <c r="L63" i="5" s="1"/>
  <c r="M63" i="5" s="1"/>
  <c r="N63" i="5" s="1"/>
  <c r="J63" i="5"/>
  <c r="G63" i="5"/>
  <c r="H63" i="5" s="1"/>
  <c r="F63" i="5"/>
  <c r="E63" i="5"/>
  <c r="V63" i="5" s="1"/>
  <c r="W63" i="5" s="1"/>
  <c r="D63" i="5"/>
  <c r="S63" i="5" s="1"/>
  <c r="AB63" i="5" s="1"/>
  <c r="C63" i="5"/>
  <c r="B63" i="5"/>
  <c r="O62" i="5"/>
  <c r="K62" i="5"/>
  <c r="L62" i="5" s="1"/>
  <c r="M62" i="5" s="1"/>
  <c r="N62" i="5" s="1"/>
  <c r="J62" i="5"/>
  <c r="G62" i="5"/>
  <c r="H62" i="5" s="1"/>
  <c r="F62" i="5"/>
  <c r="E62" i="5"/>
  <c r="V62" i="5" s="1"/>
  <c r="W62" i="5" s="1"/>
  <c r="D62" i="5"/>
  <c r="S62" i="5" s="1"/>
  <c r="AB62" i="5" s="1"/>
  <c r="C62" i="5"/>
  <c r="B62" i="5"/>
  <c r="O61" i="5"/>
  <c r="K61" i="5"/>
  <c r="L61" i="5" s="1"/>
  <c r="M61" i="5" s="1"/>
  <c r="N61" i="5" s="1"/>
  <c r="J61" i="5"/>
  <c r="G61" i="5"/>
  <c r="H61" i="5" s="1"/>
  <c r="F61" i="5"/>
  <c r="E61" i="5"/>
  <c r="V61" i="5" s="1"/>
  <c r="W61" i="5" s="1"/>
  <c r="D61" i="5"/>
  <c r="S61" i="5" s="1"/>
  <c r="AB61" i="5" s="1"/>
  <c r="C61" i="5"/>
  <c r="B61" i="5"/>
  <c r="O60" i="5"/>
  <c r="K60" i="5"/>
  <c r="L60" i="5" s="1"/>
  <c r="M60" i="5" s="1"/>
  <c r="N60" i="5" s="1"/>
  <c r="J60" i="5"/>
  <c r="G60" i="5"/>
  <c r="H60" i="5" s="1"/>
  <c r="F60" i="5"/>
  <c r="E60" i="5"/>
  <c r="D60" i="5"/>
  <c r="S60" i="5" s="1"/>
  <c r="AB60" i="5" s="1"/>
  <c r="C60" i="5"/>
  <c r="B60" i="5"/>
  <c r="O59" i="5"/>
  <c r="K59" i="5"/>
  <c r="L59" i="5" s="1"/>
  <c r="M59" i="5" s="1"/>
  <c r="N59" i="5" s="1"/>
  <c r="J59" i="5"/>
  <c r="G59" i="5"/>
  <c r="H59" i="5" s="1"/>
  <c r="F59" i="5"/>
  <c r="E59" i="5"/>
  <c r="V59" i="5" s="1"/>
  <c r="W59" i="5" s="1"/>
  <c r="D59" i="5"/>
  <c r="S59" i="5" s="1"/>
  <c r="AB59" i="5" s="1"/>
  <c r="C59" i="5"/>
  <c r="B59" i="5"/>
  <c r="O58" i="5"/>
  <c r="K58" i="5"/>
  <c r="L58" i="5" s="1"/>
  <c r="M58" i="5" s="1"/>
  <c r="N58" i="5" s="1"/>
  <c r="J58" i="5"/>
  <c r="G58" i="5"/>
  <c r="H58" i="5" s="1"/>
  <c r="F58" i="5"/>
  <c r="E58" i="5"/>
  <c r="V58" i="5" s="1"/>
  <c r="W58" i="5" s="1"/>
  <c r="D58" i="5"/>
  <c r="S58" i="5" s="1"/>
  <c r="AB58" i="5" s="1"/>
  <c r="C58" i="5"/>
  <c r="B58" i="5"/>
  <c r="O57" i="5"/>
  <c r="K57" i="5"/>
  <c r="L57" i="5" s="1"/>
  <c r="M57" i="5" s="1"/>
  <c r="N57" i="5" s="1"/>
  <c r="J57" i="5"/>
  <c r="G57" i="5"/>
  <c r="H57" i="5" s="1"/>
  <c r="F57" i="5"/>
  <c r="E57" i="5"/>
  <c r="V57" i="5" s="1"/>
  <c r="W57" i="5" s="1"/>
  <c r="D57" i="5"/>
  <c r="S57" i="5" s="1"/>
  <c r="AB57" i="5" s="1"/>
  <c r="C57" i="5"/>
  <c r="B57" i="5"/>
  <c r="O56" i="5"/>
  <c r="K56" i="5"/>
  <c r="L56" i="5" s="1"/>
  <c r="M56" i="5" s="1"/>
  <c r="N56" i="5" s="1"/>
  <c r="J56" i="5"/>
  <c r="G56" i="5"/>
  <c r="H56" i="5" s="1"/>
  <c r="F56" i="5"/>
  <c r="E56" i="5"/>
  <c r="V56" i="5" s="1"/>
  <c r="W56" i="5" s="1"/>
  <c r="D56" i="5"/>
  <c r="S56" i="5" s="1"/>
  <c r="AB56" i="5" s="1"/>
  <c r="C56" i="5"/>
  <c r="B56" i="5"/>
  <c r="O55" i="5"/>
  <c r="K55" i="5"/>
  <c r="L55" i="5" s="1"/>
  <c r="M55" i="5" s="1"/>
  <c r="N55" i="5" s="1"/>
  <c r="J55" i="5"/>
  <c r="G55" i="5"/>
  <c r="H55" i="5" s="1"/>
  <c r="F55" i="5"/>
  <c r="E55" i="5"/>
  <c r="V55" i="5" s="1"/>
  <c r="W55" i="5" s="1"/>
  <c r="D55" i="5"/>
  <c r="S55" i="5" s="1"/>
  <c r="AB55" i="5" s="1"/>
  <c r="C55" i="5"/>
  <c r="B55" i="5"/>
  <c r="O54" i="5"/>
  <c r="K54" i="5"/>
  <c r="L54" i="5" s="1"/>
  <c r="M54" i="5" s="1"/>
  <c r="N54" i="5" s="1"/>
  <c r="J54" i="5"/>
  <c r="G54" i="5"/>
  <c r="H54" i="5" s="1"/>
  <c r="F54" i="5"/>
  <c r="E54" i="5"/>
  <c r="V54" i="5" s="1"/>
  <c r="W54" i="5" s="1"/>
  <c r="D54" i="5"/>
  <c r="S54" i="5" s="1"/>
  <c r="AB54" i="5" s="1"/>
  <c r="C54" i="5"/>
  <c r="B54" i="5"/>
  <c r="O53" i="5"/>
  <c r="K53" i="5"/>
  <c r="L53" i="5" s="1"/>
  <c r="M53" i="5" s="1"/>
  <c r="N53" i="5" s="1"/>
  <c r="J53" i="5"/>
  <c r="G53" i="5"/>
  <c r="H53" i="5" s="1"/>
  <c r="F53" i="5"/>
  <c r="E53" i="5"/>
  <c r="V53" i="5" s="1"/>
  <c r="W53" i="5" s="1"/>
  <c r="D53" i="5"/>
  <c r="S53" i="5" s="1"/>
  <c r="AB53" i="5" s="1"/>
  <c r="C53" i="5"/>
  <c r="B53" i="5"/>
  <c r="O52" i="5"/>
  <c r="K52" i="5"/>
  <c r="L52" i="5" s="1"/>
  <c r="M52" i="5" s="1"/>
  <c r="N52" i="5" s="1"/>
  <c r="J52" i="5"/>
  <c r="G52" i="5"/>
  <c r="H52" i="5" s="1"/>
  <c r="F52" i="5"/>
  <c r="E52" i="5"/>
  <c r="V52" i="5" s="1"/>
  <c r="W52" i="5" s="1"/>
  <c r="D52" i="5"/>
  <c r="S52" i="5" s="1"/>
  <c r="AB52" i="5" s="1"/>
  <c r="C52" i="5"/>
  <c r="B52" i="5"/>
  <c r="O51" i="5"/>
  <c r="K51" i="5"/>
  <c r="L51" i="5" s="1"/>
  <c r="M51" i="5" s="1"/>
  <c r="N51" i="5" s="1"/>
  <c r="J51" i="5"/>
  <c r="G51" i="5"/>
  <c r="H51" i="5" s="1"/>
  <c r="F51" i="5"/>
  <c r="E51" i="5"/>
  <c r="V51" i="5" s="1"/>
  <c r="W51" i="5" s="1"/>
  <c r="D51" i="5"/>
  <c r="C51" i="5"/>
  <c r="B51" i="5"/>
  <c r="O50" i="5"/>
  <c r="K50" i="5"/>
  <c r="L50" i="5" s="1"/>
  <c r="M50" i="5" s="1"/>
  <c r="N50" i="5" s="1"/>
  <c r="J50" i="5"/>
  <c r="G50" i="5"/>
  <c r="H50" i="5" s="1"/>
  <c r="F50" i="5"/>
  <c r="E50" i="5"/>
  <c r="V50" i="5" s="1"/>
  <c r="W50" i="5" s="1"/>
  <c r="D50" i="5"/>
  <c r="C50" i="5"/>
  <c r="B50" i="5"/>
  <c r="O49" i="5"/>
  <c r="K49" i="5"/>
  <c r="L49" i="5" s="1"/>
  <c r="M49" i="5" s="1"/>
  <c r="N49" i="5" s="1"/>
  <c r="J49" i="5"/>
  <c r="G49" i="5"/>
  <c r="H49" i="5" s="1"/>
  <c r="F49" i="5"/>
  <c r="E49" i="5"/>
  <c r="V49" i="5" s="1"/>
  <c r="W49" i="5" s="1"/>
  <c r="D49" i="5"/>
  <c r="S49" i="5" s="1"/>
  <c r="AB49" i="5" s="1"/>
  <c r="C49" i="5"/>
  <c r="B49" i="5"/>
  <c r="O48" i="5"/>
  <c r="K48" i="5"/>
  <c r="L48" i="5" s="1"/>
  <c r="M48" i="5" s="1"/>
  <c r="N48" i="5" s="1"/>
  <c r="J48" i="5"/>
  <c r="G48" i="5"/>
  <c r="H48" i="5" s="1"/>
  <c r="F48" i="5"/>
  <c r="E48" i="5"/>
  <c r="V48" i="5" s="1"/>
  <c r="W48" i="5" s="1"/>
  <c r="D48" i="5"/>
  <c r="S48" i="5" s="1"/>
  <c r="AB48" i="5" s="1"/>
  <c r="C48" i="5"/>
  <c r="B48" i="5"/>
  <c r="O47" i="5"/>
  <c r="K47" i="5"/>
  <c r="L47" i="5" s="1"/>
  <c r="M47" i="5" s="1"/>
  <c r="N47" i="5" s="1"/>
  <c r="J47" i="5"/>
  <c r="G47" i="5"/>
  <c r="H47" i="5" s="1"/>
  <c r="F47" i="5"/>
  <c r="E47" i="5"/>
  <c r="V47" i="5" s="1"/>
  <c r="W47" i="5" s="1"/>
  <c r="D47" i="5"/>
  <c r="S47" i="5" s="1"/>
  <c r="AB47" i="5" s="1"/>
  <c r="C47" i="5"/>
  <c r="B47" i="5"/>
  <c r="O46" i="5"/>
  <c r="K46" i="5"/>
  <c r="L46" i="5" s="1"/>
  <c r="M46" i="5" s="1"/>
  <c r="N46" i="5" s="1"/>
  <c r="J46" i="5"/>
  <c r="G46" i="5"/>
  <c r="H46" i="5" s="1"/>
  <c r="F46" i="5"/>
  <c r="E46" i="5"/>
  <c r="V46" i="5" s="1"/>
  <c r="W46" i="5" s="1"/>
  <c r="D46" i="5"/>
  <c r="S46" i="5" s="1"/>
  <c r="AB46" i="5" s="1"/>
  <c r="C46" i="5"/>
  <c r="B46" i="5"/>
  <c r="O45" i="5"/>
  <c r="K45" i="5"/>
  <c r="L45" i="5" s="1"/>
  <c r="M45" i="5" s="1"/>
  <c r="N45" i="5" s="1"/>
  <c r="J45" i="5"/>
  <c r="G45" i="5"/>
  <c r="H45" i="5" s="1"/>
  <c r="F45" i="5"/>
  <c r="E45" i="5"/>
  <c r="V45" i="5" s="1"/>
  <c r="W45" i="5" s="1"/>
  <c r="D45" i="5"/>
  <c r="S45" i="5" s="1"/>
  <c r="AB45" i="5" s="1"/>
  <c r="C45" i="5"/>
  <c r="B45" i="5"/>
  <c r="O44" i="5"/>
  <c r="K44" i="5"/>
  <c r="L44" i="5" s="1"/>
  <c r="M44" i="5" s="1"/>
  <c r="N44" i="5" s="1"/>
  <c r="J44" i="5"/>
  <c r="G44" i="5"/>
  <c r="H44" i="5" s="1"/>
  <c r="F44" i="5"/>
  <c r="E44" i="5"/>
  <c r="V44" i="5" s="1"/>
  <c r="W44" i="5" s="1"/>
  <c r="D44" i="5"/>
  <c r="S44" i="5" s="1"/>
  <c r="AB44" i="5" s="1"/>
  <c r="C44" i="5"/>
  <c r="B44" i="5"/>
  <c r="O43" i="5"/>
  <c r="K43" i="5"/>
  <c r="L43" i="5" s="1"/>
  <c r="M43" i="5" s="1"/>
  <c r="N43" i="5" s="1"/>
  <c r="J43" i="5"/>
  <c r="G43" i="5"/>
  <c r="H43" i="5" s="1"/>
  <c r="F43" i="5"/>
  <c r="E43" i="5"/>
  <c r="V43" i="5" s="1"/>
  <c r="W43" i="5" s="1"/>
  <c r="D43" i="5"/>
  <c r="S43" i="5" s="1"/>
  <c r="AB43" i="5" s="1"/>
  <c r="C43" i="5"/>
  <c r="B43" i="5"/>
  <c r="O42" i="5"/>
  <c r="K42" i="5"/>
  <c r="L42" i="5" s="1"/>
  <c r="M42" i="5" s="1"/>
  <c r="N42" i="5" s="1"/>
  <c r="J42" i="5"/>
  <c r="G42" i="5"/>
  <c r="H42" i="5" s="1"/>
  <c r="F42" i="5"/>
  <c r="E42" i="5"/>
  <c r="V42" i="5" s="1"/>
  <c r="W42" i="5" s="1"/>
  <c r="D42" i="5"/>
  <c r="S42" i="5" s="1"/>
  <c r="AB42" i="5" s="1"/>
  <c r="C42" i="5"/>
  <c r="B42" i="5"/>
  <c r="O41" i="5"/>
  <c r="K41" i="5"/>
  <c r="L41" i="5" s="1"/>
  <c r="M41" i="5" s="1"/>
  <c r="N41" i="5" s="1"/>
  <c r="J41" i="5"/>
  <c r="G41" i="5"/>
  <c r="H41" i="5" s="1"/>
  <c r="F41" i="5"/>
  <c r="E41" i="5"/>
  <c r="V41" i="5" s="1"/>
  <c r="W41" i="5" s="1"/>
  <c r="D41" i="5"/>
  <c r="S41" i="5" s="1"/>
  <c r="AB41" i="5" s="1"/>
  <c r="C41" i="5"/>
  <c r="B41" i="5"/>
  <c r="O40" i="5"/>
  <c r="K40" i="5"/>
  <c r="L40" i="5" s="1"/>
  <c r="M40" i="5" s="1"/>
  <c r="N40" i="5" s="1"/>
  <c r="J40" i="5"/>
  <c r="G40" i="5"/>
  <c r="H40" i="5" s="1"/>
  <c r="F40" i="5"/>
  <c r="E40" i="5"/>
  <c r="V40" i="5" s="1"/>
  <c r="W40" i="5" s="1"/>
  <c r="D40" i="5"/>
  <c r="S40" i="5" s="1"/>
  <c r="AB40" i="5" s="1"/>
  <c r="C40" i="5"/>
  <c r="B40" i="5"/>
  <c r="O39" i="5"/>
  <c r="K39" i="5"/>
  <c r="L39" i="5" s="1"/>
  <c r="M39" i="5" s="1"/>
  <c r="N39" i="5" s="1"/>
  <c r="J39" i="5"/>
  <c r="G39" i="5"/>
  <c r="P39" i="5" s="1"/>
  <c r="F39" i="5"/>
  <c r="E39" i="5"/>
  <c r="V39" i="5" s="1"/>
  <c r="W39" i="5" s="1"/>
  <c r="D39" i="5"/>
  <c r="S39" i="5" s="1"/>
  <c r="AB39" i="5" s="1"/>
  <c r="C39" i="5"/>
  <c r="B39" i="5"/>
  <c r="O38" i="5"/>
  <c r="K38" i="5"/>
  <c r="L38" i="5" s="1"/>
  <c r="M38" i="5" s="1"/>
  <c r="N38" i="5" s="1"/>
  <c r="J38" i="5"/>
  <c r="G38" i="5"/>
  <c r="H38" i="5" s="1"/>
  <c r="F38" i="5"/>
  <c r="E38" i="5"/>
  <c r="V38" i="5" s="1"/>
  <c r="W38" i="5" s="1"/>
  <c r="D38" i="5"/>
  <c r="S38" i="5" s="1"/>
  <c r="AB38" i="5" s="1"/>
  <c r="C38" i="5"/>
  <c r="B38" i="5"/>
  <c r="O37" i="5"/>
  <c r="K37" i="5"/>
  <c r="L37" i="5" s="1"/>
  <c r="M37" i="5" s="1"/>
  <c r="N37" i="5" s="1"/>
  <c r="J37" i="5"/>
  <c r="G37" i="5"/>
  <c r="H37" i="5" s="1"/>
  <c r="F37" i="5"/>
  <c r="E37" i="5"/>
  <c r="V37" i="5" s="1"/>
  <c r="W37" i="5" s="1"/>
  <c r="D37" i="5"/>
  <c r="S37" i="5" s="1"/>
  <c r="AB37" i="5" s="1"/>
  <c r="C37" i="5"/>
  <c r="B37" i="5"/>
  <c r="O36" i="5"/>
  <c r="K36" i="5"/>
  <c r="L36" i="5" s="1"/>
  <c r="M36" i="5" s="1"/>
  <c r="N36" i="5" s="1"/>
  <c r="J36" i="5"/>
  <c r="G36" i="5"/>
  <c r="P36" i="5" s="1"/>
  <c r="F36" i="5"/>
  <c r="E36" i="5"/>
  <c r="V36" i="5" s="1"/>
  <c r="W36" i="5" s="1"/>
  <c r="D36" i="5"/>
  <c r="S36" i="5" s="1"/>
  <c r="AB36" i="5" s="1"/>
  <c r="C36" i="5"/>
  <c r="B36" i="5"/>
  <c r="O35" i="5"/>
  <c r="K35" i="5"/>
  <c r="L35" i="5" s="1"/>
  <c r="M35" i="5" s="1"/>
  <c r="N35" i="5" s="1"/>
  <c r="J35" i="5"/>
  <c r="G35" i="5"/>
  <c r="F35" i="5"/>
  <c r="E35" i="5"/>
  <c r="V35" i="5" s="1"/>
  <c r="W35" i="5" s="1"/>
  <c r="D35" i="5"/>
  <c r="S35" i="5" s="1"/>
  <c r="AB35" i="5" s="1"/>
  <c r="C35" i="5"/>
  <c r="B35" i="5"/>
  <c r="O34" i="5"/>
  <c r="K34" i="5"/>
  <c r="L34" i="5" s="1"/>
  <c r="M34" i="5" s="1"/>
  <c r="N34" i="5" s="1"/>
  <c r="J34" i="5"/>
  <c r="G34" i="5"/>
  <c r="P34" i="5" s="1"/>
  <c r="F34" i="5"/>
  <c r="E34" i="5"/>
  <c r="V34" i="5" s="1"/>
  <c r="W34" i="5" s="1"/>
  <c r="D34" i="5"/>
  <c r="Q34" i="5" s="1"/>
  <c r="C34" i="5"/>
  <c r="B34" i="5"/>
  <c r="O33" i="5"/>
  <c r="K33" i="5"/>
  <c r="L33" i="5" s="1"/>
  <c r="M33" i="5" s="1"/>
  <c r="N33" i="5" s="1"/>
  <c r="J33" i="5"/>
  <c r="G33" i="5"/>
  <c r="F33" i="5"/>
  <c r="E33" i="5"/>
  <c r="V33" i="5" s="1"/>
  <c r="W33" i="5" s="1"/>
  <c r="D33" i="5"/>
  <c r="S33" i="5" s="1"/>
  <c r="AB33" i="5" s="1"/>
  <c r="C33" i="5"/>
  <c r="B33" i="5"/>
  <c r="O32" i="5"/>
  <c r="K32" i="5"/>
  <c r="L32" i="5" s="1"/>
  <c r="M32" i="5" s="1"/>
  <c r="N32" i="5" s="1"/>
  <c r="J32" i="5"/>
  <c r="G32" i="5"/>
  <c r="P32" i="5" s="1"/>
  <c r="F32" i="5"/>
  <c r="E32" i="5"/>
  <c r="V32" i="5" s="1"/>
  <c r="W32" i="5" s="1"/>
  <c r="D32" i="5"/>
  <c r="Q32" i="5" s="1"/>
  <c r="C32" i="5"/>
  <c r="B32" i="5"/>
  <c r="O31" i="5"/>
  <c r="K31" i="5"/>
  <c r="L31" i="5" s="1"/>
  <c r="M31" i="5" s="1"/>
  <c r="N31" i="5" s="1"/>
  <c r="J31" i="5"/>
  <c r="G31" i="5"/>
  <c r="F31" i="5"/>
  <c r="E31" i="5"/>
  <c r="V31" i="5" s="1"/>
  <c r="W31" i="5" s="1"/>
  <c r="D31" i="5"/>
  <c r="S31" i="5" s="1"/>
  <c r="AB31" i="5" s="1"/>
  <c r="C31" i="5"/>
  <c r="B31" i="5"/>
  <c r="O30" i="5"/>
  <c r="K30" i="5"/>
  <c r="L30" i="5" s="1"/>
  <c r="M30" i="5" s="1"/>
  <c r="N30" i="5" s="1"/>
  <c r="J30" i="5"/>
  <c r="G30" i="5"/>
  <c r="P30" i="5" s="1"/>
  <c r="F30" i="5"/>
  <c r="E30" i="5"/>
  <c r="V30" i="5" s="1"/>
  <c r="W30" i="5" s="1"/>
  <c r="D30" i="5"/>
  <c r="S30" i="5" s="1"/>
  <c r="AB30" i="5" s="1"/>
  <c r="C30" i="5"/>
  <c r="B30" i="5"/>
  <c r="O29" i="5"/>
  <c r="K29" i="5"/>
  <c r="L29" i="5" s="1"/>
  <c r="M29" i="5" s="1"/>
  <c r="N29" i="5" s="1"/>
  <c r="J29" i="5"/>
  <c r="G29" i="5"/>
  <c r="F29" i="5"/>
  <c r="E29" i="5"/>
  <c r="V29" i="5" s="1"/>
  <c r="W29" i="5" s="1"/>
  <c r="D29" i="5"/>
  <c r="S29" i="5" s="1"/>
  <c r="AB29" i="5" s="1"/>
  <c r="C29" i="5"/>
  <c r="B29" i="5"/>
  <c r="O28" i="5"/>
  <c r="K28" i="5"/>
  <c r="L28" i="5" s="1"/>
  <c r="M28" i="5" s="1"/>
  <c r="N28" i="5" s="1"/>
  <c r="J28" i="5"/>
  <c r="G28" i="5"/>
  <c r="P28" i="5" s="1"/>
  <c r="F28" i="5"/>
  <c r="E28" i="5"/>
  <c r="D28" i="5"/>
  <c r="S28" i="5" s="1"/>
  <c r="AB28" i="5" s="1"/>
  <c r="C28" i="5"/>
  <c r="B28" i="5"/>
  <c r="O27" i="5"/>
  <c r="K27" i="5"/>
  <c r="L27" i="5" s="1"/>
  <c r="M27" i="5" s="1"/>
  <c r="N27" i="5" s="1"/>
  <c r="J27" i="5"/>
  <c r="G27" i="5"/>
  <c r="F27" i="5"/>
  <c r="E27" i="5"/>
  <c r="V27" i="5" s="1"/>
  <c r="W27" i="5" s="1"/>
  <c r="D27" i="5"/>
  <c r="S27" i="5" s="1"/>
  <c r="AB27" i="5" s="1"/>
  <c r="C27" i="5"/>
  <c r="B27" i="5"/>
  <c r="O26" i="5"/>
  <c r="K26" i="5"/>
  <c r="L26" i="5" s="1"/>
  <c r="M26" i="5" s="1"/>
  <c r="N26" i="5" s="1"/>
  <c r="J26" i="5"/>
  <c r="G26" i="5"/>
  <c r="P26" i="5" s="1"/>
  <c r="F26" i="5"/>
  <c r="E26" i="5"/>
  <c r="V26" i="5" s="1"/>
  <c r="W26" i="5" s="1"/>
  <c r="D26" i="5"/>
  <c r="S26" i="5" s="1"/>
  <c r="AB26" i="5" s="1"/>
  <c r="C26" i="5"/>
  <c r="B26" i="5"/>
  <c r="O25" i="5"/>
  <c r="K25" i="5"/>
  <c r="L25" i="5" s="1"/>
  <c r="M25" i="5" s="1"/>
  <c r="N25" i="5" s="1"/>
  <c r="J25" i="5"/>
  <c r="G25" i="5"/>
  <c r="F25" i="5"/>
  <c r="E25" i="5"/>
  <c r="V25" i="5" s="1"/>
  <c r="W25" i="5" s="1"/>
  <c r="D25" i="5"/>
  <c r="S25" i="5" s="1"/>
  <c r="AB25" i="5" s="1"/>
  <c r="C25" i="5"/>
  <c r="B25" i="5"/>
  <c r="O24" i="5"/>
  <c r="K24" i="5"/>
  <c r="L24" i="5" s="1"/>
  <c r="M24" i="5" s="1"/>
  <c r="N24" i="5" s="1"/>
  <c r="J24" i="5"/>
  <c r="G24" i="5"/>
  <c r="P24" i="5" s="1"/>
  <c r="F24" i="5"/>
  <c r="E24" i="5"/>
  <c r="V24" i="5" s="1"/>
  <c r="W24" i="5" s="1"/>
  <c r="D24" i="5"/>
  <c r="S24" i="5" s="1"/>
  <c r="AB24" i="5" s="1"/>
  <c r="C24" i="5"/>
  <c r="B24" i="5"/>
  <c r="O23" i="5"/>
  <c r="K23" i="5"/>
  <c r="L23" i="5" s="1"/>
  <c r="M23" i="5" s="1"/>
  <c r="N23" i="5" s="1"/>
  <c r="J23" i="5"/>
  <c r="G23" i="5"/>
  <c r="F23" i="5"/>
  <c r="E23" i="5"/>
  <c r="V23" i="5" s="1"/>
  <c r="W23" i="5" s="1"/>
  <c r="D23" i="5"/>
  <c r="S23" i="5" s="1"/>
  <c r="AB23" i="5" s="1"/>
  <c r="C23" i="5"/>
  <c r="B23" i="5"/>
  <c r="O22" i="5"/>
  <c r="K22" i="5"/>
  <c r="L22" i="5" s="1"/>
  <c r="M22" i="5" s="1"/>
  <c r="N22" i="5" s="1"/>
  <c r="J22" i="5"/>
  <c r="G22" i="5"/>
  <c r="P22" i="5" s="1"/>
  <c r="F22" i="5"/>
  <c r="E22" i="5"/>
  <c r="V22" i="5" s="1"/>
  <c r="W22" i="5" s="1"/>
  <c r="D22" i="5"/>
  <c r="S22" i="5" s="1"/>
  <c r="AB22" i="5" s="1"/>
  <c r="C22" i="5"/>
  <c r="B22" i="5"/>
  <c r="O21" i="5"/>
  <c r="K21" i="5"/>
  <c r="L21" i="5" s="1"/>
  <c r="M21" i="5" s="1"/>
  <c r="N21" i="5" s="1"/>
  <c r="J21" i="5"/>
  <c r="G21" i="5"/>
  <c r="F21" i="5"/>
  <c r="E21" i="5"/>
  <c r="V21" i="5" s="1"/>
  <c r="W21" i="5" s="1"/>
  <c r="D21" i="5"/>
  <c r="S21" i="5" s="1"/>
  <c r="AB21" i="5" s="1"/>
  <c r="C21" i="5"/>
  <c r="B21" i="5"/>
  <c r="O20" i="5"/>
  <c r="K20" i="5"/>
  <c r="L20" i="5" s="1"/>
  <c r="M20" i="5" s="1"/>
  <c r="N20" i="5" s="1"/>
  <c r="J20" i="5"/>
  <c r="G20" i="5"/>
  <c r="P20" i="5" s="1"/>
  <c r="F20" i="5"/>
  <c r="E20" i="5"/>
  <c r="V20" i="5" s="1"/>
  <c r="W20" i="5" s="1"/>
  <c r="D20" i="5"/>
  <c r="S20" i="5" s="1"/>
  <c r="AB20" i="5" s="1"/>
  <c r="C20" i="5"/>
  <c r="B20" i="5"/>
  <c r="O19" i="5"/>
  <c r="K19" i="5"/>
  <c r="L19" i="5" s="1"/>
  <c r="M19" i="5" s="1"/>
  <c r="N19" i="5" s="1"/>
  <c r="J19" i="5"/>
  <c r="G19" i="5"/>
  <c r="P19" i="5" s="1"/>
  <c r="F19" i="5"/>
  <c r="E19" i="5"/>
  <c r="V19" i="5" s="1"/>
  <c r="W19" i="5" s="1"/>
  <c r="D19" i="5"/>
  <c r="S19" i="5" s="1"/>
  <c r="AB19" i="5" s="1"/>
  <c r="C19" i="5"/>
  <c r="B19" i="5"/>
  <c r="O18" i="5"/>
  <c r="K18" i="5"/>
  <c r="L18" i="5" s="1"/>
  <c r="M18" i="5" s="1"/>
  <c r="N18" i="5" s="1"/>
  <c r="J18" i="5"/>
  <c r="G18" i="5"/>
  <c r="P18" i="5" s="1"/>
  <c r="F18" i="5"/>
  <c r="E18" i="5"/>
  <c r="V18" i="5" s="1"/>
  <c r="W18" i="5" s="1"/>
  <c r="D18" i="5"/>
  <c r="Q18" i="5" s="1"/>
  <c r="C18" i="5"/>
  <c r="B18" i="5"/>
  <c r="O17" i="5"/>
  <c r="K17" i="5"/>
  <c r="L17" i="5" s="1"/>
  <c r="M17" i="5" s="1"/>
  <c r="N17" i="5" s="1"/>
  <c r="J17" i="5"/>
  <c r="G17" i="5"/>
  <c r="P17" i="5" s="1"/>
  <c r="F17" i="5"/>
  <c r="E17" i="5"/>
  <c r="V17" i="5" s="1"/>
  <c r="W17" i="5" s="1"/>
  <c r="D17" i="5"/>
  <c r="S17" i="5" s="1"/>
  <c r="AB17" i="5" s="1"/>
  <c r="C17" i="5"/>
  <c r="B17" i="5"/>
  <c r="O16" i="5"/>
  <c r="K16" i="5"/>
  <c r="L16" i="5" s="1"/>
  <c r="M16" i="5" s="1"/>
  <c r="N16" i="5" s="1"/>
  <c r="J16" i="5"/>
  <c r="G16" i="5"/>
  <c r="P16" i="5" s="1"/>
  <c r="F16" i="5"/>
  <c r="E16" i="5"/>
  <c r="V16" i="5" s="1"/>
  <c r="W16" i="5" s="1"/>
  <c r="D16" i="5"/>
  <c r="Q16" i="5" s="1"/>
  <c r="C16" i="5"/>
  <c r="B16" i="5"/>
  <c r="O15" i="5"/>
  <c r="K15" i="5"/>
  <c r="L15" i="5" s="1"/>
  <c r="M15" i="5" s="1"/>
  <c r="N15" i="5" s="1"/>
  <c r="J15" i="5"/>
  <c r="G15" i="5"/>
  <c r="P15" i="5" s="1"/>
  <c r="F15" i="5"/>
  <c r="E15" i="5"/>
  <c r="V15" i="5" s="1"/>
  <c r="W15" i="5" s="1"/>
  <c r="D15" i="5"/>
  <c r="S15" i="5" s="1"/>
  <c r="AB15" i="5" s="1"/>
  <c r="C15" i="5"/>
  <c r="B15" i="5"/>
  <c r="O14" i="5"/>
  <c r="K14" i="5"/>
  <c r="L14" i="5" s="1"/>
  <c r="M14" i="5" s="1"/>
  <c r="N14" i="5" s="1"/>
  <c r="J14" i="5"/>
  <c r="G14" i="5"/>
  <c r="P14" i="5" s="1"/>
  <c r="F14" i="5"/>
  <c r="E14" i="5"/>
  <c r="V14" i="5" s="1"/>
  <c r="W14" i="5" s="1"/>
  <c r="D14" i="5"/>
  <c r="S14" i="5" s="1"/>
  <c r="AB14" i="5" s="1"/>
  <c r="C14" i="5"/>
  <c r="B14" i="5"/>
  <c r="O13" i="5"/>
  <c r="K13" i="5"/>
  <c r="L13" i="5" s="1"/>
  <c r="M13" i="5" s="1"/>
  <c r="N13" i="5" s="1"/>
  <c r="J13" i="5"/>
  <c r="G13" i="5"/>
  <c r="P13" i="5" s="1"/>
  <c r="F13" i="5"/>
  <c r="E13" i="5"/>
  <c r="V13" i="5" s="1"/>
  <c r="W13" i="5" s="1"/>
  <c r="D13" i="5"/>
  <c r="S13" i="5" s="1"/>
  <c r="AB13" i="5" s="1"/>
  <c r="C13" i="5"/>
  <c r="B13" i="5"/>
  <c r="O12" i="5"/>
  <c r="K12" i="5"/>
  <c r="L12" i="5" s="1"/>
  <c r="M12" i="5" s="1"/>
  <c r="N12" i="5" s="1"/>
  <c r="J12" i="5"/>
  <c r="G12" i="5"/>
  <c r="P12" i="5" s="1"/>
  <c r="F12" i="5"/>
  <c r="E12" i="5"/>
  <c r="V12" i="5" s="1"/>
  <c r="W12" i="5" s="1"/>
  <c r="D12" i="5"/>
  <c r="S12" i="5" s="1"/>
  <c r="AB12" i="5" s="1"/>
  <c r="C12" i="5"/>
  <c r="B12" i="5"/>
  <c r="O11" i="5"/>
  <c r="K11" i="5"/>
  <c r="L11" i="5" s="1"/>
  <c r="M11" i="5" s="1"/>
  <c r="N11" i="5" s="1"/>
  <c r="J11" i="5"/>
  <c r="G11" i="5"/>
  <c r="P11" i="5" s="1"/>
  <c r="F11" i="5"/>
  <c r="E11" i="5"/>
  <c r="V11" i="5" s="1"/>
  <c r="W11" i="5" s="1"/>
  <c r="D11" i="5"/>
  <c r="S11" i="5" s="1"/>
  <c r="AB11" i="5" s="1"/>
  <c r="C11" i="5"/>
  <c r="B11" i="5"/>
  <c r="O10" i="5"/>
  <c r="K10" i="5"/>
  <c r="L10" i="5" s="1"/>
  <c r="M10" i="5" s="1"/>
  <c r="N10" i="5" s="1"/>
  <c r="J10" i="5"/>
  <c r="G10" i="5"/>
  <c r="P10" i="5" s="1"/>
  <c r="F10" i="5"/>
  <c r="E10" i="5"/>
  <c r="V10" i="5" s="1"/>
  <c r="W10" i="5" s="1"/>
  <c r="D10" i="5"/>
  <c r="S10" i="5" s="1"/>
  <c r="AB10" i="5" s="1"/>
  <c r="C10" i="5"/>
  <c r="B10" i="5"/>
  <c r="O9" i="5"/>
  <c r="K9" i="5"/>
  <c r="L9" i="5" s="1"/>
  <c r="M9" i="5" s="1"/>
  <c r="N9" i="5" s="1"/>
  <c r="J9" i="5"/>
  <c r="G9" i="5"/>
  <c r="H9" i="5" s="1"/>
  <c r="F9" i="5"/>
  <c r="E9" i="5"/>
  <c r="V9" i="5" s="1"/>
  <c r="W9" i="5" s="1"/>
  <c r="D9" i="5"/>
  <c r="S9" i="5" s="1"/>
  <c r="AB9" i="5" s="1"/>
  <c r="C9" i="5"/>
  <c r="B9" i="5"/>
  <c r="O8" i="5"/>
  <c r="K8" i="5"/>
  <c r="L8" i="5" s="1"/>
  <c r="M8" i="5" s="1"/>
  <c r="N8" i="5" s="1"/>
  <c r="J8" i="5"/>
  <c r="G8" i="5"/>
  <c r="H8" i="5" s="1"/>
  <c r="F8" i="5"/>
  <c r="E8" i="5"/>
  <c r="V8" i="5" s="1"/>
  <c r="W8" i="5" s="1"/>
  <c r="D8" i="5"/>
  <c r="S8" i="5" s="1"/>
  <c r="AB8" i="5" s="1"/>
  <c r="C8" i="5"/>
  <c r="B8" i="5"/>
  <c r="O7" i="5"/>
  <c r="K7" i="5"/>
  <c r="L7" i="5" s="1"/>
  <c r="M7" i="5" s="1"/>
  <c r="N7" i="5" s="1"/>
  <c r="J7" i="5"/>
  <c r="G7" i="5"/>
  <c r="H7" i="5" s="1"/>
  <c r="F7" i="5"/>
  <c r="E7" i="5"/>
  <c r="V7" i="5" s="1"/>
  <c r="W7" i="5" s="1"/>
  <c r="D7" i="5"/>
  <c r="S7" i="5" s="1"/>
  <c r="AB7" i="5" s="1"/>
  <c r="C7" i="5"/>
  <c r="B7" i="5"/>
  <c r="O6" i="5"/>
  <c r="K6" i="5"/>
  <c r="L6" i="5" s="1"/>
  <c r="M6" i="5" s="1"/>
  <c r="N6" i="5" s="1"/>
  <c r="J6" i="5"/>
  <c r="G6" i="5"/>
  <c r="H6" i="5" s="1"/>
  <c r="F6" i="5"/>
  <c r="E6" i="5"/>
  <c r="V6" i="5" s="1"/>
  <c r="W6" i="5" s="1"/>
  <c r="D6" i="5"/>
  <c r="S6" i="5" s="1"/>
  <c r="AB6" i="5" s="1"/>
  <c r="C6" i="5"/>
  <c r="B6" i="5"/>
  <c r="O5" i="5"/>
  <c r="K5" i="5"/>
  <c r="L5" i="5" s="1"/>
  <c r="M5" i="5" s="1"/>
  <c r="N5" i="5" s="1"/>
  <c r="J5" i="5"/>
  <c r="G5" i="5"/>
  <c r="H5" i="5" s="1"/>
  <c r="F5" i="5"/>
  <c r="E5" i="5"/>
  <c r="V5" i="5" s="1"/>
  <c r="W5" i="5" s="1"/>
  <c r="D5" i="5"/>
  <c r="S5" i="5" s="1"/>
  <c r="AB5" i="5" s="1"/>
  <c r="C5" i="5"/>
  <c r="B5" i="5"/>
  <c r="O4" i="5"/>
  <c r="K4" i="5"/>
  <c r="L4" i="5" s="1"/>
  <c r="M4" i="5" s="1"/>
  <c r="N4" i="5" s="1"/>
  <c r="J4" i="5"/>
  <c r="G4" i="5"/>
  <c r="H4" i="5" s="1"/>
  <c r="F4" i="5"/>
  <c r="E4" i="5"/>
  <c r="V4" i="5" s="1"/>
  <c r="W4" i="5" s="1"/>
  <c r="D4" i="5"/>
  <c r="S4" i="5" s="1"/>
  <c r="AB4" i="5" s="1"/>
  <c r="C4" i="5"/>
  <c r="B4" i="5"/>
  <c r="O3" i="5"/>
  <c r="K3" i="5"/>
  <c r="L3" i="5" s="1"/>
  <c r="M3" i="5" s="1"/>
  <c r="N3" i="5" s="1"/>
  <c r="J3" i="5"/>
  <c r="G3" i="5"/>
  <c r="F3" i="5"/>
  <c r="E3" i="5"/>
  <c r="V3" i="5" s="1"/>
  <c r="W3" i="5" s="1"/>
  <c r="D3" i="5"/>
  <c r="S3" i="5" s="1"/>
  <c r="AB3" i="5" s="1"/>
  <c r="C3" i="5"/>
  <c r="B3" i="5"/>
  <c r="O2" i="5"/>
  <c r="K2" i="5"/>
  <c r="L2" i="5" s="1"/>
  <c r="M2" i="5" s="1"/>
  <c r="N2" i="5" s="1"/>
  <c r="J2" i="5"/>
  <c r="G2" i="5"/>
  <c r="H2" i="5" s="1"/>
  <c r="I2" i="5" s="1"/>
  <c r="F2" i="5"/>
  <c r="E2" i="5"/>
  <c r="T2" i="5" s="1"/>
  <c r="D2" i="5"/>
  <c r="Q2" i="5" s="1"/>
  <c r="C2" i="5"/>
  <c r="B2" i="5"/>
  <c r="Z2" i="5" s="1"/>
  <c r="Y956" i="5" l="1"/>
  <c r="AA995" i="5"/>
  <c r="AA934" i="5"/>
  <c r="AA589" i="5"/>
  <c r="AA998" i="5"/>
  <c r="AA942" i="5"/>
  <c r="AA843" i="5"/>
  <c r="AA715" i="5"/>
  <c r="AA602" i="5"/>
  <c r="AA830" i="5"/>
  <c r="AA702" i="5"/>
  <c r="AA990" i="5"/>
  <c r="AA926" i="5"/>
  <c r="AA818" i="5"/>
  <c r="AA690" i="5"/>
  <c r="AA573" i="5"/>
  <c r="AA982" i="5"/>
  <c r="AA918" i="5"/>
  <c r="AA793" i="5"/>
  <c r="AA675" i="5"/>
  <c r="AA558" i="5"/>
  <c r="AA974" i="5"/>
  <c r="AA910" i="5"/>
  <c r="AA779" i="5"/>
  <c r="AA662" i="5"/>
  <c r="AA545" i="5"/>
  <c r="AA966" i="5"/>
  <c r="AA890" i="5"/>
  <c r="AA766" i="5"/>
  <c r="AA646" i="5"/>
  <c r="AA529" i="5"/>
  <c r="AA958" i="5"/>
  <c r="AA878" i="5"/>
  <c r="AA754" i="5"/>
  <c r="AA632" i="5"/>
  <c r="AA485" i="5"/>
  <c r="Y812" i="5"/>
  <c r="Z867" i="5"/>
  <c r="AA950" i="5"/>
  <c r="AA857" i="5"/>
  <c r="AA729" i="5"/>
  <c r="AA618" i="5"/>
  <c r="Z25" i="5"/>
  <c r="AA25" i="5"/>
  <c r="Z33" i="5"/>
  <c r="AA33" i="5"/>
  <c r="Z121" i="5"/>
  <c r="AA121" i="5"/>
  <c r="Z129" i="5"/>
  <c r="AA129" i="5"/>
  <c r="Z145" i="5"/>
  <c r="AA145" i="5"/>
  <c r="Z161" i="5"/>
  <c r="AA161" i="5"/>
  <c r="Z169" i="5"/>
  <c r="AA169" i="5"/>
  <c r="Z209" i="5"/>
  <c r="AA209" i="5"/>
  <c r="Z393" i="5"/>
  <c r="AA393" i="5"/>
  <c r="Z433" i="5"/>
  <c r="AA433" i="5"/>
  <c r="Z457" i="5"/>
  <c r="AA457" i="5"/>
  <c r="Z36" i="5"/>
  <c r="AA36" i="5"/>
  <c r="Z60" i="5"/>
  <c r="AA60" i="5"/>
  <c r="Z116" i="5"/>
  <c r="AA116" i="5"/>
  <c r="Z124" i="5"/>
  <c r="AA124" i="5"/>
  <c r="Z148" i="5"/>
  <c r="AA148" i="5"/>
  <c r="Z164" i="5"/>
  <c r="AA164" i="5"/>
  <c r="Z196" i="5"/>
  <c r="AA196" i="5"/>
  <c r="Z244" i="5"/>
  <c r="AA244" i="5"/>
  <c r="Z284" i="5"/>
  <c r="AA284" i="5"/>
  <c r="Z324" i="5"/>
  <c r="AA324" i="5"/>
  <c r="Z332" i="5"/>
  <c r="AA332" i="5"/>
  <c r="Z356" i="5"/>
  <c r="AA356" i="5"/>
  <c r="Z380" i="5"/>
  <c r="AA380" i="5"/>
  <c r="Z452" i="5"/>
  <c r="AA452" i="5"/>
  <c r="Z468" i="5"/>
  <c r="AA468" i="5"/>
  <c r="Z484" i="5"/>
  <c r="AA484" i="5"/>
  <c r="Z5" i="5"/>
  <c r="AA5" i="5"/>
  <c r="Z21" i="5"/>
  <c r="AA21" i="5"/>
  <c r="Z29" i="5"/>
  <c r="AA29" i="5"/>
  <c r="Z45" i="5"/>
  <c r="AA45" i="5"/>
  <c r="Z69" i="5"/>
  <c r="AA69" i="5"/>
  <c r="Z77" i="5"/>
  <c r="AA77" i="5"/>
  <c r="Z85" i="5"/>
  <c r="AA85" i="5"/>
  <c r="Z93" i="5"/>
  <c r="AA93" i="5"/>
  <c r="Z101" i="5"/>
  <c r="AA101" i="5"/>
  <c r="Z109" i="5"/>
  <c r="AA109" i="5"/>
  <c r="Z133" i="5"/>
  <c r="AA133" i="5"/>
  <c r="Z141" i="5"/>
  <c r="AA141" i="5"/>
  <c r="Z149" i="5"/>
  <c r="AA149" i="5"/>
  <c r="Z157" i="5"/>
  <c r="AA157" i="5"/>
  <c r="Z165" i="5"/>
  <c r="AA165" i="5"/>
  <c r="Z173" i="5"/>
  <c r="AA173" i="5"/>
  <c r="Z181" i="5"/>
  <c r="AA181" i="5"/>
  <c r="Z189" i="5"/>
  <c r="AA189" i="5"/>
  <c r="Z197" i="5"/>
  <c r="AA197" i="5"/>
  <c r="Z205" i="5"/>
  <c r="AA205" i="5"/>
  <c r="Z213" i="5"/>
  <c r="AA213" i="5"/>
  <c r="Z221" i="5"/>
  <c r="AA221" i="5"/>
  <c r="Z229" i="5"/>
  <c r="AA229" i="5"/>
  <c r="Z237" i="5"/>
  <c r="AA237" i="5"/>
  <c r="Z245" i="5"/>
  <c r="AA245" i="5"/>
  <c r="Z261" i="5"/>
  <c r="AA261" i="5"/>
  <c r="Z269" i="5"/>
  <c r="AA269" i="5"/>
  <c r="Z277" i="5"/>
  <c r="AA277" i="5"/>
  <c r="Z285" i="5"/>
  <c r="AA285" i="5"/>
  <c r="Z293" i="5"/>
  <c r="AA293" i="5"/>
  <c r="Z301" i="5"/>
  <c r="AA301" i="5"/>
  <c r="Z309" i="5"/>
  <c r="AA309" i="5"/>
  <c r="Z317" i="5"/>
  <c r="AA317" i="5"/>
  <c r="Z325" i="5"/>
  <c r="AA325" i="5"/>
  <c r="Z333" i="5"/>
  <c r="AA333" i="5"/>
  <c r="Z341" i="5"/>
  <c r="AA341" i="5"/>
  <c r="Z349" i="5"/>
  <c r="AA349" i="5"/>
  <c r="Z357" i="5"/>
  <c r="AA357" i="5"/>
  <c r="Z365" i="5"/>
  <c r="AA365" i="5"/>
  <c r="Z373" i="5"/>
  <c r="AA373" i="5"/>
  <c r="Z381" i="5"/>
  <c r="AA381" i="5"/>
  <c r="Z389" i="5"/>
  <c r="AA389" i="5"/>
  <c r="Z397" i="5"/>
  <c r="AA397" i="5"/>
  <c r="Z405" i="5"/>
  <c r="AA405" i="5"/>
  <c r="Z413" i="5"/>
  <c r="AA413" i="5"/>
  <c r="Z421" i="5"/>
  <c r="AA421" i="5"/>
  <c r="Z429" i="5"/>
  <c r="AA429" i="5"/>
  <c r="Z437" i="5"/>
  <c r="AA437" i="5"/>
  <c r="Z445" i="5"/>
  <c r="AA445" i="5"/>
  <c r="Z453" i="5"/>
  <c r="AA453" i="5"/>
  <c r="Z461" i="5"/>
  <c r="AA461" i="5"/>
  <c r="AA740" i="5"/>
  <c r="AA516" i="5"/>
  <c r="AA398" i="5"/>
  <c r="AA253" i="5"/>
  <c r="Z41" i="5"/>
  <c r="AA41" i="5"/>
  <c r="Z49" i="5"/>
  <c r="AA49" i="5"/>
  <c r="Z137" i="5"/>
  <c r="AA137" i="5"/>
  <c r="Z401" i="5"/>
  <c r="AA401" i="5"/>
  <c r="Z441" i="5"/>
  <c r="AA441" i="5"/>
  <c r="Z449" i="5"/>
  <c r="AA449" i="5"/>
  <c r="Z473" i="5"/>
  <c r="AA473" i="5"/>
  <c r="Z44" i="5"/>
  <c r="AA44" i="5"/>
  <c r="Z156" i="5"/>
  <c r="AA156" i="5"/>
  <c r="Z172" i="5"/>
  <c r="AA172" i="5"/>
  <c r="Z212" i="5"/>
  <c r="AA212" i="5"/>
  <c r="Z268" i="5"/>
  <c r="AA268" i="5"/>
  <c r="Z276" i="5"/>
  <c r="AA276" i="5"/>
  <c r="Z292" i="5"/>
  <c r="AA292" i="5"/>
  <c r="Z300" i="5"/>
  <c r="AA300" i="5"/>
  <c r="Z316" i="5"/>
  <c r="AA316" i="5"/>
  <c r="Z340" i="5"/>
  <c r="AA340" i="5"/>
  <c r="Z348" i="5"/>
  <c r="AA348" i="5"/>
  <c r="Z364" i="5"/>
  <c r="AA364" i="5"/>
  <c r="Z372" i="5"/>
  <c r="AA372" i="5"/>
  <c r="Z388" i="5"/>
  <c r="AA388" i="5"/>
  <c r="Z428" i="5"/>
  <c r="AA428" i="5"/>
  <c r="Z436" i="5"/>
  <c r="AA436" i="5"/>
  <c r="Z492" i="5"/>
  <c r="AA492" i="5"/>
  <c r="Z508" i="5"/>
  <c r="AA508" i="5"/>
  <c r="Z13" i="5"/>
  <c r="AA13" i="5"/>
  <c r="Z37" i="5"/>
  <c r="AA37" i="5"/>
  <c r="Z53" i="5"/>
  <c r="AA53" i="5"/>
  <c r="Z61" i="5"/>
  <c r="AA61" i="5"/>
  <c r="Z117" i="5"/>
  <c r="AA117" i="5"/>
  <c r="Z6" i="5"/>
  <c r="AA6" i="5"/>
  <c r="Z14" i="5"/>
  <c r="AA14" i="5"/>
  <c r="Z22" i="5"/>
  <c r="AA22" i="5"/>
  <c r="Z30" i="5"/>
  <c r="AA30" i="5"/>
  <c r="Z38" i="5"/>
  <c r="AA38" i="5"/>
  <c r="Z46" i="5"/>
  <c r="AA46" i="5"/>
  <c r="Z54" i="5"/>
  <c r="AA54" i="5"/>
  <c r="Z62" i="5"/>
  <c r="AA62" i="5"/>
  <c r="Z70" i="5"/>
  <c r="AA70" i="5"/>
  <c r="Z78" i="5"/>
  <c r="AA78" i="5"/>
  <c r="Z86" i="5"/>
  <c r="AA86" i="5"/>
  <c r="Z94" i="5"/>
  <c r="AA94" i="5"/>
  <c r="Z102" i="5"/>
  <c r="AA102" i="5"/>
  <c r="Z110" i="5"/>
  <c r="AA110" i="5"/>
  <c r="Z118" i="5"/>
  <c r="AA118" i="5"/>
  <c r="Z126" i="5"/>
  <c r="AA126" i="5"/>
  <c r="Z134" i="5"/>
  <c r="AA134" i="5"/>
  <c r="Z142" i="5"/>
  <c r="AA142" i="5"/>
  <c r="Z150" i="5"/>
  <c r="AA150" i="5"/>
  <c r="Z158" i="5"/>
  <c r="AA158" i="5"/>
  <c r="Z166" i="5"/>
  <c r="AA166" i="5"/>
  <c r="Z174" i="5"/>
  <c r="AA174" i="5"/>
  <c r="Z182" i="5"/>
  <c r="AA182" i="5"/>
  <c r="Z190" i="5"/>
  <c r="AA190" i="5"/>
  <c r="Z198" i="5"/>
  <c r="AA198" i="5"/>
  <c r="Z206" i="5"/>
  <c r="AA206" i="5"/>
  <c r="Z214" i="5"/>
  <c r="AA214" i="5"/>
  <c r="Z222" i="5"/>
  <c r="AA222" i="5"/>
  <c r="Z230" i="5"/>
  <c r="AA230" i="5"/>
  <c r="Z238" i="5"/>
  <c r="AA238" i="5"/>
  <c r="Z246" i="5"/>
  <c r="AA246" i="5"/>
  <c r="Z254" i="5"/>
  <c r="AA254" i="5"/>
  <c r="Z262" i="5"/>
  <c r="AA262" i="5"/>
  <c r="Z270" i="5"/>
  <c r="AA270" i="5"/>
  <c r="Z278" i="5"/>
  <c r="AA278" i="5"/>
  <c r="Z286" i="5"/>
  <c r="AA286" i="5"/>
  <c r="Z294" i="5"/>
  <c r="AA294" i="5"/>
  <c r="Z310" i="5"/>
  <c r="AA310" i="5"/>
  <c r="Z318" i="5"/>
  <c r="AA318" i="5"/>
  <c r="Z326" i="5"/>
  <c r="AA326" i="5"/>
  <c r="Z334" i="5"/>
  <c r="AA334" i="5"/>
  <c r="Z342" i="5"/>
  <c r="AA342" i="5"/>
  <c r="Z350" i="5"/>
  <c r="AA350" i="5"/>
  <c r="Z358" i="5"/>
  <c r="AA358" i="5"/>
  <c r="Z366" i="5"/>
  <c r="AA366" i="5"/>
  <c r="Z374" i="5"/>
  <c r="AA374" i="5"/>
  <c r="Z390" i="5"/>
  <c r="AA390" i="5"/>
  <c r="Z406" i="5"/>
  <c r="AA406" i="5"/>
  <c r="Z414" i="5"/>
  <c r="AA414" i="5"/>
  <c r="Z422" i="5"/>
  <c r="AA422" i="5"/>
  <c r="Z430" i="5"/>
  <c r="AA430" i="5"/>
  <c r="Z438" i="5"/>
  <c r="AA438" i="5"/>
  <c r="Z446" i="5"/>
  <c r="AA446" i="5"/>
  <c r="Z454" i="5"/>
  <c r="AA454" i="5"/>
  <c r="Z462" i="5"/>
  <c r="AA462" i="5"/>
  <c r="AA500" i="5"/>
  <c r="AA382" i="5"/>
  <c r="AA228" i="5"/>
  <c r="Z81" i="5"/>
  <c r="AA81" i="5"/>
  <c r="Z153" i="5"/>
  <c r="AA153" i="5"/>
  <c r="Z217" i="5"/>
  <c r="AA217" i="5"/>
  <c r="Z241" i="5"/>
  <c r="AA241" i="5"/>
  <c r="Z265" i="5"/>
  <c r="AA265" i="5"/>
  <c r="Z353" i="5"/>
  <c r="AA353" i="5"/>
  <c r="Z361" i="5"/>
  <c r="AA361" i="5"/>
  <c r="Z417" i="5"/>
  <c r="AA417" i="5"/>
  <c r="Z52" i="5"/>
  <c r="AA52" i="5"/>
  <c r="Z76" i="5"/>
  <c r="AA76" i="5"/>
  <c r="Z23" i="5"/>
  <c r="AA23" i="5"/>
  <c r="Z47" i="5"/>
  <c r="AA47" i="5"/>
  <c r="Z55" i="5"/>
  <c r="AA55" i="5"/>
  <c r="Z95" i="5"/>
  <c r="AA95" i="5"/>
  <c r="Z119" i="5"/>
  <c r="AA119" i="5"/>
  <c r="Z127" i="5"/>
  <c r="AA127" i="5"/>
  <c r="Z135" i="5"/>
  <c r="AA135" i="5"/>
  <c r="Z167" i="5"/>
  <c r="AA167" i="5"/>
  <c r="Z183" i="5"/>
  <c r="AA183" i="5"/>
  <c r="Z191" i="5"/>
  <c r="AA191" i="5"/>
  <c r="Z199" i="5"/>
  <c r="AA199" i="5"/>
  <c r="Z207" i="5"/>
  <c r="AA207" i="5"/>
  <c r="Z215" i="5"/>
  <c r="AA215" i="5"/>
  <c r="Z223" i="5"/>
  <c r="AA223" i="5"/>
  <c r="Z231" i="5"/>
  <c r="AA231" i="5"/>
  <c r="Z239" i="5"/>
  <c r="AA239" i="5"/>
  <c r="Z247" i="5"/>
  <c r="AA247" i="5"/>
  <c r="Z255" i="5"/>
  <c r="AA255" i="5"/>
  <c r="Z263" i="5"/>
  <c r="AA263" i="5"/>
  <c r="Z271" i="5"/>
  <c r="AA271" i="5"/>
  <c r="Z279" i="5"/>
  <c r="AA279" i="5"/>
  <c r="Z287" i="5"/>
  <c r="AA287" i="5"/>
  <c r="Z295" i="5"/>
  <c r="AA295" i="5"/>
  <c r="Z303" i="5"/>
  <c r="AA303" i="5"/>
  <c r="Z311" i="5"/>
  <c r="AA311" i="5"/>
  <c r="Z319" i="5"/>
  <c r="AA319" i="5"/>
  <c r="Z327" i="5"/>
  <c r="AA327" i="5"/>
  <c r="Z335" i="5"/>
  <c r="AA335" i="5"/>
  <c r="Z343" i="5"/>
  <c r="AA343" i="5"/>
  <c r="Z351" i="5"/>
  <c r="AA351" i="5"/>
  <c r="Z359" i="5"/>
  <c r="AA359" i="5"/>
  <c r="Z367" i="5"/>
  <c r="AA367" i="5"/>
  <c r="Z375" i="5"/>
  <c r="AA375" i="5"/>
  <c r="Z383" i="5"/>
  <c r="AA383" i="5"/>
  <c r="Z391" i="5"/>
  <c r="AA391" i="5"/>
  <c r="Z399" i="5"/>
  <c r="AA399" i="5"/>
  <c r="Z407" i="5"/>
  <c r="AA407" i="5"/>
  <c r="Z415" i="5"/>
  <c r="AA415" i="5"/>
  <c r="Z423" i="5"/>
  <c r="AA423" i="5"/>
  <c r="Z431" i="5"/>
  <c r="AA431" i="5"/>
  <c r="AA370" i="5"/>
  <c r="AA204" i="5"/>
  <c r="Z89" i="5"/>
  <c r="AA89" i="5"/>
  <c r="Z249" i="5"/>
  <c r="AA249" i="5"/>
  <c r="Z257" i="5"/>
  <c r="AA257" i="5"/>
  <c r="Z281" i="5"/>
  <c r="AA281" i="5"/>
  <c r="Z289" i="5"/>
  <c r="AA289" i="5"/>
  <c r="Z297" i="5"/>
  <c r="AA297" i="5"/>
  <c r="Z305" i="5"/>
  <c r="AA305" i="5"/>
  <c r="Z345" i="5"/>
  <c r="AA345" i="5"/>
  <c r="Z20" i="5"/>
  <c r="AA20" i="5"/>
  <c r="Z68" i="5"/>
  <c r="AA68" i="5"/>
  <c r="Z108" i="5"/>
  <c r="AA108" i="5"/>
  <c r="Z7" i="5"/>
  <c r="AA7" i="5"/>
  <c r="Z15" i="5"/>
  <c r="AA15" i="5"/>
  <c r="Z31" i="5"/>
  <c r="AA31" i="5"/>
  <c r="Z39" i="5"/>
  <c r="AA39" i="5"/>
  <c r="Z63" i="5"/>
  <c r="AA63" i="5"/>
  <c r="Z71" i="5"/>
  <c r="AA71" i="5"/>
  <c r="Z79" i="5"/>
  <c r="AA79" i="5"/>
  <c r="Z87" i="5"/>
  <c r="AA87" i="5"/>
  <c r="Z103" i="5"/>
  <c r="AA103" i="5"/>
  <c r="Z111" i="5"/>
  <c r="AA111" i="5"/>
  <c r="Z143" i="5"/>
  <c r="AA143" i="5"/>
  <c r="Z151" i="5"/>
  <c r="AA151" i="5"/>
  <c r="Z159" i="5"/>
  <c r="AA159" i="5"/>
  <c r="Z175" i="5"/>
  <c r="AA175" i="5"/>
  <c r="Z8" i="5"/>
  <c r="AA8" i="5"/>
  <c r="Z16" i="5"/>
  <c r="AA16" i="5"/>
  <c r="Z24" i="5"/>
  <c r="AA24" i="5"/>
  <c r="Z32" i="5"/>
  <c r="AA32" i="5"/>
  <c r="Z40" i="5"/>
  <c r="AA40" i="5"/>
  <c r="Z48" i="5"/>
  <c r="AA48" i="5"/>
  <c r="Z56" i="5"/>
  <c r="AA56" i="5"/>
  <c r="Z64" i="5"/>
  <c r="AA64" i="5"/>
  <c r="Z72" i="5"/>
  <c r="AA72" i="5"/>
  <c r="Z80" i="5"/>
  <c r="AA80" i="5"/>
  <c r="Z88" i="5"/>
  <c r="AA88" i="5"/>
  <c r="Z96" i="5"/>
  <c r="AA96" i="5"/>
  <c r="Z104" i="5"/>
  <c r="AA104" i="5"/>
  <c r="Z112" i="5"/>
  <c r="AA112" i="5"/>
  <c r="Z120" i="5"/>
  <c r="AA120" i="5"/>
  <c r="Z128" i="5"/>
  <c r="AA128" i="5"/>
  <c r="Z136" i="5"/>
  <c r="AA136" i="5"/>
  <c r="Z144" i="5"/>
  <c r="AA144" i="5"/>
  <c r="Z152" i="5"/>
  <c r="AA152" i="5"/>
  <c r="Z160" i="5"/>
  <c r="AA160" i="5"/>
  <c r="Z168" i="5"/>
  <c r="AA168" i="5"/>
  <c r="Z176" i="5"/>
  <c r="AA176" i="5"/>
  <c r="Z184" i="5"/>
  <c r="AA184" i="5"/>
  <c r="Z192" i="5"/>
  <c r="AA192" i="5"/>
  <c r="Z200" i="5"/>
  <c r="AA200" i="5"/>
  <c r="Z208" i="5"/>
  <c r="AA208" i="5"/>
  <c r="Z216" i="5"/>
  <c r="AA216" i="5"/>
  <c r="Z224" i="5"/>
  <c r="AA224" i="5"/>
  <c r="Z232" i="5"/>
  <c r="AA232" i="5"/>
  <c r="Z240" i="5"/>
  <c r="AA240" i="5"/>
  <c r="Z248" i="5"/>
  <c r="AA248" i="5"/>
  <c r="Z256" i="5"/>
  <c r="AA256" i="5"/>
  <c r="Z264" i="5"/>
  <c r="AA264" i="5"/>
  <c r="Z272" i="5"/>
  <c r="AA272" i="5"/>
  <c r="Z280" i="5"/>
  <c r="AA280" i="5"/>
  <c r="Z288" i="5"/>
  <c r="AA288" i="5"/>
  <c r="Z296" i="5"/>
  <c r="AA296" i="5"/>
  <c r="Z304" i="5"/>
  <c r="AA304" i="5"/>
  <c r="Z312" i="5"/>
  <c r="AA312" i="5"/>
  <c r="Z320" i="5"/>
  <c r="AA320" i="5"/>
  <c r="Z328" i="5"/>
  <c r="AA328" i="5"/>
  <c r="Z336" i="5"/>
  <c r="AA336" i="5"/>
  <c r="Z344" i="5"/>
  <c r="AA344" i="5"/>
  <c r="Z352" i="5"/>
  <c r="AA352" i="5"/>
  <c r="Z360" i="5"/>
  <c r="AA360" i="5"/>
  <c r="Z368" i="5"/>
  <c r="AA368" i="5"/>
  <c r="Z376" i="5"/>
  <c r="AA376" i="5"/>
  <c r="Z384" i="5"/>
  <c r="AA384" i="5"/>
  <c r="Z392" i="5"/>
  <c r="AA392" i="5"/>
  <c r="Z400" i="5"/>
  <c r="AA400" i="5"/>
  <c r="Z408" i="5"/>
  <c r="AA408" i="5"/>
  <c r="Z416" i="5"/>
  <c r="AA416" i="5"/>
  <c r="Z424" i="5"/>
  <c r="AA424" i="5"/>
  <c r="Z432" i="5"/>
  <c r="AA432" i="5"/>
  <c r="Z440" i="5"/>
  <c r="AA440" i="5"/>
  <c r="Z448" i="5"/>
  <c r="AA448" i="5"/>
  <c r="Z464" i="5"/>
  <c r="AA464" i="5"/>
  <c r="AA900" i="5"/>
  <c r="AA804" i="5"/>
  <c r="AA472" i="5"/>
  <c r="AA354" i="5"/>
  <c r="AA177" i="5"/>
  <c r="AA456" i="5"/>
  <c r="AA338" i="5"/>
  <c r="AA154" i="5"/>
  <c r="Z9" i="5"/>
  <c r="AA9" i="5"/>
  <c r="Z17" i="5"/>
  <c r="AA17" i="5"/>
  <c r="Z57" i="5"/>
  <c r="AA57" i="5"/>
  <c r="Z65" i="5"/>
  <c r="AA65" i="5"/>
  <c r="Z105" i="5"/>
  <c r="AA105" i="5"/>
  <c r="Z113" i="5"/>
  <c r="AA113" i="5"/>
  <c r="Z233" i="5"/>
  <c r="AA233" i="5"/>
  <c r="Z377" i="5"/>
  <c r="AA377" i="5"/>
  <c r="Z425" i="5"/>
  <c r="AA425" i="5"/>
  <c r="Z465" i="5"/>
  <c r="AA465" i="5"/>
  <c r="Z26" i="5"/>
  <c r="AA26" i="5"/>
  <c r="Z34" i="5"/>
  <c r="AA34" i="5"/>
  <c r="Z42" i="5"/>
  <c r="AA42" i="5"/>
  <c r="Z58" i="5"/>
  <c r="AA58" i="5"/>
  <c r="Z66" i="5"/>
  <c r="AA66" i="5"/>
  <c r="Z106" i="5"/>
  <c r="AA106" i="5"/>
  <c r="Z130" i="5"/>
  <c r="AA130" i="5"/>
  <c r="Z138" i="5"/>
  <c r="AA138" i="5"/>
  <c r="Z146" i="5"/>
  <c r="AA146" i="5"/>
  <c r="Z170" i="5"/>
  <c r="AA170" i="5"/>
  <c r="Z178" i="5"/>
  <c r="AA178" i="5"/>
  <c r="Z194" i="5"/>
  <c r="AA194" i="5"/>
  <c r="Z202" i="5"/>
  <c r="AA202" i="5"/>
  <c r="Z218" i="5"/>
  <c r="AA218" i="5"/>
  <c r="Z234" i="5"/>
  <c r="AA234" i="5"/>
  <c r="Z242" i="5"/>
  <c r="AA242" i="5"/>
  <c r="Z250" i="5"/>
  <c r="AA250" i="5"/>
  <c r="Z258" i="5"/>
  <c r="AA258" i="5"/>
  <c r="Z298" i="5"/>
  <c r="AA298" i="5"/>
  <c r="Z306" i="5"/>
  <c r="AA306" i="5"/>
  <c r="Z314" i="5"/>
  <c r="AA314" i="5"/>
  <c r="Z330" i="5"/>
  <c r="AA330" i="5"/>
  <c r="Z346" i="5"/>
  <c r="AA346" i="5"/>
  <c r="Z378" i="5"/>
  <c r="AA378" i="5"/>
  <c r="Z394" i="5"/>
  <c r="AA394" i="5"/>
  <c r="Z402" i="5"/>
  <c r="AA402" i="5"/>
  <c r="Z410" i="5"/>
  <c r="AA410" i="5"/>
  <c r="Z418" i="5"/>
  <c r="AA418" i="5"/>
  <c r="Z426" i="5"/>
  <c r="AA426" i="5"/>
  <c r="Z450" i="5"/>
  <c r="AA450" i="5"/>
  <c r="Z458" i="5"/>
  <c r="AA458" i="5"/>
  <c r="Z466" i="5"/>
  <c r="AA466" i="5"/>
  <c r="Z474" i="5"/>
  <c r="AA474" i="5"/>
  <c r="Z482" i="5"/>
  <c r="AA482" i="5"/>
  <c r="Z490" i="5"/>
  <c r="AA490" i="5"/>
  <c r="Z498" i="5"/>
  <c r="AA498" i="5"/>
  <c r="Z506" i="5"/>
  <c r="AA506" i="5"/>
  <c r="AA443" i="5"/>
  <c r="AA322" i="5"/>
  <c r="AA125" i="5"/>
  <c r="Z97" i="5"/>
  <c r="AA97" i="5"/>
  <c r="Z193" i="5"/>
  <c r="AA193" i="5"/>
  <c r="Z201" i="5"/>
  <c r="AA201" i="5"/>
  <c r="Z321" i="5"/>
  <c r="AA321" i="5"/>
  <c r="Z329" i="5"/>
  <c r="AA329" i="5"/>
  <c r="Z337" i="5"/>
  <c r="AA337" i="5"/>
  <c r="Z369" i="5"/>
  <c r="AA369" i="5"/>
  <c r="Z409" i="5"/>
  <c r="AA409" i="5"/>
  <c r="Z10" i="5"/>
  <c r="AA10" i="5"/>
  <c r="Z18" i="5"/>
  <c r="AA18" i="5"/>
  <c r="Z50" i="5"/>
  <c r="AA50" i="5"/>
  <c r="Z74" i="5"/>
  <c r="AA74" i="5"/>
  <c r="Z82" i="5"/>
  <c r="AA82" i="5"/>
  <c r="Z90" i="5"/>
  <c r="AA90" i="5"/>
  <c r="Z98" i="5"/>
  <c r="AA98" i="5"/>
  <c r="Z114" i="5"/>
  <c r="AA114" i="5"/>
  <c r="Z122" i="5"/>
  <c r="AA122" i="5"/>
  <c r="Z162" i="5"/>
  <c r="AA162" i="5"/>
  <c r="Z186" i="5"/>
  <c r="AA186" i="5"/>
  <c r="Z210" i="5"/>
  <c r="AA210" i="5"/>
  <c r="Z226" i="5"/>
  <c r="AA226" i="5"/>
  <c r="Z266" i="5"/>
  <c r="AA266" i="5"/>
  <c r="Z274" i="5"/>
  <c r="AA274" i="5"/>
  <c r="Z290" i="5"/>
  <c r="AA290" i="5"/>
  <c r="Z362" i="5"/>
  <c r="AA362" i="5"/>
  <c r="Z386" i="5"/>
  <c r="AA386" i="5"/>
  <c r="Z434" i="5"/>
  <c r="AA434" i="5"/>
  <c r="Z442" i="5"/>
  <c r="AA442" i="5"/>
  <c r="Z3" i="5"/>
  <c r="AA3" i="5"/>
  <c r="Z11" i="5"/>
  <c r="AA11" i="5"/>
  <c r="Z19" i="5"/>
  <c r="AA19" i="5"/>
  <c r="Z27" i="5"/>
  <c r="AA27" i="5"/>
  <c r="Z35" i="5"/>
  <c r="AA35" i="5"/>
  <c r="Z43" i="5"/>
  <c r="AA43" i="5"/>
  <c r="Z51" i="5"/>
  <c r="AA51" i="5"/>
  <c r="Z59" i="5"/>
  <c r="AA59" i="5"/>
  <c r="Z67" i="5"/>
  <c r="AA67" i="5"/>
  <c r="Z75" i="5"/>
  <c r="AA75" i="5"/>
  <c r="Z83" i="5"/>
  <c r="AA83" i="5"/>
  <c r="Z91" i="5"/>
  <c r="AA91" i="5"/>
  <c r="Z99" i="5"/>
  <c r="AA99" i="5"/>
  <c r="Z107" i="5"/>
  <c r="AA107" i="5"/>
  <c r="Z115" i="5"/>
  <c r="AA115" i="5"/>
  <c r="Z123" i="5"/>
  <c r="AA123" i="5"/>
  <c r="Z131" i="5"/>
  <c r="AA131" i="5"/>
  <c r="Z139" i="5"/>
  <c r="AA139" i="5"/>
  <c r="Z147" i="5"/>
  <c r="AA147" i="5"/>
  <c r="Z155" i="5"/>
  <c r="AA155" i="5"/>
  <c r="Z163" i="5"/>
  <c r="AA163" i="5"/>
  <c r="Z171" i="5"/>
  <c r="AA171" i="5"/>
  <c r="Z179" i="5"/>
  <c r="AA179" i="5"/>
  <c r="Z187" i="5"/>
  <c r="AA187" i="5"/>
  <c r="Z195" i="5"/>
  <c r="AA195" i="5"/>
  <c r="Z203" i="5"/>
  <c r="AA203" i="5"/>
  <c r="Z211" i="5"/>
  <c r="AA211" i="5"/>
  <c r="Z219" i="5"/>
  <c r="AA219" i="5"/>
  <c r="Z227" i="5"/>
  <c r="AA227" i="5"/>
  <c r="Z235" i="5"/>
  <c r="AA235" i="5"/>
  <c r="Z243" i="5"/>
  <c r="AA243" i="5"/>
  <c r="Z251" i="5"/>
  <c r="AA251" i="5"/>
  <c r="Z259" i="5"/>
  <c r="AA259" i="5"/>
  <c r="Z267" i="5"/>
  <c r="AA267" i="5"/>
  <c r="Z275" i="5"/>
  <c r="AA275" i="5"/>
  <c r="Z283" i="5"/>
  <c r="AA283" i="5"/>
  <c r="Z291" i="5"/>
  <c r="AA291" i="5"/>
  <c r="Z299" i="5"/>
  <c r="AA299" i="5"/>
  <c r="Z307" i="5"/>
  <c r="AA307" i="5"/>
  <c r="Z315" i="5"/>
  <c r="AA315" i="5"/>
  <c r="Z323" i="5"/>
  <c r="AA323" i="5"/>
  <c r="Z331" i="5"/>
  <c r="AA331" i="5"/>
  <c r="Z339" i="5"/>
  <c r="AA339" i="5"/>
  <c r="Z347" i="5"/>
  <c r="AA347" i="5"/>
  <c r="Z355" i="5"/>
  <c r="AA355" i="5"/>
  <c r="Z363" i="5"/>
  <c r="AA363" i="5"/>
  <c r="Z371" i="5"/>
  <c r="AA371" i="5"/>
  <c r="Z379" i="5"/>
  <c r="AA379" i="5"/>
  <c r="Z387" i="5"/>
  <c r="AA387" i="5"/>
  <c r="Z395" i="5"/>
  <c r="AA395" i="5"/>
  <c r="Z403" i="5"/>
  <c r="AA403" i="5"/>
  <c r="Z411" i="5"/>
  <c r="AA411" i="5"/>
  <c r="Z419" i="5"/>
  <c r="AA419" i="5"/>
  <c r="Z435" i="5"/>
  <c r="AA435" i="5"/>
  <c r="Z451" i="5"/>
  <c r="AA451" i="5"/>
  <c r="Z459" i="5"/>
  <c r="AA459" i="5"/>
  <c r="Z467" i="5"/>
  <c r="AA467" i="5"/>
  <c r="Z475" i="5"/>
  <c r="AA475" i="5"/>
  <c r="Z483" i="5"/>
  <c r="AA483" i="5"/>
  <c r="AA868" i="5"/>
  <c r="AA427" i="5"/>
  <c r="AA302" i="5"/>
  <c r="AA100" i="5"/>
  <c r="Z185" i="5"/>
  <c r="AA185" i="5"/>
  <c r="Z225" i="5"/>
  <c r="AA225" i="5"/>
  <c r="Z273" i="5"/>
  <c r="AA273" i="5"/>
  <c r="Z313" i="5"/>
  <c r="AA313" i="5"/>
  <c r="Z385" i="5"/>
  <c r="AA385" i="5"/>
  <c r="Z4" i="5"/>
  <c r="AA4" i="5"/>
  <c r="Z12" i="5"/>
  <c r="AA12" i="5"/>
  <c r="Z28" i="5"/>
  <c r="AA28" i="5"/>
  <c r="Z84" i="5"/>
  <c r="AA84" i="5"/>
  <c r="Z92" i="5"/>
  <c r="AA92" i="5"/>
  <c r="Z132" i="5"/>
  <c r="AA132" i="5"/>
  <c r="Z140" i="5"/>
  <c r="AA140" i="5"/>
  <c r="Z180" i="5"/>
  <c r="AA180" i="5"/>
  <c r="Z188" i="5"/>
  <c r="AA188" i="5"/>
  <c r="Z220" i="5"/>
  <c r="AA220" i="5"/>
  <c r="Z236" i="5"/>
  <c r="AA236" i="5"/>
  <c r="Z252" i="5"/>
  <c r="AA252" i="5"/>
  <c r="Z260" i="5"/>
  <c r="AA260" i="5"/>
  <c r="Z308" i="5"/>
  <c r="AA308" i="5"/>
  <c r="Z396" i="5"/>
  <c r="AA396" i="5"/>
  <c r="Z404" i="5"/>
  <c r="AA404" i="5"/>
  <c r="Z420" i="5"/>
  <c r="AA420" i="5"/>
  <c r="Z444" i="5"/>
  <c r="AA444" i="5"/>
  <c r="Z460" i="5"/>
  <c r="AA460" i="5"/>
  <c r="Z476" i="5"/>
  <c r="AA476" i="5"/>
  <c r="Z524" i="5"/>
  <c r="AA524" i="5"/>
  <c r="Z532" i="5"/>
  <c r="AA532" i="5"/>
  <c r="Z540" i="5"/>
  <c r="AA540" i="5"/>
  <c r="Z548" i="5"/>
  <c r="AA548" i="5"/>
  <c r="Z556" i="5"/>
  <c r="AA556" i="5"/>
  <c r="Z564" i="5"/>
  <c r="AA564" i="5"/>
  <c r="Z572" i="5"/>
  <c r="AA572" i="5"/>
  <c r="Z580" i="5"/>
  <c r="AA580" i="5"/>
  <c r="Z588" i="5"/>
  <c r="AA588" i="5"/>
  <c r="Z596" i="5"/>
  <c r="AA596" i="5"/>
  <c r="Z604" i="5"/>
  <c r="AA604" i="5"/>
  <c r="Z612" i="5"/>
  <c r="AA612" i="5"/>
  <c r="Z620" i="5"/>
  <c r="AA620" i="5"/>
  <c r="Z628" i="5"/>
  <c r="AA628" i="5"/>
  <c r="Z636" i="5"/>
  <c r="AA636" i="5"/>
  <c r="Z644" i="5"/>
  <c r="AA644" i="5"/>
  <c r="Z652" i="5"/>
  <c r="AA652" i="5"/>
  <c r="Z660" i="5"/>
  <c r="AA660" i="5"/>
  <c r="Z668" i="5"/>
  <c r="AA668" i="5"/>
  <c r="Z676" i="5"/>
  <c r="AA676" i="5"/>
  <c r="Z684" i="5"/>
  <c r="AA684" i="5"/>
  <c r="Z692" i="5"/>
  <c r="AA692" i="5"/>
  <c r="Z700" i="5"/>
  <c r="AA700" i="5"/>
  <c r="Z708" i="5"/>
  <c r="AA708" i="5"/>
  <c r="Z716" i="5"/>
  <c r="AA716" i="5"/>
  <c r="Z724" i="5"/>
  <c r="AA724" i="5"/>
  <c r="Z732" i="5"/>
  <c r="AA732" i="5"/>
  <c r="Z748" i="5"/>
  <c r="AA748" i="5"/>
  <c r="Z756" i="5"/>
  <c r="AA756" i="5"/>
  <c r="Z764" i="5"/>
  <c r="AA764" i="5"/>
  <c r="Z772" i="5"/>
  <c r="AA772" i="5"/>
  <c r="Z780" i="5"/>
  <c r="AA780" i="5"/>
  <c r="Z788" i="5"/>
  <c r="AA788" i="5"/>
  <c r="Z796" i="5"/>
  <c r="AA796" i="5"/>
  <c r="Z812" i="5"/>
  <c r="AA812" i="5"/>
  <c r="Z820" i="5"/>
  <c r="AA820" i="5"/>
  <c r="Z828" i="5"/>
  <c r="AA828" i="5"/>
  <c r="Z836" i="5"/>
  <c r="AA836" i="5"/>
  <c r="Z844" i="5"/>
  <c r="AA844" i="5"/>
  <c r="Z852" i="5"/>
  <c r="AA852" i="5"/>
  <c r="Z860" i="5"/>
  <c r="AA860" i="5"/>
  <c r="Z876" i="5"/>
  <c r="AA876" i="5"/>
  <c r="Z884" i="5"/>
  <c r="AA884" i="5"/>
  <c r="Z892" i="5"/>
  <c r="AA892" i="5"/>
  <c r="Z908" i="5"/>
  <c r="AA908" i="5"/>
  <c r="Z916" i="5"/>
  <c r="AA916" i="5"/>
  <c r="Z924" i="5"/>
  <c r="AA924" i="5"/>
  <c r="Z932" i="5"/>
  <c r="AA932" i="5"/>
  <c r="Z940" i="5"/>
  <c r="AA940" i="5"/>
  <c r="Z948" i="5"/>
  <c r="AA948" i="5"/>
  <c r="Z956" i="5"/>
  <c r="AA956" i="5"/>
  <c r="Z964" i="5"/>
  <c r="AA964" i="5"/>
  <c r="Z972" i="5"/>
  <c r="AA972" i="5"/>
  <c r="Z980" i="5"/>
  <c r="AA980" i="5"/>
  <c r="Z988" i="5"/>
  <c r="AA988" i="5"/>
  <c r="Z996" i="5"/>
  <c r="AA996" i="5"/>
  <c r="AA412" i="5"/>
  <c r="AA282" i="5"/>
  <c r="AA73" i="5"/>
  <c r="Z515" i="5"/>
  <c r="AA515" i="5"/>
  <c r="Z523" i="5"/>
  <c r="AA523" i="5"/>
  <c r="Z539" i="5"/>
  <c r="AA539" i="5"/>
  <c r="Z579" i="5"/>
  <c r="AA579" i="5"/>
  <c r="Z587" i="5"/>
  <c r="AA587" i="5"/>
  <c r="Z603" i="5"/>
  <c r="AA603" i="5"/>
  <c r="Z643" i="5"/>
  <c r="AA643" i="5"/>
  <c r="Z651" i="5"/>
  <c r="AA651" i="5"/>
  <c r="Z667" i="5"/>
  <c r="AA667" i="5"/>
  <c r="AA999" i="5"/>
  <c r="AA991" i="5"/>
  <c r="AA983" i="5"/>
  <c r="AA975" i="5"/>
  <c r="AA967" i="5"/>
  <c r="AA959" i="5"/>
  <c r="AA951" i="5"/>
  <c r="AA943" i="5"/>
  <c r="AA935" i="5"/>
  <c r="AA927" i="5"/>
  <c r="AA919" i="5"/>
  <c r="AA911" i="5"/>
  <c r="AA901" i="5"/>
  <c r="AA891" i="5"/>
  <c r="AA881" i="5"/>
  <c r="AA869" i="5"/>
  <c r="AA858" i="5"/>
  <c r="AA833" i="5"/>
  <c r="AA819" i="5"/>
  <c r="AA806" i="5"/>
  <c r="AA794" i="5"/>
  <c r="AA769" i="5"/>
  <c r="AA755" i="5"/>
  <c r="AA742" i="5"/>
  <c r="AA730" i="5"/>
  <c r="AA705" i="5"/>
  <c r="AA691" i="5"/>
  <c r="AA677" i="5"/>
  <c r="AA664" i="5"/>
  <c r="AA648" i="5"/>
  <c r="AA635" i="5"/>
  <c r="AA619" i="5"/>
  <c r="AA590" i="5"/>
  <c r="AA574" i="5"/>
  <c r="AA562" i="5"/>
  <c r="AA546" i="5"/>
  <c r="AA531" i="5"/>
  <c r="AA517" i="5"/>
  <c r="AA501" i="5"/>
  <c r="AA489" i="5"/>
  <c r="Z469" i="5"/>
  <c r="AA469" i="5"/>
  <c r="Z477" i="5"/>
  <c r="AA477" i="5"/>
  <c r="Z493" i="5"/>
  <c r="AA493" i="5"/>
  <c r="Z533" i="5"/>
  <c r="AA533" i="5"/>
  <c r="Z541" i="5"/>
  <c r="AA541" i="5"/>
  <c r="Z557" i="5"/>
  <c r="AA557" i="5"/>
  <c r="Z597" i="5"/>
  <c r="AA597" i="5"/>
  <c r="Z605" i="5"/>
  <c r="AA605" i="5"/>
  <c r="Z621" i="5"/>
  <c r="AA621" i="5"/>
  <c r="Z661" i="5"/>
  <c r="AA661" i="5"/>
  <c r="Z669" i="5"/>
  <c r="AA669" i="5"/>
  <c r="Z685" i="5"/>
  <c r="AA685" i="5"/>
  <c r="Z693" i="5"/>
  <c r="AA693" i="5"/>
  <c r="Z701" i="5"/>
  <c r="AA701" i="5"/>
  <c r="Z709" i="5"/>
  <c r="AA709" i="5"/>
  <c r="Z717" i="5"/>
  <c r="AA717" i="5"/>
  <c r="Z725" i="5"/>
  <c r="AA725" i="5"/>
  <c r="Z733" i="5"/>
  <c r="AA733" i="5"/>
  <c r="Z741" i="5"/>
  <c r="AA741" i="5"/>
  <c r="Z749" i="5"/>
  <c r="AA749" i="5"/>
  <c r="Z757" i="5"/>
  <c r="AA757" i="5"/>
  <c r="Z765" i="5"/>
  <c r="AA765" i="5"/>
  <c r="Z773" i="5"/>
  <c r="AA773" i="5"/>
  <c r="Z781" i="5"/>
  <c r="AA781" i="5"/>
  <c r="Z789" i="5"/>
  <c r="AA789" i="5"/>
  <c r="Z797" i="5"/>
  <c r="AA797" i="5"/>
  <c r="Z805" i="5"/>
  <c r="AA805" i="5"/>
  <c r="Z813" i="5"/>
  <c r="AA813" i="5"/>
  <c r="Z821" i="5"/>
  <c r="AA821" i="5"/>
  <c r="Z829" i="5"/>
  <c r="AA829" i="5"/>
  <c r="Z837" i="5"/>
  <c r="AA837" i="5"/>
  <c r="Z845" i="5"/>
  <c r="AA845" i="5"/>
  <c r="Z853" i="5"/>
  <c r="AA853" i="5"/>
  <c r="Z861" i="5"/>
  <c r="AA861" i="5"/>
  <c r="Z790" i="5"/>
  <c r="AA997" i="5"/>
  <c r="AA989" i="5"/>
  <c r="AA981" i="5"/>
  <c r="AA973" i="5"/>
  <c r="AA965" i="5"/>
  <c r="AA957" i="5"/>
  <c r="AA949" i="5"/>
  <c r="AA941" i="5"/>
  <c r="AA933" i="5"/>
  <c r="AA925" i="5"/>
  <c r="AA917" i="5"/>
  <c r="AA909" i="5"/>
  <c r="AA899" i="5"/>
  <c r="AA889" i="5"/>
  <c r="AA877" i="5"/>
  <c r="AA854" i="5"/>
  <c r="AA842" i="5"/>
  <c r="AA817" i="5"/>
  <c r="AA803" i="5"/>
  <c r="AA778" i="5"/>
  <c r="AA753" i="5"/>
  <c r="AA739" i="5"/>
  <c r="AA726" i="5"/>
  <c r="AA714" i="5"/>
  <c r="AA689" i="5"/>
  <c r="AA674" i="5"/>
  <c r="AA659" i="5"/>
  <c r="AA645" i="5"/>
  <c r="AA629" i="5"/>
  <c r="AA617" i="5"/>
  <c r="AA601" i="5"/>
  <c r="AA586" i="5"/>
  <c r="AA544" i="5"/>
  <c r="AA528" i="5"/>
  <c r="AA513" i="5"/>
  <c r="AA499" i="5"/>
  <c r="AA470" i="5"/>
  <c r="Z478" i="5"/>
  <c r="AA478" i="5"/>
  <c r="Z486" i="5"/>
  <c r="AA486" i="5"/>
  <c r="Z502" i="5"/>
  <c r="AA502" i="5"/>
  <c r="Z542" i="5"/>
  <c r="AA542" i="5"/>
  <c r="Z550" i="5"/>
  <c r="AA550" i="5"/>
  <c r="Z566" i="5"/>
  <c r="AA566" i="5"/>
  <c r="Z606" i="5"/>
  <c r="AA606" i="5"/>
  <c r="Z614" i="5"/>
  <c r="AA614" i="5"/>
  <c r="Z630" i="5"/>
  <c r="AA630" i="5"/>
  <c r="Z670" i="5"/>
  <c r="AA670" i="5"/>
  <c r="Z678" i="5"/>
  <c r="AA678" i="5"/>
  <c r="Z681" i="5"/>
  <c r="AA898" i="5"/>
  <c r="AA886" i="5"/>
  <c r="AA866" i="5"/>
  <c r="AA841" i="5"/>
  <c r="AA827" i="5"/>
  <c r="AA814" i="5"/>
  <c r="AA802" i="5"/>
  <c r="AA777" i="5"/>
  <c r="AA763" i="5"/>
  <c r="AA750" i="5"/>
  <c r="AA738" i="5"/>
  <c r="AA713" i="5"/>
  <c r="AA699" i="5"/>
  <c r="AA686" i="5"/>
  <c r="AA673" i="5"/>
  <c r="AA657" i="5"/>
  <c r="AA613" i="5"/>
  <c r="AA600" i="5"/>
  <c r="AA584" i="5"/>
  <c r="AA571" i="5"/>
  <c r="AA555" i="5"/>
  <c r="AA526" i="5"/>
  <c r="AA510" i="5"/>
  <c r="Z439" i="5"/>
  <c r="AA439" i="5"/>
  <c r="Z447" i="5"/>
  <c r="AA447" i="5"/>
  <c r="Z455" i="5"/>
  <c r="AA455" i="5"/>
  <c r="Z463" i="5"/>
  <c r="AA463" i="5"/>
  <c r="Z471" i="5"/>
  <c r="AA471" i="5"/>
  <c r="Z479" i="5"/>
  <c r="AA479" i="5"/>
  <c r="Z487" i="5"/>
  <c r="AA487" i="5"/>
  <c r="Z495" i="5"/>
  <c r="AA495" i="5"/>
  <c r="Z503" i="5"/>
  <c r="AA503" i="5"/>
  <c r="Z511" i="5"/>
  <c r="AA511" i="5"/>
  <c r="Z519" i="5"/>
  <c r="AA519" i="5"/>
  <c r="Z527" i="5"/>
  <c r="AA527" i="5"/>
  <c r="Z535" i="5"/>
  <c r="AA535" i="5"/>
  <c r="Z543" i="5"/>
  <c r="AA543" i="5"/>
  <c r="Z551" i="5"/>
  <c r="AA551" i="5"/>
  <c r="Z559" i="5"/>
  <c r="AA559" i="5"/>
  <c r="Z567" i="5"/>
  <c r="AA567" i="5"/>
  <c r="Z575" i="5"/>
  <c r="AA575" i="5"/>
  <c r="Z583" i="5"/>
  <c r="AA583" i="5"/>
  <c r="Z591" i="5"/>
  <c r="AA591" i="5"/>
  <c r="Z599" i="5"/>
  <c r="AA599" i="5"/>
  <c r="Z607" i="5"/>
  <c r="AA607" i="5"/>
  <c r="Z615" i="5"/>
  <c r="AA615" i="5"/>
  <c r="Z623" i="5"/>
  <c r="AA623" i="5"/>
  <c r="Z631" i="5"/>
  <c r="AA631" i="5"/>
  <c r="Z639" i="5"/>
  <c r="AA639" i="5"/>
  <c r="Z647" i="5"/>
  <c r="AA647" i="5"/>
  <c r="Z655" i="5"/>
  <c r="AA655" i="5"/>
  <c r="Z663" i="5"/>
  <c r="AA663" i="5"/>
  <c r="Z671" i="5"/>
  <c r="AA671" i="5"/>
  <c r="Z679" i="5"/>
  <c r="AA679" i="5"/>
  <c r="Z687" i="5"/>
  <c r="AA687" i="5"/>
  <c r="Z695" i="5"/>
  <c r="AA695" i="5"/>
  <c r="Z703" i="5"/>
  <c r="AA703" i="5"/>
  <c r="Z711" i="5"/>
  <c r="AA711" i="5"/>
  <c r="Z719" i="5"/>
  <c r="AA719" i="5"/>
  <c r="Z727" i="5"/>
  <c r="AA727" i="5"/>
  <c r="Z735" i="5"/>
  <c r="AA735" i="5"/>
  <c r="Z743" i="5"/>
  <c r="AA743" i="5"/>
  <c r="Z751" i="5"/>
  <c r="AA751" i="5"/>
  <c r="Z759" i="5"/>
  <c r="AA759" i="5"/>
  <c r="Z767" i="5"/>
  <c r="AA767" i="5"/>
  <c r="Z775" i="5"/>
  <c r="AA775" i="5"/>
  <c r="Z783" i="5"/>
  <c r="AA783" i="5"/>
  <c r="Z791" i="5"/>
  <c r="AA791" i="5"/>
  <c r="Z799" i="5"/>
  <c r="AA799" i="5"/>
  <c r="Z807" i="5"/>
  <c r="AA807" i="5"/>
  <c r="Z815" i="5"/>
  <c r="AA815" i="5"/>
  <c r="Z823" i="5"/>
  <c r="AA823" i="5"/>
  <c r="Z831" i="5"/>
  <c r="AA831" i="5"/>
  <c r="Z839" i="5"/>
  <c r="AA839" i="5"/>
  <c r="Z847" i="5"/>
  <c r="AA847" i="5"/>
  <c r="Z855" i="5"/>
  <c r="AA855" i="5"/>
  <c r="Z863" i="5"/>
  <c r="AA863" i="5"/>
  <c r="Z871" i="5"/>
  <c r="AA871" i="5"/>
  <c r="Z879" i="5"/>
  <c r="AA879" i="5"/>
  <c r="Z887" i="5"/>
  <c r="AA887" i="5"/>
  <c r="Z895" i="5"/>
  <c r="AA895" i="5"/>
  <c r="Z903" i="5"/>
  <c r="AA903" i="5"/>
  <c r="Z553" i="5"/>
  <c r="AA987" i="5"/>
  <c r="AA979" i="5"/>
  <c r="AA971" i="5"/>
  <c r="AA963" i="5"/>
  <c r="AA955" i="5"/>
  <c r="AA947" i="5"/>
  <c r="AA939" i="5"/>
  <c r="AA931" i="5"/>
  <c r="AA923" i="5"/>
  <c r="AA915" i="5"/>
  <c r="AA907" i="5"/>
  <c r="AA897" i="5"/>
  <c r="AA885" i="5"/>
  <c r="AA875" i="5"/>
  <c r="AA865" i="5"/>
  <c r="AA851" i="5"/>
  <c r="AA838" i="5"/>
  <c r="AA826" i="5"/>
  <c r="AA801" i="5"/>
  <c r="AA787" i="5"/>
  <c r="AA774" i="5"/>
  <c r="AA762" i="5"/>
  <c r="AA737" i="5"/>
  <c r="AA723" i="5"/>
  <c r="AA710" i="5"/>
  <c r="AA698" i="5"/>
  <c r="AA672" i="5"/>
  <c r="AA656" i="5"/>
  <c r="AA641" i="5"/>
  <c r="AA627" i="5"/>
  <c r="AA611" i="5"/>
  <c r="AA598" i="5"/>
  <c r="AA582" i="5"/>
  <c r="AA568" i="5"/>
  <c r="AA554" i="5"/>
  <c r="AA538" i="5"/>
  <c r="AA525" i="5"/>
  <c r="AA509" i="5"/>
  <c r="AA494" i="5"/>
  <c r="AA481" i="5"/>
  <c r="Z488" i="5"/>
  <c r="AA488" i="5"/>
  <c r="Z496" i="5"/>
  <c r="AA496" i="5"/>
  <c r="Z512" i="5"/>
  <c r="AA512" i="5"/>
  <c r="Z552" i="5"/>
  <c r="AA552" i="5"/>
  <c r="Z560" i="5"/>
  <c r="AA560" i="5"/>
  <c r="Z576" i="5"/>
  <c r="AA576" i="5"/>
  <c r="Z616" i="5"/>
  <c r="AA616" i="5"/>
  <c r="Z624" i="5"/>
  <c r="AA624" i="5"/>
  <c r="Z640" i="5"/>
  <c r="AA640" i="5"/>
  <c r="Z680" i="5"/>
  <c r="AA680" i="5"/>
  <c r="Z688" i="5"/>
  <c r="AA688" i="5"/>
  <c r="Z696" i="5"/>
  <c r="AA696" i="5"/>
  <c r="Z704" i="5"/>
  <c r="AA704" i="5"/>
  <c r="Z712" i="5"/>
  <c r="AA712" i="5"/>
  <c r="Z720" i="5"/>
  <c r="AA720" i="5"/>
  <c r="Z728" i="5"/>
  <c r="AA728" i="5"/>
  <c r="Z736" i="5"/>
  <c r="AA736" i="5"/>
  <c r="Z744" i="5"/>
  <c r="AA744" i="5"/>
  <c r="Z752" i="5"/>
  <c r="AA752" i="5"/>
  <c r="Z760" i="5"/>
  <c r="AA760" i="5"/>
  <c r="Z768" i="5"/>
  <c r="AA768" i="5"/>
  <c r="Z776" i="5"/>
  <c r="AA776" i="5"/>
  <c r="Z784" i="5"/>
  <c r="AA784" i="5"/>
  <c r="Z792" i="5"/>
  <c r="AA792" i="5"/>
  <c r="Z800" i="5"/>
  <c r="AA800" i="5"/>
  <c r="Z808" i="5"/>
  <c r="AA808" i="5"/>
  <c r="Z816" i="5"/>
  <c r="AA816" i="5"/>
  <c r="Z824" i="5"/>
  <c r="AA824" i="5"/>
  <c r="Z832" i="5"/>
  <c r="AA832" i="5"/>
  <c r="Z840" i="5"/>
  <c r="AA840" i="5"/>
  <c r="Z848" i="5"/>
  <c r="AA848" i="5"/>
  <c r="Z856" i="5"/>
  <c r="AA856" i="5"/>
  <c r="Z864" i="5"/>
  <c r="AA864" i="5"/>
  <c r="Z872" i="5"/>
  <c r="AA872" i="5"/>
  <c r="Z880" i="5"/>
  <c r="AA880" i="5"/>
  <c r="Z888" i="5"/>
  <c r="AA888" i="5"/>
  <c r="Z896" i="5"/>
  <c r="AA896" i="5"/>
  <c r="Z904" i="5"/>
  <c r="AA904" i="5"/>
  <c r="AA994" i="5"/>
  <c r="AA986" i="5"/>
  <c r="AA978" i="5"/>
  <c r="AA970" i="5"/>
  <c r="AA962" i="5"/>
  <c r="AA954" i="5"/>
  <c r="AA946" i="5"/>
  <c r="AA938" i="5"/>
  <c r="AA930" i="5"/>
  <c r="AA922" i="5"/>
  <c r="AA914" i="5"/>
  <c r="AA906" i="5"/>
  <c r="AA894" i="5"/>
  <c r="AA874" i="5"/>
  <c r="AA862" i="5"/>
  <c r="AA850" i="5"/>
  <c r="AA825" i="5"/>
  <c r="AA811" i="5"/>
  <c r="AA798" i="5"/>
  <c r="AA786" i="5"/>
  <c r="AA761" i="5"/>
  <c r="AA747" i="5"/>
  <c r="AA734" i="5"/>
  <c r="AA722" i="5"/>
  <c r="AA697" i="5"/>
  <c r="AA683" i="5"/>
  <c r="AA654" i="5"/>
  <c r="AA638" i="5"/>
  <c r="AA626" i="5"/>
  <c r="AA610" i="5"/>
  <c r="AA595" i="5"/>
  <c r="AA581" i="5"/>
  <c r="AA565" i="5"/>
  <c r="AA537" i="5"/>
  <c r="AA522" i="5"/>
  <c r="AA480" i="5"/>
  <c r="Z497" i="5"/>
  <c r="AA497" i="5"/>
  <c r="Z505" i="5"/>
  <c r="AA505" i="5"/>
  <c r="Z521" i="5"/>
  <c r="AA521" i="5"/>
  <c r="Z561" i="5"/>
  <c r="AA561" i="5"/>
  <c r="Z569" i="5"/>
  <c r="AA569" i="5"/>
  <c r="Z585" i="5"/>
  <c r="AA585" i="5"/>
  <c r="Z625" i="5"/>
  <c r="AA625" i="5"/>
  <c r="Z633" i="5"/>
  <c r="AA633" i="5"/>
  <c r="Z649" i="5"/>
  <c r="AA649" i="5"/>
  <c r="AA1001" i="5"/>
  <c r="AA993" i="5"/>
  <c r="AA985" i="5"/>
  <c r="AA977" i="5"/>
  <c r="AA969" i="5"/>
  <c r="AA961" i="5"/>
  <c r="AA953" i="5"/>
  <c r="AA945" i="5"/>
  <c r="AA937" i="5"/>
  <c r="AA929" i="5"/>
  <c r="AA921" i="5"/>
  <c r="AA913" i="5"/>
  <c r="AA905" i="5"/>
  <c r="AA893" i="5"/>
  <c r="AA883" i="5"/>
  <c r="AA873" i="5"/>
  <c r="AA849" i="5"/>
  <c r="AA835" i="5"/>
  <c r="AA822" i="5"/>
  <c r="AA810" i="5"/>
  <c r="AA785" i="5"/>
  <c r="AA771" i="5"/>
  <c r="AA758" i="5"/>
  <c r="AA746" i="5"/>
  <c r="AA721" i="5"/>
  <c r="AA707" i="5"/>
  <c r="AA694" i="5"/>
  <c r="AA682" i="5"/>
  <c r="AA666" i="5"/>
  <c r="AA653" i="5"/>
  <c r="AA637" i="5"/>
  <c r="AA622" i="5"/>
  <c r="AA609" i="5"/>
  <c r="AA593" i="5"/>
  <c r="AA549" i="5"/>
  <c r="AA536" i="5"/>
  <c r="AA520" i="5"/>
  <c r="AA507" i="5"/>
  <c r="AA491" i="5"/>
  <c r="Z514" i="5"/>
  <c r="AA514" i="5"/>
  <c r="Z530" i="5"/>
  <c r="AA530" i="5"/>
  <c r="Z570" i="5"/>
  <c r="AA570" i="5"/>
  <c r="Z578" i="5"/>
  <c r="AA578" i="5"/>
  <c r="Z594" i="5"/>
  <c r="AA594" i="5"/>
  <c r="Z634" i="5"/>
  <c r="AA634" i="5"/>
  <c r="Z642" i="5"/>
  <c r="AA642" i="5"/>
  <c r="Z658" i="5"/>
  <c r="AA658" i="5"/>
  <c r="AA1000" i="5"/>
  <c r="AA992" i="5"/>
  <c r="AA984" i="5"/>
  <c r="AA976" i="5"/>
  <c r="AA968" i="5"/>
  <c r="AA960" i="5"/>
  <c r="AA952" i="5"/>
  <c r="AA944" i="5"/>
  <c r="AA936" i="5"/>
  <c r="AA928" i="5"/>
  <c r="AA920" i="5"/>
  <c r="AA912" i="5"/>
  <c r="AA902" i="5"/>
  <c r="AA882" i="5"/>
  <c r="AA870" i="5"/>
  <c r="AA859" i="5"/>
  <c r="AA846" i="5"/>
  <c r="AA834" i="5"/>
  <c r="AA809" i="5"/>
  <c r="AA795" i="5"/>
  <c r="AA782" i="5"/>
  <c r="AA770" i="5"/>
  <c r="AA745" i="5"/>
  <c r="AA731" i="5"/>
  <c r="AA718" i="5"/>
  <c r="AA706" i="5"/>
  <c r="AA665" i="5"/>
  <c r="AA650" i="5"/>
  <c r="AA608" i="5"/>
  <c r="AA592" i="5"/>
  <c r="AA577" i="5"/>
  <c r="AA563" i="5"/>
  <c r="AA547" i="5"/>
  <c r="AA534" i="5"/>
  <c r="AA518" i="5"/>
  <c r="AA504" i="5"/>
  <c r="AA2" i="5"/>
  <c r="Y948" i="5"/>
  <c r="Y804" i="5"/>
  <c r="Y940" i="5"/>
  <c r="Y788" i="5"/>
  <c r="Y932" i="5"/>
  <c r="Y674" i="5"/>
  <c r="Y924" i="5"/>
  <c r="Y663" i="5"/>
  <c r="Y916" i="5"/>
  <c r="Y631" i="5"/>
  <c r="Y860" i="5"/>
  <c r="Y535" i="5"/>
  <c r="Y820" i="5"/>
  <c r="I389" i="5"/>
  <c r="Y389" i="5" s="1"/>
  <c r="I381" i="5"/>
  <c r="Y381" i="5" s="1"/>
  <c r="I365" i="5"/>
  <c r="Y365" i="5" s="1"/>
  <c r="Y642" i="5"/>
  <c r="I373" i="5"/>
  <c r="Y373" i="5" s="1"/>
  <c r="I9" i="5"/>
  <c r="Y9" i="5" s="1"/>
  <c r="I41" i="5"/>
  <c r="Y41" i="5" s="1"/>
  <c r="I49" i="5"/>
  <c r="Y49" i="5" s="1"/>
  <c r="I57" i="5"/>
  <c r="Y57" i="5" s="1"/>
  <c r="I65" i="5"/>
  <c r="Y65" i="5" s="1"/>
  <c r="I73" i="5"/>
  <c r="Y73" i="5" s="1"/>
  <c r="I81" i="5"/>
  <c r="Y81" i="5" s="1"/>
  <c r="I89" i="5"/>
  <c r="Y89" i="5" s="1"/>
  <c r="I97" i="5"/>
  <c r="Y97" i="5" s="1"/>
  <c r="I105" i="5"/>
  <c r="Y105" i="5" s="1"/>
  <c r="I113" i="5"/>
  <c r="Y113" i="5" s="1"/>
  <c r="I121" i="5"/>
  <c r="Y121" i="5" s="1"/>
  <c r="I129" i="5"/>
  <c r="Y129" i="5" s="1"/>
  <c r="I137" i="5"/>
  <c r="Y137" i="5" s="1"/>
  <c r="I145" i="5"/>
  <c r="Y145" i="5" s="1"/>
  <c r="I153" i="5"/>
  <c r="Y153" i="5" s="1"/>
  <c r="I185" i="5"/>
  <c r="Y185" i="5" s="1"/>
  <c r="I193" i="5"/>
  <c r="Y193" i="5" s="1"/>
  <c r="I201" i="5"/>
  <c r="Y201" i="5" s="1"/>
  <c r="I217" i="5"/>
  <c r="Y217" i="5" s="1"/>
  <c r="I233" i="5"/>
  <c r="Y233" i="5" s="1"/>
  <c r="I249" i="5"/>
  <c r="Y249" i="5" s="1"/>
  <c r="I257" i="5"/>
  <c r="Y257" i="5" s="1"/>
  <c r="I273" i="5"/>
  <c r="Y273" i="5" s="1"/>
  <c r="I289" i="5"/>
  <c r="Y289" i="5" s="1"/>
  <c r="I369" i="5"/>
  <c r="Y369" i="5" s="1"/>
  <c r="I385" i="5"/>
  <c r="Y385" i="5" s="1"/>
  <c r="I433" i="5"/>
  <c r="Y433" i="5" s="1"/>
  <c r="I634" i="5"/>
  <c r="Y634" i="5" s="1"/>
  <c r="I650" i="5"/>
  <c r="Y650" i="5" s="1"/>
  <c r="I666" i="5"/>
  <c r="Y666" i="5" s="1"/>
  <c r="I682" i="5"/>
  <c r="Y682" i="5" s="1"/>
  <c r="I722" i="5"/>
  <c r="Y722" i="5" s="1"/>
  <c r="I730" i="5"/>
  <c r="Y730" i="5" s="1"/>
  <c r="I802" i="5"/>
  <c r="Y802" i="5" s="1"/>
  <c r="I810" i="5"/>
  <c r="Y810" i="5" s="1"/>
  <c r="I850" i="5"/>
  <c r="Y850" i="5" s="1"/>
  <c r="I858" i="5"/>
  <c r="Y858" i="5" s="1"/>
  <c r="I874" i="5"/>
  <c r="Y874" i="5" s="1"/>
  <c r="I898" i="5"/>
  <c r="Y898" i="5" s="1"/>
  <c r="I906" i="5"/>
  <c r="Y906" i="5" s="1"/>
  <c r="I914" i="5"/>
  <c r="Y914" i="5" s="1"/>
  <c r="I922" i="5"/>
  <c r="Y922" i="5" s="1"/>
  <c r="I930" i="5"/>
  <c r="Y930" i="5" s="1"/>
  <c r="I954" i="5"/>
  <c r="Y954" i="5" s="1"/>
  <c r="Y939" i="5"/>
  <c r="Y923" i="5"/>
  <c r="Y915" i="5"/>
  <c r="Y907" i="5"/>
  <c r="Y899" i="5"/>
  <c r="Y859" i="5"/>
  <c r="Y851" i="5"/>
  <c r="Y843" i="5"/>
  <c r="Y835" i="5"/>
  <c r="Y827" i="5"/>
  <c r="Y819" i="5"/>
  <c r="Y811" i="5"/>
  <c r="Y803" i="5"/>
  <c r="Y795" i="5"/>
  <c r="Y779" i="5"/>
  <c r="Y763" i="5"/>
  <c r="Y747" i="5"/>
  <c r="Y723" i="5"/>
  <c r="Y707" i="5"/>
  <c r="Y691" i="5"/>
  <c r="I525" i="5"/>
  <c r="Y525" i="5" s="1"/>
  <c r="I533" i="5"/>
  <c r="Y533" i="5" s="1"/>
  <c r="I629" i="5"/>
  <c r="Y629" i="5" s="1"/>
  <c r="I637" i="5"/>
  <c r="Y637" i="5" s="1"/>
  <c r="I645" i="5"/>
  <c r="Y645" i="5" s="1"/>
  <c r="I653" i="5"/>
  <c r="Y653" i="5" s="1"/>
  <c r="I677" i="5"/>
  <c r="Y677" i="5" s="1"/>
  <c r="Y953" i="5"/>
  <c r="Y937" i="5"/>
  <c r="Y929" i="5"/>
  <c r="Y921" i="5"/>
  <c r="Y785" i="5"/>
  <c r="Y753" i="5"/>
  <c r="Y737" i="5"/>
  <c r="Y729" i="5"/>
  <c r="Y713" i="5"/>
  <c r="Y705" i="5"/>
  <c r="Y689" i="5"/>
  <c r="Y951" i="5"/>
  <c r="Y935" i="5"/>
  <c r="Y927" i="5"/>
  <c r="Y903" i="5"/>
  <c r="Y863" i="5"/>
  <c r="Y855" i="5"/>
  <c r="Y847" i="5"/>
  <c r="Y839" i="5"/>
  <c r="Y807" i="5"/>
  <c r="Y783" i="5"/>
  <c r="Y759" i="5"/>
  <c r="Y735" i="5"/>
  <c r="Y727" i="5"/>
  <c r="Y719" i="5"/>
  <c r="Y703" i="5"/>
  <c r="Y687" i="5"/>
  <c r="Y656" i="5"/>
  <c r="Y527" i="5"/>
  <c r="Y958" i="5"/>
  <c r="Y942" i="5"/>
  <c r="Y854" i="5"/>
  <c r="Y838" i="5"/>
  <c r="Y790" i="5"/>
  <c r="Y774" i="5"/>
  <c r="Y766" i="5"/>
  <c r="Y750" i="5"/>
  <c r="Y734" i="5"/>
  <c r="Y718" i="5"/>
  <c r="I521" i="5"/>
  <c r="Y521" i="5" s="1"/>
  <c r="I529" i="5"/>
  <c r="Y529" i="5" s="1"/>
  <c r="I625" i="5"/>
  <c r="Y625" i="5" s="1"/>
  <c r="Y957" i="5"/>
  <c r="Y949" i="5"/>
  <c r="Y925" i="5"/>
  <c r="Y917" i="5"/>
  <c r="Y909" i="5"/>
  <c r="Y901" i="5"/>
  <c r="Y829" i="5"/>
  <c r="Y757" i="5"/>
  <c r="Y741" i="5"/>
  <c r="Y725" i="5"/>
  <c r="X631" i="5"/>
  <c r="Y2" i="5"/>
  <c r="X642" i="5"/>
  <c r="X529" i="5"/>
  <c r="X785" i="5"/>
  <c r="X249" i="5"/>
  <c r="X753" i="5"/>
  <c r="X185" i="5"/>
  <c r="X737" i="5"/>
  <c r="X121" i="5"/>
  <c r="X729" i="5"/>
  <c r="X57" i="5"/>
  <c r="X689" i="5"/>
  <c r="I144" i="5"/>
  <c r="Y144" i="5" s="1"/>
  <c r="X144" i="5"/>
  <c r="I192" i="5"/>
  <c r="Y192" i="5" s="1"/>
  <c r="X192" i="5"/>
  <c r="I208" i="5"/>
  <c r="Y208" i="5" s="1"/>
  <c r="X208" i="5"/>
  <c r="I216" i="5"/>
  <c r="Y216" i="5" s="1"/>
  <c r="X216" i="5"/>
  <c r="I608" i="5"/>
  <c r="Y608" i="5" s="1"/>
  <c r="X608" i="5"/>
  <c r="I640" i="5"/>
  <c r="Y640" i="5" s="1"/>
  <c r="X640" i="5"/>
  <c r="I720" i="5"/>
  <c r="Y720" i="5" s="1"/>
  <c r="X720" i="5"/>
  <c r="I728" i="5"/>
  <c r="Y728" i="5" s="1"/>
  <c r="X728" i="5"/>
  <c r="I88" i="5"/>
  <c r="Y88" i="5" s="1"/>
  <c r="X88" i="5"/>
  <c r="I400" i="5"/>
  <c r="Y400" i="5" s="1"/>
  <c r="X400" i="5"/>
  <c r="I416" i="5"/>
  <c r="Y416" i="5" s="1"/>
  <c r="X416" i="5"/>
  <c r="I504" i="5"/>
  <c r="Y504" i="5" s="1"/>
  <c r="X504" i="5"/>
  <c r="I64" i="5"/>
  <c r="Y64" i="5" s="1"/>
  <c r="X64" i="5"/>
  <c r="I96" i="5"/>
  <c r="Y96" i="5" s="1"/>
  <c r="X96" i="5"/>
  <c r="I120" i="5"/>
  <c r="Y120" i="5" s="1"/>
  <c r="I408" i="5"/>
  <c r="Y408" i="5" s="1"/>
  <c r="X656" i="5"/>
  <c r="I8" i="5"/>
  <c r="Y8" i="5" s="1"/>
  <c r="X8" i="5"/>
  <c r="I80" i="5"/>
  <c r="Y80" i="5" s="1"/>
  <c r="X80" i="5"/>
  <c r="I112" i="5"/>
  <c r="Y112" i="5" s="1"/>
  <c r="X112" i="5"/>
  <c r="I128" i="5"/>
  <c r="Y128" i="5" s="1"/>
  <c r="X128" i="5"/>
  <c r="I160" i="5"/>
  <c r="Y160" i="5" s="1"/>
  <c r="X160" i="5"/>
  <c r="I184" i="5"/>
  <c r="Y184" i="5" s="1"/>
  <c r="X184" i="5"/>
  <c r="I200" i="5"/>
  <c r="Y200" i="5" s="1"/>
  <c r="X200" i="5"/>
  <c r="I488" i="5"/>
  <c r="Y488" i="5" s="1"/>
  <c r="X488" i="5"/>
  <c r="I832" i="5"/>
  <c r="Y832" i="5" s="1"/>
  <c r="X832" i="5"/>
  <c r="I920" i="5"/>
  <c r="Y920" i="5" s="1"/>
  <c r="X920" i="5"/>
  <c r="I944" i="5"/>
  <c r="Y944" i="5" s="1"/>
  <c r="I48" i="5"/>
  <c r="Y48" i="5" s="1"/>
  <c r="X48" i="5"/>
  <c r="I72" i="5"/>
  <c r="Y72" i="5" s="1"/>
  <c r="X72" i="5"/>
  <c r="I384" i="5"/>
  <c r="Y384" i="5" s="1"/>
  <c r="X384" i="5"/>
  <c r="I616" i="5"/>
  <c r="Y616" i="5" s="1"/>
  <c r="X616" i="5"/>
  <c r="I664" i="5"/>
  <c r="Y664" i="5" s="1"/>
  <c r="X664" i="5"/>
  <c r="I808" i="5"/>
  <c r="Y808" i="5" s="1"/>
  <c r="X808" i="5"/>
  <c r="I872" i="5"/>
  <c r="Y872" i="5" s="1"/>
  <c r="X872" i="5"/>
  <c r="I40" i="5"/>
  <c r="Y40" i="5" s="1"/>
  <c r="X40" i="5"/>
  <c r="I176" i="5"/>
  <c r="Y176" i="5" s="1"/>
  <c r="X176" i="5"/>
  <c r="I376" i="5"/>
  <c r="Y376" i="5" s="1"/>
  <c r="I648" i="5"/>
  <c r="Y648" i="5" s="1"/>
  <c r="X648" i="5"/>
  <c r="I840" i="5"/>
  <c r="Y840" i="5" s="1"/>
  <c r="X840" i="5"/>
  <c r="I56" i="5"/>
  <c r="Y56" i="5" s="1"/>
  <c r="X56" i="5"/>
  <c r="I104" i="5"/>
  <c r="Y104" i="5" s="1"/>
  <c r="X104" i="5"/>
  <c r="I136" i="5"/>
  <c r="Y136" i="5" s="1"/>
  <c r="I152" i="5"/>
  <c r="Y152" i="5" s="1"/>
  <c r="I224" i="5"/>
  <c r="Y224" i="5" s="1"/>
  <c r="X224" i="5"/>
  <c r="I368" i="5"/>
  <c r="Y368" i="5" s="1"/>
  <c r="X368" i="5"/>
  <c r="I392" i="5"/>
  <c r="Y392" i="5" s="1"/>
  <c r="I512" i="5"/>
  <c r="Y512" i="5" s="1"/>
  <c r="I792" i="5"/>
  <c r="Y792" i="5" s="1"/>
  <c r="X792" i="5"/>
  <c r="I856" i="5"/>
  <c r="Y856" i="5" s="1"/>
  <c r="X856" i="5"/>
  <c r="I864" i="5"/>
  <c r="Y864" i="5" s="1"/>
  <c r="X864" i="5"/>
  <c r="I928" i="5"/>
  <c r="Y928" i="5" s="1"/>
  <c r="X928" i="5"/>
  <c r="I7" i="5"/>
  <c r="Y7" i="5" s="1"/>
  <c r="X7" i="5"/>
  <c r="I47" i="5"/>
  <c r="Y47" i="5" s="1"/>
  <c r="X47" i="5"/>
  <c r="I55" i="5"/>
  <c r="Y55" i="5" s="1"/>
  <c r="X55" i="5"/>
  <c r="I63" i="5"/>
  <c r="Y63" i="5" s="1"/>
  <c r="X63" i="5"/>
  <c r="I71" i="5"/>
  <c r="Y71" i="5" s="1"/>
  <c r="X71" i="5"/>
  <c r="I87" i="5"/>
  <c r="Y87" i="5" s="1"/>
  <c r="X87" i="5"/>
  <c r="I95" i="5"/>
  <c r="Y95" i="5" s="1"/>
  <c r="X95" i="5"/>
  <c r="I103" i="5"/>
  <c r="Y103" i="5" s="1"/>
  <c r="I111" i="5"/>
  <c r="Y111" i="5" s="1"/>
  <c r="X111" i="5"/>
  <c r="I119" i="5"/>
  <c r="Y119" i="5" s="1"/>
  <c r="I127" i="5"/>
  <c r="Y127" i="5" s="1"/>
  <c r="X127" i="5"/>
  <c r="I135" i="5"/>
  <c r="Y135" i="5" s="1"/>
  <c r="I143" i="5"/>
  <c r="Y143" i="5" s="1"/>
  <c r="X143" i="5"/>
  <c r="I151" i="5"/>
  <c r="Y151" i="5" s="1"/>
  <c r="X151" i="5"/>
  <c r="I215" i="5"/>
  <c r="Y215" i="5" s="1"/>
  <c r="X215" i="5"/>
  <c r="I231" i="5"/>
  <c r="Y231" i="5" s="1"/>
  <c r="X231" i="5"/>
  <c r="I239" i="5"/>
  <c r="Y239" i="5" s="1"/>
  <c r="I255" i="5"/>
  <c r="Y255" i="5" s="1"/>
  <c r="I263" i="5"/>
  <c r="Y263" i="5" s="1"/>
  <c r="X263" i="5"/>
  <c r="I295" i="5"/>
  <c r="Y295" i="5" s="1"/>
  <c r="X295" i="5"/>
  <c r="I431" i="5"/>
  <c r="Y431" i="5" s="1"/>
  <c r="X431" i="5"/>
  <c r="X954" i="5"/>
  <c r="X930" i="5"/>
  <c r="X922" i="5"/>
  <c r="X898" i="5"/>
  <c r="X874" i="5"/>
  <c r="X858" i="5"/>
  <c r="X810" i="5"/>
  <c r="X802" i="5"/>
  <c r="X730" i="5"/>
  <c r="X682" i="5"/>
  <c r="X645" i="5"/>
  <c r="X533" i="5"/>
  <c r="X381" i="5"/>
  <c r="X257" i="5"/>
  <c r="X193" i="5"/>
  <c r="X129" i="5"/>
  <c r="X65" i="5"/>
  <c r="X666" i="5"/>
  <c r="X629" i="5"/>
  <c r="X289" i="5"/>
  <c r="X113" i="5"/>
  <c r="X49" i="5"/>
  <c r="I42" i="5"/>
  <c r="Y42" i="5" s="1"/>
  <c r="X42" i="5"/>
  <c r="I50" i="5"/>
  <c r="Y50" i="5" s="1"/>
  <c r="I58" i="5"/>
  <c r="Y58" i="5" s="1"/>
  <c r="X58" i="5"/>
  <c r="I66" i="5"/>
  <c r="Y66" i="5" s="1"/>
  <c r="X66" i="5"/>
  <c r="I74" i="5"/>
  <c r="Y74" i="5" s="1"/>
  <c r="X74" i="5"/>
  <c r="I82" i="5"/>
  <c r="Y82" i="5" s="1"/>
  <c r="X82" i="5"/>
  <c r="I90" i="5"/>
  <c r="Y90" i="5" s="1"/>
  <c r="X90" i="5"/>
  <c r="I98" i="5"/>
  <c r="Y98" i="5" s="1"/>
  <c r="X98" i="5"/>
  <c r="I106" i="5"/>
  <c r="Y106" i="5" s="1"/>
  <c r="X106" i="5"/>
  <c r="I114" i="5"/>
  <c r="Y114" i="5" s="1"/>
  <c r="X114" i="5"/>
  <c r="I122" i="5"/>
  <c r="Y122" i="5" s="1"/>
  <c r="X122" i="5"/>
  <c r="I130" i="5"/>
  <c r="Y130" i="5" s="1"/>
  <c r="X130" i="5"/>
  <c r="I138" i="5"/>
  <c r="Y138" i="5" s="1"/>
  <c r="X138" i="5"/>
  <c r="I146" i="5"/>
  <c r="Y146" i="5" s="1"/>
  <c r="X146" i="5"/>
  <c r="I154" i="5"/>
  <c r="Y154" i="5" s="1"/>
  <c r="I162" i="5"/>
  <c r="Y162" i="5" s="1"/>
  <c r="X162" i="5"/>
  <c r="I178" i="5"/>
  <c r="Y178" i="5" s="1"/>
  <c r="X178" i="5"/>
  <c r="I202" i="5"/>
  <c r="Y202" i="5" s="1"/>
  <c r="X202" i="5"/>
  <c r="I250" i="5"/>
  <c r="Y250" i="5" s="1"/>
  <c r="X250" i="5"/>
  <c r="I258" i="5"/>
  <c r="Y258" i="5" s="1"/>
  <c r="X258" i="5"/>
  <c r="I266" i="5"/>
  <c r="Y266" i="5" s="1"/>
  <c r="X266" i="5"/>
  <c r="I274" i="5"/>
  <c r="Y274" i="5" s="1"/>
  <c r="I282" i="5"/>
  <c r="Y282" i="5" s="1"/>
  <c r="X282" i="5"/>
  <c r="I290" i="5"/>
  <c r="Y290" i="5" s="1"/>
  <c r="I298" i="5"/>
  <c r="Y298" i="5" s="1"/>
  <c r="X298" i="5"/>
  <c r="I378" i="5"/>
  <c r="Y378" i="5" s="1"/>
  <c r="X378" i="5"/>
  <c r="I402" i="5"/>
  <c r="Y402" i="5" s="1"/>
  <c r="X402" i="5"/>
  <c r="I410" i="5"/>
  <c r="Y410" i="5" s="1"/>
  <c r="I418" i="5"/>
  <c r="Y418" i="5" s="1"/>
  <c r="X418" i="5"/>
  <c r="I458" i="5"/>
  <c r="Y458" i="5" s="1"/>
  <c r="X458" i="5"/>
  <c r="I466" i="5"/>
  <c r="Y466" i="5" s="1"/>
  <c r="X466" i="5"/>
  <c r="I474" i="5"/>
  <c r="Y474" i="5" s="1"/>
  <c r="X474" i="5"/>
  <c r="I482" i="5"/>
  <c r="Y482" i="5" s="1"/>
  <c r="I490" i="5"/>
  <c r="Y490" i="5" s="1"/>
  <c r="X490" i="5"/>
  <c r="I498" i="5"/>
  <c r="Y498" i="5" s="1"/>
  <c r="I506" i="5"/>
  <c r="Y506" i="5" s="1"/>
  <c r="X506" i="5"/>
  <c r="X863" i="5"/>
  <c r="X855" i="5"/>
  <c r="X847" i="5"/>
  <c r="X839" i="5"/>
  <c r="X807" i="5"/>
  <c r="X783" i="5"/>
  <c r="X735" i="5"/>
  <c r="X727" i="5"/>
  <c r="X719" i="5"/>
  <c r="X687" i="5"/>
  <c r="X653" i="5"/>
  <c r="X527" i="5"/>
  <c r="X373" i="5"/>
  <c r="X233" i="5"/>
  <c r="X105" i="5"/>
  <c r="X41" i="5"/>
  <c r="I43" i="5"/>
  <c r="Y43" i="5" s="1"/>
  <c r="X43" i="5"/>
  <c r="I51" i="5"/>
  <c r="Y51" i="5" s="1"/>
  <c r="I59" i="5"/>
  <c r="Y59" i="5" s="1"/>
  <c r="X59" i="5"/>
  <c r="I67" i="5"/>
  <c r="Y67" i="5" s="1"/>
  <c r="I91" i="5"/>
  <c r="Y91" i="5" s="1"/>
  <c r="X91" i="5"/>
  <c r="I99" i="5"/>
  <c r="Y99" i="5" s="1"/>
  <c r="X99" i="5"/>
  <c r="I107" i="5"/>
  <c r="Y107" i="5" s="1"/>
  <c r="X107" i="5"/>
  <c r="I115" i="5"/>
  <c r="Y115" i="5" s="1"/>
  <c r="X115" i="5"/>
  <c r="I123" i="5"/>
  <c r="Y123" i="5" s="1"/>
  <c r="X123" i="5"/>
  <c r="I131" i="5"/>
  <c r="Y131" i="5" s="1"/>
  <c r="X131" i="5"/>
  <c r="I139" i="5"/>
  <c r="Y139" i="5" s="1"/>
  <c r="X139" i="5"/>
  <c r="I147" i="5"/>
  <c r="Y147" i="5" s="1"/>
  <c r="X147" i="5"/>
  <c r="I251" i="5"/>
  <c r="Y251" i="5" s="1"/>
  <c r="X251" i="5"/>
  <c r="I259" i="5"/>
  <c r="Y259" i="5" s="1"/>
  <c r="X259" i="5"/>
  <c r="I267" i="5"/>
  <c r="Y267" i="5" s="1"/>
  <c r="X267" i="5"/>
  <c r="I283" i="5"/>
  <c r="Y283" i="5" s="1"/>
  <c r="X283" i="5"/>
  <c r="I435" i="5"/>
  <c r="Y435" i="5" s="1"/>
  <c r="X435" i="5"/>
  <c r="I523" i="5"/>
  <c r="Y523" i="5" s="1"/>
  <c r="X523" i="5"/>
  <c r="I531" i="5"/>
  <c r="Y531" i="5" s="1"/>
  <c r="X531" i="5"/>
  <c r="I659" i="5"/>
  <c r="Y659" i="5" s="1"/>
  <c r="X659" i="5"/>
  <c r="I667" i="5"/>
  <c r="Y667" i="5" s="1"/>
  <c r="X667" i="5"/>
  <c r="I675" i="5"/>
  <c r="Y675" i="5" s="1"/>
  <c r="X854" i="5"/>
  <c r="X838" i="5"/>
  <c r="X790" i="5"/>
  <c r="X774" i="5"/>
  <c r="X766" i="5"/>
  <c r="X734" i="5"/>
  <c r="X718" i="5"/>
  <c r="X677" i="5"/>
  <c r="X625" i="5"/>
  <c r="X525" i="5"/>
  <c r="X433" i="5"/>
  <c r="X369" i="5"/>
  <c r="X97" i="5"/>
  <c r="I4" i="5"/>
  <c r="Y4" i="5" s="1"/>
  <c r="X4" i="5"/>
  <c r="I44" i="5"/>
  <c r="Y44" i="5" s="1"/>
  <c r="X44" i="5"/>
  <c r="I52" i="5"/>
  <c r="Y52" i="5" s="1"/>
  <c r="X52" i="5"/>
  <c r="I60" i="5"/>
  <c r="Y60" i="5" s="1"/>
  <c r="X60" i="5"/>
  <c r="I68" i="5"/>
  <c r="Y68" i="5" s="1"/>
  <c r="I92" i="5"/>
  <c r="Y92" i="5" s="1"/>
  <c r="X92" i="5"/>
  <c r="I100" i="5"/>
  <c r="Y100" i="5" s="1"/>
  <c r="I108" i="5"/>
  <c r="Y108" i="5" s="1"/>
  <c r="X108" i="5"/>
  <c r="I116" i="5"/>
  <c r="Y116" i="5" s="1"/>
  <c r="X116" i="5"/>
  <c r="I124" i="5"/>
  <c r="Y124" i="5" s="1"/>
  <c r="X124" i="5"/>
  <c r="I132" i="5"/>
  <c r="Y132" i="5" s="1"/>
  <c r="X132" i="5"/>
  <c r="I140" i="5"/>
  <c r="Y140" i="5" s="1"/>
  <c r="X140" i="5"/>
  <c r="I148" i="5"/>
  <c r="Y148" i="5" s="1"/>
  <c r="X148" i="5"/>
  <c r="I156" i="5"/>
  <c r="Y156" i="5" s="1"/>
  <c r="X156" i="5"/>
  <c r="I164" i="5"/>
  <c r="Y164" i="5" s="1"/>
  <c r="X164" i="5"/>
  <c r="I180" i="5"/>
  <c r="Y180" i="5" s="1"/>
  <c r="X180" i="5"/>
  <c r="I188" i="5"/>
  <c r="Y188" i="5" s="1"/>
  <c r="X188" i="5"/>
  <c r="I196" i="5"/>
  <c r="Y196" i="5" s="1"/>
  <c r="X196" i="5"/>
  <c r="I204" i="5"/>
  <c r="Y204" i="5" s="1"/>
  <c r="I212" i="5"/>
  <c r="Y212" i="5" s="1"/>
  <c r="X212" i="5"/>
  <c r="I252" i="5"/>
  <c r="Y252" i="5" s="1"/>
  <c r="X252" i="5"/>
  <c r="I260" i="5"/>
  <c r="Y260" i="5" s="1"/>
  <c r="X260" i="5"/>
  <c r="I268" i="5"/>
  <c r="Y268" i="5" s="1"/>
  <c r="X268" i="5"/>
  <c r="I276" i="5"/>
  <c r="Y276" i="5" s="1"/>
  <c r="X276" i="5"/>
  <c r="I284" i="5"/>
  <c r="Y284" i="5" s="1"/>
  <c r="X284" i="5"/>
  <c r="I292" i="5"/>
  <c r="Y292" i="5" s="1"/>
  <c r="X292" i="5"/>
  <c r="I364" i="5"/>
  <c r="Y364" i="5" s="1"/>
  <c r="X364" i="5"/>
  <c r="I372" i="5"/>
  <c r="Y372" i="5" s="1"/>
  <c r="X372" i="5"/>
  <c r="I380" i="5"/>
  <c r="Y380" i="5" s="1"/>
  <c r="X380" i="5"/>
  <c r="I388" i="5"/>
  <c r="Y388" i="5" s="1"/>
  <c r="X388" i="5"/>
  <c r="I396" i="5"/>
  <c r="Y396" i="5" s="1"/>
  <c r="X396" i="5"/>
  <c r="I404" i="5"/>
  <c r="Y404" i="5" s="1"/>
  <c r="X404" i="5"/>
  <c r="I412" i="5"/>
  <c r="Y412" i="5" s="1"/>
  <c r="X412" i="5"/>
  <c r="I428" i="5"/>
  <c r="Y428" i="5" s="1"/>
  <c r="X428" i="5"/>
  <c r="I436" i="5"/>
  <c r="Y436" i="5" s="1"/>
  <c r="X436" i="5"/>
  <c r="I484" i="5"/>
  <c r="Y484" i="5" s="1"/>
  <c r="X484" i="5"/>
  <c r="I500" i="5"/>
  <c r="Y500" i="5" s="1"/>
  <c r="X500" i="5"/>
  <c r="I516" i="5"/>
  <c r="Y516" i="5" s="1"/>
  <c r="X516" i="5"/>
  <c r="I612" i="5"/>
  <c r="Y612" i="5" s="1"/>
  <c r="I620" i="5"/>
  <c r="Y620" i="5" s="1"/>
  <c r="X620" i="5"/>
  <c r="I636" i="5"/>
  <c r="Y636" i="5" s="1"/>
  <c r="X636" i="5"/>
  <c r="I644" i="5"/>
  <c r="Y644" i="5" s="1"/>
  <c r="X644" i="5"/>
  <c r="I652" i="5"/>
  <c r="Y652" i="5" s="1"/>
  <c r="X652" i="5"/>
  <c r="I668" i="5"/>
  <c r="Y668" i="5" s="1"/>
  <c r="X668" i="5"/>
  <c r="I676" i="5"/>
  <c r="Y676" i="5" s="1"/>
  <c r="X676" i="5"/>
  <c r="X901" i="5"/>
  <c r="X829" i="5"/>
  <c r="X757" i="5"/>
  <c r="X725" i="5"/>
  <c r="X637" i="5"/>
  <c r="X521" i="5"/>
  <c r="X389" i="5"/>
  <c r="X217" i="5"/>
  <c r="X153" i="5"/>
  <c r="X89" i="5"/>
  <c r="I45" i="5"/>
  <c r="Y45" i="5" s="1"/>
  <c r="X45" i="5"/>
  <c r="I53" i="5"/>
  <c r="Y53" i="5" s="1"/>
  <c r="X53" i="5"/>
  <c r="I61" i="5"/>
  <c r="Y61" i="5" s="1"/>
  <c r="X61" i="5"/>
  <c r="I85" i="5"/>
  <c r="Y85" i="5" s="1"/>
  <c r="X85" i="5"/>
  <c r="I93" i="5"/>
  <c r="Y93" i="5" s="1"/>
  <c r="X93" i="5"/>
  <c r="I101" i="5"/>
  <c r="Y101" i="5" s="1"/>
  <c r="X101" i="5"/>
  <c r="I109" i="5"/>
  <c r="Y109" i="5" s="1"/>
  <c r="X109" i="5"/>
  <c r="I117" i="5"/>
  <c r="Y117" i="5" s="1"/>
  <c r="X117" i="5"/>
  <c r="I125" i="5"/>
  <c r="Y125" i="5" s="1"/>
  <c r="X125" i="5"/>
  <c r="I133" i="5"/>
  <c r="Y133" i="5" s="1"/>
  <c r="X133" i="5"/>
  <c r="I141" i="5"/>
  <c r="Y141" i="5" s="1"/>
  <c r="X141" i="5"/>
  <c r="I149" i="5"/>
  <c r="Y149" i="5" s="1"/>
  <c r="X149" i="5"/>
  <c r="I173" i="5"/>
  <c r="Y173" i="5" s="1"/>
  <c r="X173" i="5"/>
  <c r="I181" i="5"/>
  <c r="Y181" i="5" s="1"/>
  <c r="X181" i="5"/>
  <c r="I189" i="5"/>
  <c r="Y189" i="5" s="1"/>
  <c r="X189" i="5"/>
  <c r="I205" i="5"/>
  <c r="Y205" i="5" s="1"/>
  <c r="X205" i="5"/>
  <c r="I213" i="5"/>
  <c r="Y213" i="5" s="1"/>
  <c r="X213" i="5"/>
  <c r="I229" i="5"/>
  <c r="Y229" i="5" s="1"/>
  <c r="X229" i="5"/>
  <c r="I245" i="5"/>
  <c r="Y245" i="5" s="1"/>
  <c r="X245" i="5"/>
  <c r="I253" i="5"/>
  <c r="Y253" i="5" s="1"/>
  <c r="X253" i="5"/>
  <c r="X820" i="5"/>
  <c r="X812" i="5"/>
  <c r="X788" i="5"/>
  <c r="X634" i="5"/>
  <c r="X385" i="5"/>
  <c r="X365" i="5"/>
  <c r="X273" i="5"/>
  <c r="X145" i="5"/>
  <c r="X81" i="5"/>
  <c r="I5" i="5"/>
  <c r="Y5" i="5" s="1"/>
  <c r="X5" i="5"/>
  <c r="I37" i="5"/>
  <c r="Y37" i="5" s="1"/>
  <c r="X37" i="5"/>
  <c r="I6" i="5"/>
  <c r="Y6" i="5" s="1"/>
  <c r="X6" i="5"/>
  <c r="I38" i="5"/>
  <c r="Y38" i="5" s="1"/>
  <c r="X38" i="5"/>
  <c r="I46" i="5"/>
  <c r="Y46" i="5" s="1"/>
  <c r="X46" i="5"/>
  <c r="I54" i="5"/>
  <c r="Y54" i="5" s="1"/>
  <c r="X54" i="5"/>
  <c r="I62" i="5"/>
  <c r="Y62" i="5" s="1"/>
  <c r="X62" i="5"/>
  <c r="I70" i="5"/>
  <c r="Y70" i="5" s="1"/>
  <c r="X70" i="5"/>
  <c r="I78" i="5"/>
  <c r="Y78" i="5" s="1"/>
  <c r="X78" i="5"/>
  <c r="I86" i="5"/>
  <c r="Y86" i="5" s="1"/>
  <c r="X86" i="5"/>
  <c r="I94" i="5"/>
  <c r="Y94" i="5" s="1"/>
  <c r="X94" i="5"/>
  <c r="I102" i="5"/>
  <c r="Y102" i="5" s="1"/>
  <c r="X102" i="5"/>
  <c r="I110" i="5"/>
  <c r="Y110" i="5" s="1"/>
  <c r="X110" i="5"/>
  <c r="I118" i="5"/>
  <c r="Y118" i="5" s="1"/>
  <c r="X118" i="5"/>
  <c r="I126" i="5"/>
  <c r="Y126" i="5" s="1"/>
  <c r="X126" i="5"/>
  <c r="I134" i="5"/>
  <c r="Y134" i="5" s="1"/>
  <c r="X134" i="5"/>
  <c r="I142" i="5"/>
  <c r="Y142" i="5" s="1"/>
  <c r="X142" i="5"/>
  <c r="I150" i="5"/>
  <c r="Y150" i="5" s="1"/>
  <c r="X150" i="5"/>
  <c r="I158" i="5"/>
  <c r="Y158" i="5" s="1"/>
  <c r="X158" i="5"/>
  <c r="I182" i="5"/>
  <c r="Y182" i="5" s="1"/>
  <c r="X182" i="5"/>
  <c r="I206" i="5"/>
  <c r="Y206" i="5" s="1"/>
  <c r="X206" i="5"/>
  <c r="I222" i="5"/>
  <c r="Y222" i="5" s="1"/>
  <c r="X222" i="5"/>
  <c r="I230" i="5"/>
  <c r="Y230" i="5" s="1"/>
  <c r="X230" i="5"/>
  <c r="I398" i="5"/>
  <c r="Y398" i="5" s="1"/>
  <c r="X398" i="5"/>
  <c r="I406" i="5"/>
  <c r="Y406" i="5" s="1"/>
  <c r="X406" i="5"/>
  <c r="I414" i="5"/>
  <c r="Y414" i="5" s="1"/>
  <c r="X414" i="5"/>
  <c r="I462" i="5"/>
  <c r="Y462" i="5" s="1"/>
  <c r="X462" i="5"/>
  <c r="I478" i="5"/>
  <c r="Y478" i="5" s="1"/>
  <c r="X478" i="5"/>
  <c r="I486" i="5"/>
  <c r="Y486" i="5" s="1"/>
  <c r="X486" i="5"/>
  <c r="I494" i="5"/>
  <c r="Y494" i="5" s="1"/>
  <c r="X494" i="5"/>
  <c r="I502" i="5"/>
  <c r="Y502" i="5" s="1"/>
  <c r="X502" i="5"/>
  <c r="I534" i="5"/>
  <c r="Y534" i="5" s="1"/>
  <c r="X534" i="5"/>
  <c r="I614" i="5"/>
  <c r="Y614" i="5" s="1"/>
  <c r="I622" i="5"/>
  <c r="Y622" i="5" s="1"/>
  <c r="X622" i="5"/>
  <c r="I638" i="5"/>
  <c r="Y638" i="5" s="1"/>
  <c r="I646" i="5"/>
  <c r="Y646" i="5" s="1"/>
  <c r="X646" i="5"/>
  <c r="I654" i="5"/>
  <c r="Y654" i="5" s="1"/>
  <c r="X654" i="5"/>
  <c r="I662" i="5"/>
  <c r="Y662" i="5" s="1"/>
  <c r="I670" i="5"/>
  <c r="Y670" i="5" s="1"/>
  <c r="X670" i="5"/>
  <c r="I678" i="5"/>
  <c r="Y678" i="5" s="1"/>
  <c r="X678" i="5"/>
  <c r="X939" i="5"/>
  <c r="X907" i="5"/>
  <c r="X899" i="5"/>
  <c r="X843" i="5"/>
  <c r="X835" i="5"/>
  <c r="X827" i="5"/>
  <c r="X819" i="5"/>
  <c r="X811" i="5"/>
  <c r="X803" i="5"/>
  <c r="X779" i="5"/>
  <c r="X763" i="5"/>
  <c r="X747" i="5"/>
  <c r="X707" i="5"/>
  <c r="X691" i="5"/>
  <c r="X535" i="5"/>
  <c r="X201" i="5"/>
  <c r="X137" i="5"/>
  <c r="X73" i="5"/>
  <c r="X9" i="5"/>
  <c r="U990" i="5"/>
  <c r="V951" i="5"/>
  <c r="W951" i="5" s="1"/>
  <c r="V887" i="5"/>
  <c r="W887" i="5" s="1"/>
  <c r="V823" i="5"/>
  <c r="W823" i="5" s="1"/>
  <c r="V759" i="5"/>
  <c r="W759" i="5" s="1"/>
  <c r="V695" i="5"/>
  <c r="W695" i="5" s="1"/>
  <c r="V943" i="5"/>
  <c r="W943" i="5" s="1"/>
  <c r="V879" i="5"/>
  <c r="W879" i="5" s="1"/>
  <c r="V815" i="5"/>
  <c r="W815" i="5" s="1"/>
  <c r="V751" i="5"/>
  <c r="W751" i="5" s="1"/>
  <c r="V687" i="5"/>
  <c r="W687" i="5" s="1"/>
  <c r="V999" i="5"/>
  <c r="W999" i="5" s="1"/>
  <c r="V935" i="5"/>
  <c r="W935" i="5" s="1"/>
  <c r="V871" i="5"/>
  <c r="W871" i="5" s="1"/>
  <c r="V807" i="5"/>
  <c r="W807" i="5" s="1"/>
  <c r="V743" i="5"/>
  <c r="W743" i="5" s="1"/>
  <c r="V991" i="5"/>
  <c r="W991" i="5" s="1"/>
  <c r="V927" i="5"/>
  <c r="W927" i="5" s="1"/>
  <c r="V863" i="5"/>
  <c r="W863" i="5" s="1"/>
  <c r="V799" i="5"/>
  <c r="W799" i="5" s="1"/>
  <c r="V735" i="5"/>
  <c r="W735" i="5" s="1"/>
  <c r="V983" i="5"/>
  <c r="W983" i="5" s="1"/>
  <c r="V919" i="5"/>
  <c r="W919" i="5" s="1"/>
  <c r="V855" i="5"/>
  <c r="W855" i="5" s="1"/>
  <c r="V791" i="5"/>
  <c r="W791" i="5" s="1"/>
  <c r="V727" i="5"/>
  <c r="W727" i="5" s="1"/>
  <c r="V975" i="5"/>
  <c r="W975" i="5" s="1"/>
  <c r="V911" i="5"/>
  <c r="W911" i="5" s="1"/>
  <c r="V847" i="5"/>
  <c r="W847" i="5" s="1"/>
  <c r="V783" i="5"/>
  <c r="W783" i="5" s="1"/>
  <c r="V719" i="5"/>
  <c r="W719" i="5" s="1"/>
  <c r="V967" i="5"/>
  <c r="W967" i="5" s="1"/>
  <c r="V903" i="5"/>
  <c r="W903" i="5" s="1"/>
  <c r="V839" i="5"/>
  <c r="W839" i="5" s="1"/>
  <c r="V775" i="5"/>
  <c r="W775" i="5" s="1"/>
  <c r="V711" i="5"/>
  <c r="W711" i="5" s="1"/>
  <c r="V959" i="5"/>
  <c r="W959" i="5" s="1"/>
  <c r="V895" i="5"/>
  <c r="W895" i="5" s="1"/>
  <c r="V831" i="5"/>
  <c r="W831" i="5" s="1"/>
  <c r="V767" i="5"/>
  <c r="W767" i="5" s="1"/>
  <c r="V703" i="5"/>
  <c r="W703" i="5" s="1"/>
  <c r="T240" i="5"/>
  <c r="V240" i="5"/>
  <c r="W240" i="5" s="1"/>
  <c r="T328" i="5"/>
  <c r="V328" i="5"/>
  <c r="W328" i="5" s="1"/>
  <c r="T488" i="5"/>
  <c r="V488" i="5"/>
  <c r="W488" i="5" s="1"/>
  <c r="T632" i="5"/>
  <c r="V632" i="5"/>
  <c r="W632" i="5" s="1"/>
  <c r="T648" i="5"/>
  <c r="V648" i="5"/>
  <c r="W648" i="5" s="1"/>
  <c r="T664" i="5"/>
  <c r="V664" i="5"/>
  <c r="W664" i="5" s="1"/>
  <c r="T680" i="5"/>
  <c r="V680" i="5"/>
  <c r="W680" i="5" s="1"/>
  <c r="T623" i="5"/>
  <c r="V623" i="5"/>
  <c r="W623" i="5" s="1"/>
  <c r="T655" i="5"/>
  <c r="V655" i="5"/>
  <c r="W655" i="5" s="1"/>
  <c r="U993" i="5"/>
  <c r="V1000" i="5"/>
  <c r="W1000" i="5" s="1"/>
  <c r="V514" i="5"/>
  <c r="W514" i="5" s="1"/>
  <c r="V418" i="5"/>
  <c r="W418" i="5" s="1"/>
  <c r="V290" i="5"/>
  <c r="W290" i="5" s="1"/>
  <c r="V162" i="5"/>
  <c r="W162" i="5" s="1"/>
  <c r="T112" i="5"/>
  <c r="V112" i="5"/>
  <c r="W112" i="5" s="1"/>
  <c r="T320" i="5"/>
  <c r="V320" i="5"/>
  <c r="W320" i="5" s="1"/>
  <c r="T352" i="5"/>
  <c r="V352" i="5"/>
  <c r="W352" i="5" s="1"/>
  <c r="T368" i="5"/>
  <c r="V368" i="5"/>
  <c r="W368" i="5" s="1"/>
  <c r="T480" i="5"/>
  <c r="V480" i="5"/>
  <c r="W480" i="5" s="1"/>
  <c r="T568" i="5"/>
  <c r="V568" i="5"/>
  <c r="W568" i="5" s="1"/>
  <c r="T616" i="5"/>
  <c r="V616" i="5"/>
  <c r="W616" i="5" s="1"/>
  <c r="T640" i="5"/>
  <c r="V640" i="5"/>
  <c r="W640" i="5" s="1"/>
  <c r="U983" i="5"/>
  <c r="V998" i="5"/>
  <c r="W998" i="5" s="1"/>
  <c r="V990" i="5"/>
  <c r="W990" i="5" s="1"/>
  <c r="V982" i="5"/>
  <c r="W982" i="5" s="1"/>
  <c r="V974" i="5"/>
  <c r="W974" i="5" s="1"/>
  <c r="V966" i="5"/>
  <c r="W966" i="5" s="1"/>
  <c r="V958" i="5"/>
  <c r="W958" i="5" s="1"/>
  <c r="V950" i="5"/>
  <c r="W950" i="5" s="1"/>
  <c r="V942" i="5"/>
  <c r="W942" i="5" s="1"/>
  <c r="V934" i="5"/>
  <c r="W934" i="5" s="1"/>
  <c r="V926" i="5"/>
  <c r="W926" i="5" s="1"/>
  <c r="V918" i="5"/>
  <c r="W918" i="5" s="1"/>
  <c r="V910" i="5"/>
  <c r="W910" i="5" s="1"/>
  <c r="V902" i="5"/>
  <c r="W902" i="5" s="1"/>
  <c r="V894" i="5"/>
  <c r="W894" i="5" s="1"/>
  <c r="V886" i="5"/>
  <c r="W886" i="5" s="1"/>
  <c r="V878" i="5"/>
  <c r="W878" i="5" s="1"/>
  <c r="V870" i="5"/>
  <c r="W870" i="5" s="1"/>
  <c r="V862" i="5"/>
  <c r="W862" i="5" s="1"/>
  <c r="V854" i="5"/>
  <c r="W854" i="5" s="1"/>
  <c r="V846" i="5"/>
  <c r="W846" i="5" s="1"/>
  <c r="V838" i="5"/>
  <c r="W838" i="5" s="1"/>
  <c r="V830" i="5"/>
  <c r="W830" i="5" s="1"/>
  <c r="V822" i="5"/>
  <c r="W822" i="5" s="1"/>
  <c r="V814" i="5"/>
  <c r="W814" i="5" s="1"/>
  <c r="V806" i="5"/>
  <c r="W806" i="5" s="1"/>
  <c r="V798" i="5"/>
  <c r="W798" i="5" s="1"/>
  <c r="V790" i="5"/>
  <c r="W790" i="5" s="1"/>
  <c r="V782" i="5"/>
  <c r="W782" i="5" s="1"/>
  <c r="V774" i="5"/>
  <c r="W774" i="5" s="1"/>
  <c r="V766" i="5"/>
  <c r="W766" i="5" s="1"/>
  <c r="V758" i="5"/>
  <c r="W758" i="5" s="1"/>
  <c r="V750" i="5"/>
  <c r="W750" i="5" s="1"/>
  <c r="V742" i="5"/>
  <c r="W742" i="5" s="1"/>
  <c r="V734" i="5"/>
  <c r="W734" i="5" s="1"/>
  <c r="V726" i="5"/>
  <c r="W726" i="5" s="1"/>
  <c r="V718" i="5"/>
  <c r="W718" i="5" s="1"/>
  <c r="V710" i="5"/>
  <c r="W710" i="5" s="1"/>
  <c r="V702" i="5"/>
  <c r="W702" i="5" s="1"/>
  <c r="V694" i="5"/>
  <c r="W694" i="5" s="1"/>
  <c r="V686" i="5"/>
  <c r="W686" i="5" s="1"/>
  <c r="V634" i="5"/>
  <c r="W634" i="5" s="1"/>
  <c r="T400" i="5"/>
  <c r="V400" i="5"/>
  <c r="W400" i="5" s="1"/>
  <c r="T416" i="5"/>
  <c r="V416" i="5"/>
  <c r="W416" i="5" s="1"/>
  <c r="T440" i="5"/>
  <c r="V440" i="5"/>
  <c r="W440" i="5" s="1"/>
  <c r="T464" i="5"/>
  <c r="V464" i="5"/>
  <c r="W464" i="5" s="1"/>
  <c r="T504" i="5"/>
  <c r="V504" i="5"/>
  <c r="W504" i="5" s="1"/>
  <c r="T536" i="5"/>
  <c r="V536" i="5"/>
  <c r="W536" i="5" s="1"/>
  <c r="T552" i="5"/>
  <c r="V552" i="5"/>
  <c r="W552" i="5" s="1"/>
  <c r="U838" i="5"/>
  <c r="V997" i="5"/>
  <c r="W997" i="5" s="1"/>
  <c r="V989" i="5"/>
  <c r="W989" i="5" s="1"/>
  <c r="V981" i="5"/>
  <c r="W981" i="5" s="1"/>
  <c r="V973" i="5"/>
  <c r="W973" i="5" s="1"/>
  <c r="V965" i="5"/>
  <c r="W965" i="5" s="1"/>
  <c r="V957" i="5"/>
  <c r="W957" i="5" s="1"/>
  <c r="V949" i="5"/>
  <c r="W949" i="5" s="1"/>
  <c r="V941" i="5"/>
  <c r="W941" i="5" s="1"/>
  <c r="V933" i="5"/>
  <c r="W933" i="5" s="1"/>
  <c r="V925" i="5"/>
  <c r="W925" i="5" s="1"/>
  <c r="V917" i="5"/>
  <c r="W917" i="5" s="1"/>
  <c r="V909" i="5"/>
  <c r="W909" i="5" s="1"/>
  <c r="V901" i="5"/>
  <c r="W901" i="5" s="1"/>
  <c r="V893" i="5"/>
  <c r="W893" i="5" s="1"/>
  <c r="V885" i="5"/>
  <c r="W885" i="5" s="1"/>
  <c r="V877" i="5"/>
  <c r="W877" i="5" s="1"/>
  <c r="V869" i="5"/>
  <c r="W869" i="5" s="1"/>
  <c r="V861" i="5"/>
  <c r="W861" i="5" s="1"/>
  <c r="V853" i="5"/>
  <c r="W853" i="5" s="1"/>
  <c r="V845" i="5"/>
  <c r="W845" i="5" s="1"/>
  <c r="V837" i="5"/>
  <c r="W837" i="5" s="1"/>
  <c r="V829" i="5"/>
  <c r="W829" i="5" s="1"/>
  <c r="V821" i="5"/>
  <c r="W821" i="5" s="1"/>
  <c r="V813" i="5"/>
  <c r="W813" i="5" s="1"/>
  <c r="V805" i="5"/>
  <c r="W805" i="5" s="1"/>
  <c r="V797" i="5"/>
  <c r="W797" i="5" s="1"/>
  <c r="V789" i="5"/>
  <c r="W789" i="5" s="1"/>
  <c r="V781" i="5"/>
  <c r="W781" i="5" s="1"/>
  <c r="V773" i="5"/>
  <c r="W773" i="5" s="1"/>
  <c r="V765" i="5"/>
  <c r="W765" i="5" s="1"/>
  <c r="V757" i="5"/>
  <c r="W757" i="5" s="1"/>
  <c r="V749" i="5"/>
  <c r="W749" i="5" s="1"/>
  <c r="V741" i="5"/>
  <c r="W741" i="5" s="1"/>
  <c r="V733" i="5"/>
  <c r="W733" i="5" s="1"/>
  <c r="V725" i="5"/>
  <c r="W725" i="5" s="1"/>
  <c r="V717" i="5"/>
  <c r="W717" i="5" s="1"/>
  <c r="V709" i="5"/>
  <c r="W709" i="5" s="1"/>
  <c r="V701" i="5"/>
  <c r="W701" i="5" s="1"/>
  <c r="V693" i="5"/>
  <c r="W693" i="5" s="1"/>
  <c r="V685" i="5"/>
  <c r="W685" i="5" s="1"/>
  <c r="T296" i="5"/>
  <c r="V296" i="5"/>
  <c r="W296" i="5" s="1"/>
  <c r="T336" i="5"/>
  <c r="V336" i="5"/>
  <c r="W336" i="5" s="1"/>
  <c r="T360" i="5"/>
  <c r="V360" i="5"/>
  <c r="W360" i="5" s="1"/>
  <c r="T376" i="5"/>
  <c r="V376" i="5"/>
  <c r="W376" i="5" s="1"/>
  <c r="T392" i="5"/>
  <c r="V392" i="5"/>
  <c r="W392" i="5" s="1"/>
  <c r="T432" i="5"/>
  <c r="V432" i="5"/>
  <c r="W432" i="5" s="1"/>
  <c r="T448" i="5"/>
  <c r="V448" i="5"/>
  <c r="W448" i="5" s="1"/>
  <c r="T496" i="5"/>
  <c r="V496" i="5"/>
  <c r="W496" i="5" s="1"/>
  <c r="T672" i="5"/>
  <c r="V672" i="5"/>
  <c r="W672" i="5" s="1"/>
  <c r="U155" i="5"/>
  <c r="V155" i="5"/>
  <c r="W155" i="5" s="1"/>
  <c r="U339" i="5"/>
  <c r="V339" i="5"/>
  <c r="W339" i="5" s="1"/>
  <c r="T491" i="5"/>
  <c r="V491" i="5"/>
  <c r="W491" i="5" s="1"/>
  <c r="T507" i="5"/>
  <c r="V507" i="5"/>
  <c r="W507" i="5" s="1"/>
  <c r="T523" i="5"/>
  <c r="V523" i="5"/>
  <c r="W523" i="5" s="1"/>
  <c r="T539" i="5"/>
  <c r="V539" i="5"/>
  <c r="W539" i="5" s="1"/>
  <c r="T547" i="5"/>
  <c r="V547" i="5"/>
  <c r="W547" i="5" s="1"/>
  <c r="T555" i="5"/>
  <c r="V555" i="5"/>
  <c r="W555" i="5" s="1"/>
  <c r="T571" i="5"/>
  <c r="V571" i="5"/>
  <c r="W571" i="5" s="1"/>
  <c r="T587" i="5"/>
  <c r="V587" i="5"/>
  <c r="W587" i="5" s="1"/>
  <c r="T603" i="5"/>
  <c r="V603" i="5"/>
  <c r="W603" i="5" s="1"/>
  <c r="T611" i="5"/>
  <c r="V611" i="5"/>
  <c r="W611" i="5" s="1"/>
  <c r="T619" i="5"/>
  <c r="V619" i="5"/>
  <c r="W619" i="5" s="1"/>
  <c r="T627" i="5"/>
  <c r="V627" i="5"/>
  <c r="W627" i="5" s="1"/>
  <c r="T635" i="5"/>
  <c r="V635" i="5"/>
  <c r="W635" i="5" s="1"/>
  <c r="T643" i="5"/>
  <c r="V643" i="5"/>
  <c r="W643" i="5" s="1"/>
  <c r="T651" i="5"/>
  <c r="V651" i="5"/>
  <c r="W651" i="5" s="1"/>
  <c r="T659" i="5"/>
  <c r="V659" i="5"/>
  <c r="W659" i="5" s="1"/>
  <c r="T667" i="5"/>
  <c r="V667" i="5"/>
  <c r="W667" i="5" s="1"/>
  <c r="T675" i="5"/>
  <c r="V675" i="5"/>
  <c r="W675" i="5" s="1"/>
  <c r="U735" i="5"/>
  <c r="V996" i="5"/>
  <c r="W996" i="5" s="1"/>
  <c r="V852" i="5"/>
  <c r="W852" i="5" s="1"/>
  <c r="V724" i="5"/>
  <c r="W724" i="5" s="1"/>
  <c r="T136" i="5"/>
  <c r="V136" i="5"/>
  <c r="W136" i="5" s="1"/>
  <c r="T264" i="5"/>
  <c r="V264" i="5"/>
  <c r="W264" i="5" s="1"/>
  <c r="T288" i="5"/>
  <c r="V288" i="5"/>
  <c r="W288" i="5" s="1"/>
  <c r="T312" i="5"/>
  <c r="V312" i="5"/>
  <c r="W312" i="5" s="1"/>
  <c r="T408" i="5"/>
  <c r="V408" i="5"/>
  <c r="W408" i="5" s="1"/>
  <c r="T584" i="5"/>
  <c r="V584" i="5"/>
  <c r="W584" i="5" s="1"/>
  <c r="T600" i="5"/>
  <c r="V600" i="5"/>
  <c r="W600" i="5" s="1"/>
  <c r="T28" i="5"/>
  <c r="V28" i="5"/>
  <c r="W28" i="5" s="1"/>
  <c r="T60" i="5"/>
  <c r="V60" i="5"/>
  <c r="W60" i="5" s="1"/>
  <c r="T84" i="5"/>
  <c r="V84" i="5"/>
  <c r="W84" i="5" s="1"/>
  <c r="T164" i="5"/>
  <c r="V164" i="5"/>
  <c r="W164" i="5" s="1"/>
  <c r="T172" i="5"/>
  <c r="V172" i="5"/>
  <c r="W172" i="5" s="1"/>
  <c r="T180" i="5"/>
  <c r="V180" i="5"/>
  <c r="W180" i="5" s="1"/>
  <c r="T188" i="5"/>
  <c r="V188" i="5"/>
  <c r="W188" i="5" s="1"/>
  <c r="T196" i="5"/>
  <c r="V196" i="5"/>
  <c r="W196" i="5" s="1"/>
  <c r="T204" i="5"/>
  <c r="V204" i="5"/>
  <c r="W204" i="5" s="1"/>
  <c r="T212" i="5"/>
  <c r="V212" i="5"/>
  <c r="W212" i="5" s="1"/>
  <c r="T220" i="5"/>
  <c r="V220" i="5"/>
  <c r="W220" i="5" s="1"/>
  <c r="T228" i="5"/>
  <c r="V228" i="5"/>
  <c r="W228" i="5" s="1"/>
  <c r="T236" i="5"/>
  <c r="V236" i="5"/>
  <c r="W236" i="5" s="1"/>
  <c r="T244" i="5"/>
  <c r="V244" i="5"/>
  <c r="W244" i="5" s="1"/>
  <c r="T252" i="5"/>
  <c r="V252" i="5"/>
  <c r="W252" i="5" s="1"/>
  <c r="T260" i="5"/>
  <c r="V260" i="5"/>
  <c r="W260" i="5" s="1"/>
  <c r="T268" i="5"/>
  <c r="V268" i="5"/>
  <c r="W268" i="5" s="1"/>
  <c r="T276" i="5"/>
  <c r="V276" i="5"/>
  <c r="W276" i="5" s="1"/>
  <c r="T284" i="5"/>
  <c r="V284" i="5"/>
  <c r="W284" i="5" s="1"/>
  <c r="T292" i="5"/>
  <c r="V292" i="5"/>
  <c r="W292" i="5" s="1"/>
  <c r="T300" i="5"/>
  <c r="V300" i="5"/>
  <c r="W300" i="5" s="1"/>
  <c r="T308" i="5"/>
  <c r="V308" i="5"/>
  <c r="W308" i="5" s="1"/>
  <c r="T316" i="5"/>
  <c r="V316" i="5"/>
  <c r="W316" i="5" s="1"/>
  <c r="T324" i="5"/>
  <c r="V324" i="5"/>
  <c r="W324" i="5" s="1"/>
  <c r="T332" i="5"/>
  <c r="V332" i="5"/>
  <c r="W332" i="5" s="1"/>
  <c r="T340" i="5"/>
  <c r="V340" i="5"/>
  <c r="W340" i="5" s="1"/>
  <c r="T348" i="5"/>
  <c r="V348" i="5"/>
  <c r="W348" i="5" s="1"/>
  <c r="T356" i="5"/>
  <c r="V356" i="5"/>
  <c r="W356" i="5" s="1"/>
  <c r="T364" i="5"/>
  <c r="V364" i="5"/>
  <c r="W364" i="5" s="1"/>
  <c r="T372" i="5"/>
  <c r="V372" i="5"/>
  <c r="W372" i="5" s="1"/>
  <c r="T380" i="5"/>
  <c r="V380" i="5"/>
  <c r="W380" i="5" s="1"/>
  <c r="T388" i="5"/>
  <c r="V388" i="5"/>
  <c r="W388" i="5" s="1"/>
  <c r="T396" i="5"/>
  <c r="V396" i="5"/>
  <c r="W396" i="5" s="1"/>
  <c r="T404" i="5"/>
  <c r="V404" i="5"/>
  <c r="W404" i="5" s="1"/>
  <c r="T412" i="5"/>
  <c r="V412" i="5"/>
  <c r="W412" i="5" s="1"/>
  <c r="T420" i="5"/>
  <c r="V420" i="5"/>
  <c r="W420" i="5" s="1"/>
  <c r="T428" i="5"/>
  <c r="V428" i="5"/>
  <c r="W428" i="5" s="1"/>
  <c r="T436" i="5"/>
  <c r="V436" i="5"/>
  <c r="W436" i="5" s="1"/>
  <c r="T444" i="5"/>
  <c r="V444" i="5"/>
  <c r="W444" i="5" s="1"/>
  <c r="T452" i="5"/>
  <c r="V452" i="5"/>
  <c r="W452" i="5" s="1"/>
  <c r="T460" i="5"/>
  <c r="V460" i="5"/>
  <c r="W460" i="5" s="1"/>
  <c r="T468" i="5"/>
  <c r="V468" i="5"/>
  <c r="W468" i="5" s="1"/>
  <c r="T476" i="5"/>
  <c r="V476" i="5"/>
  <c r="W476" i="5" s="1"/>
  <c r="T484" i="5"/>
  <c r="V484" i="5"/>
  <c r="W484" i="5" s="1"/>
  <c r="T500" i="5"/>
  <c r="V500" i="5"/>
  <c r="W500" i="5" s="1"/>
  <c r="T508" i="5"/>
  <c r="V508" i="5"/>
  <c r="W508" i="5" s="1"/>
  <c r="T516" i="5"/>
  <c r="V516" i="5"/>
  <c r="W516" i="5" s="1"/>
  <c r="T532" i="5"/>
  <c r="V532" i="5"/>
  <c r="W532" i="5" s="1"/>
  <c r="T548" i="5"/>
  <c r="V548" i="5"/>
  <c r="W548" i="5" s="1"/>
  <c r="T564" i="5"/>
  <c r="V564" i="5"/>
  <c r="W564" i="5" s="1"/>
  <c r="T572" i="5"/>
  <c r="V572" i="5"/>
  <c r="W572" i="5" s="1"/>
  <c r="T580" i="5"/>
  <c r="V580" i="5"/>
  <c r="W580" i="5" s="1"/>
  <c r="T596" i="5"/>
  <c r="V596" i="5"/>
  <c r="W596" i="5" s="1"/>
  <c r="T612" i="5"/>
  <c r="V612" i="5"/>
  <c r="W612" i="5" s="1"/>
  <c r="T644" i="5"/>
  <c r="V644" i="5"/>
  <c r="W644" i="5" s="1"/>
  <c r="T676" i="5"/>
  <c r="V676" i="5"/>
  <c r="W676" i="5" s="1"/>
  <c r="U596" i="5"/>
  <c r="V995" i="5"/>
  <c r="W995" i="5" s="1"/>
  <c r="V987" i="5"/>
  <c r="W987" i="5" s="1"/>
  <c r="V979" i="5"/>
  <c r="W979" i="5" s="1"/>
  <c r="V971" i="5"/>
  <c r="W971" i="5" s="1"/>
  <c r="V963" i="5"/>
  <c r="W963" i="5" s="1"/>
  <c r="V955" i="5"/>
  <c r="W955" i="5" s="1"/>
  <c r="V947" i="5"/>
  <c r="W947" i="5" s="1"/>
  <c r="V939" i="5"/>
  <c r="W939" i="5" s="1"/>
  <c r="V931" i="5"/>
  <c r="W931" i="5" s="1"/>
  <c r="V923" i="5"/>
  <c r="W923" i="5" s="1"/>
  <c r="V915" i="5"/>
  <c r="W915" i="5" s="1"/>
  <c r="V907" i="5"/>
  <c r="W907" i="5" s="1"/>
  <c r="V899" i="5"/>
  <c r="W899" i="5" s="1"/>
  <c r="V891" i="5"/>
  <c r="W891" i="5" s="1"/>
  <c r="V883" i="5"/>
  <c r="W883" i="5" s="1"/>
  <c r="V875" i="5"/>
  <c r="W875" i="5" s="1"/>
  <c r="V867" i="5"/>
  <c r="W867" i="5" s="1"/>
  <c r="V859" i="5"/>
  <c r="W859" i="5" s="1"/>
  <c r="V851" i="5"/>
  <c r="W851" i="5" s="1"/>
  <c r="V843" i="5"/>
  <c r="W843" i="5" s="1"/>
  <c r="V835" i="5"/>
  <c r="W835" i="5" s="1"/>
  <c r="V827" i="5"/>
  <c r="W827" i="5" s="1"/>
  <c r="V819" i="5"/>
  <c r="W819" i="5" s="1"/>
  <c r="V811" i="5"/>
  <c r="W811" i="5" s="1"/>
  <c r="V803" i="5"/>
  <c r="W803" i="5" s="1"/>
  <c r="V795" i="5"/>
  <c r="W795" i="5" s="1"/>
  <c r="V787" i="5"/>
  <c r="W787" i="5" s="1"/>
  <c r="V779" i="5"/>
  <c r="W779" i="5" s="1"/>
  <c r="V771" i="5"/>
  <c r="W771" i="5" s="1"/>
  <c r="V763" i="5"/>
  <c r="W763" i="5" s="1"/>
  <c r="V755" i="5"/>
  <c r="W755" i="5" s="1"/>
  <c r="V747" i="5"/>
  <c r="W747" i="5" s="1"/>
  <c r="V739" i="5"/>
  <c r="W739" i="5" s="1"/>
  <c r="V731" i="5"/>
  <c r="W731" i="5" s="1"/>
  <c r="V723" i="5"/>
  <c r="W723" i="5" s="1"/>
  <c r="V715" i="5"/>
  <c r="W715" i="5" s="1"/>
  <c r="V707" i="5"/>
  <c r="W707" i="5" s="1"/>
  <c r="V699" i="5"/>
  <c r="W699" i="5" s="1"/>
  <c r="V691" i="5"/>
  <c r="W691" i="5" s="1"/>
  <c r="V683" i="5"/>
  <c r="W683" i="5" s="1"/>
  <c r="T344" i="5"/>
  <c r="V344" i="5"/>
  <c r="W344" i="5" s="1"/>
  <c r="T424" i="5"/>
  <c r="V424" i="5"/>
  <c r="W424" i="5" s="1"/>
  <c r="T456" i="5"/>
  <c r="V456" i="5"/>
  <c r="W456" i="5" s="1"/>
  <c r="T520" i="5"/>
  <c r="V520" i="5"/>
  <c r="W520" i="5" s="1"/>
  <c r="T560" i="5"/>
  <c r="V560" i="5"/>
  <c r="W560" i="5" s="1"/>
  <c r="T624" i="5"/>
  <c r="V624" i="5"/>
  <c r="W624" i="5" s="1"/>
  <c r="T656" i="5"/>
  <c r="V656" i="5"/>
  <c r="W656" i="5" s="1"/>
  <c r="U392" i="5"/>
  <c r="T304" i="5"/>
  <c r="V304" i="5"/>
  <c r="W304" i="5" s="1"/>
  <c r="T384" i="5"/>
  <c r="V384" i="5"/>
  <c r="W384" i="5" s="1"/>
  <c r="T472" i="5"/>
  <c r="V472" i="5"/>
  <c r="W472" i="5" s="1"/>
  <c r="T494" i="5"/>
  <c r="V494" i="5"/>
  <c r="W494" i="5" s="1"/>
  <c r="T510" i="5"/>
  <c r="V510" i="5"/>
  <c r="W510" i="5" s="1"/>
  <c r="T526" i="5"/>
  <c r="V526" i="5"/>
  <c r="W526" i="5" s="1"/>
  <c r="T534" i="5"/>
  <c r="V534" i="5"/>
  <c r="W534" i="5" s="1"/>
  <c r="T542" i="5"/>
  <c r="V542" i="5"/>
  <c r="W542" i="5" s="1"/>
  <c r="T558" i="5"/>
  <c r="V558" i="5"/>
  <c r="W558" i="5" s="1"/>
  <c r="T574" i="5"/>
  <c r="V574" i="5"/>
  <c r="W574" i="5" s="1"/>
  <c r="T590" i="5"/>
  <c r="V590" i="5"/>
  <c r="W590" i="5" s="1"/>
  <c r="T598" i="5"/>
  <c r="V598" i="5"/>
  <c r="W598" i="5" s="1"/>
  <c r="T606" i="5"/>
  <c r="V606" i="5"/>
  <c r="W606" i="5" s="1"/>
  <c r="T622" i="5"/>
  <c r="V622" i="5"/>
  <c r="W622" i="5" s="1"/>
  <c r="T630" i="5"/>
  <c r="V630" i="5"/>
  <c r="W630" i="5" s="1"/>
  <c r="T638" i="5"/>
  <c r="V638" i="5"/>
  <c r="W638" i="5" s="1"/>
  <c r="T646" i="5"/>
  <c r="V646" i="5"/>
  <c r="W646" i="5" s="1"/>
  <c r="T654" i="5"/>
  <c r="V654" i="5"/>
  <c r="W654" i="5" s="1"/>
  <c r="T662" i="5"/>
  <c r="V662" i="5"/>
  <c r="W662" i="5" s="1"/>
  <c r="T670" i="5"/>
  <c r="V670" i="5"/>
  <c r="W670" i="5" s="1"/>
  <c r="T678" i="5"/>
  <c r="V678" i="5"/>
  <c r="W678" i="5" s="1"/>
  <c r="V1001" i="5"/>
  <c r="W1001" i="5" s="1"/>
  <c r="V993" i="5"/>
  <c r="W993" i="5" s="1"/>
  <c r="V985" i="5"/>
  <c r="W985" i="5" s="1"/>
  <c r="V977" i="5"/>
  <c r="W977" i="5" s="1"/>
  <c r="V969" i="5"/>
  <c r="W969" i="5" s="1"/>
  <c r="V961" i="5"/>
  <c r="W961" i="5" s="1"/>
  <c r="V953" i="5"/>
  <c r="W953" i="5" s="1"/>
  <c r="V945" i="5"/>
  <c r="W945" i="5" s="1"/>
  <c r="V937" i="5"/>
  <c r="W937" i="5" s="1"/>
  <c r="V929" i="5"/>
  <c r="W929" i="5" s="1"/>
  <c r="V921" i="5"/>
  <c r="W921" i="5" s="1"/>
  <c r="V913" i="5"/>
  <c r="W913" i="5" s="1"/>
  <c r="V905" i="5"/>
  <c r="W905" i="5" s="1"/>
  <c r="V897" i="5"/>
  <c r="W897" i="5" s="1"/>
  <c r="V889" i="5"/>
  <c r="W889" i="5" s="1"/>
  <c r="V881" i="5"/>
  <c r="W881" i="5" s="1"/>
  <c r="V873" i="5"/>
  <c r="W873" i="5" s="1"/>
  <c r="V865" i="5"/>
  <c r="W865" i="5" s="1"/>
  <c r="V857" i="5"/>
  <c r="W857" i="5" s="1"/>
  <c r="V849" i="5"/>
  <c r="W849" i="5" s="1"/>
  <c r="V841" i="5"/>
  <c r="W841" i="5" s="1"/>
  <c r="V833" i="5"/>
  <c r="W833" i="5" s="1"/>
  <c r="V825" i="5"/>
  <c r="W825" i="5" s="1"/>
  <c r="V817" i="5"/>
  <c r="W817" i="5" s="1"/>
  <c r="V809" i="5"/>
  <c r="W809" i="5" s="1"/>
  <c r="V801" i="5"/>
  <c r="W801" i="5" s="1"/>
  <c r="V793" i="5"/>
  <c r="W793" i="5" s="1"/>
  <c r="V785" i="5"/>
  <c r="W785" i="5" s="1"/>
  <c r="V777" i="5"/>
  <c r="W777" i="5" s="1"/>
  <c r="V769" i="5"/>
  <c r="W769" i="5" s="1"/>
  <c r="V761" i="5"/>
  <c r="W761" i="5" s="1"/>
  <c r="V753" i="5"/>
  <c r="W753" i="5" s="1"/>
  <c r="V745" i="5"/>
  <c r="W745" i="5" s="1"/>
  <c r="V737" i="5"/>
  <c r="W737" i="5" s="1"/>
  <c r="V729" i="5"/>
  <c r="W729" i="5" s="1"/>
  <c r="V721" i="5"/>
  <c r="W721" i="5" s="1"/>
  <c r="V713" i="5"/>
  <c r="W713" i="5" s="1"/>
  <c r="V705" i="5"/>
  <c r="W705" i="5" s="1"/>
  <c r="V697" i="5"/>
  <c r="W697" i="5" s="1"/>
  <c r="V689" i="5"/>
  <c r="W689" i="5" s="1"/>
  <c r="U950" i="5"/>
  <c r="U851" i="5"/>
  <c r="U749" i="5"/>
  <c r="U616" i="5"/>
  <c r="U418" i="5"/>
  <c r="U939" i="5"/>
  <c r="U927" i="5"/>
  <c r="U825" i="5"/>
  <c r="U723" i="5"/>
  <c r="U574" i="5"/>
  <c r="U368" i="5"/>
  <c r="U982" i="5"/>
  <c r="U915" i="5"/>
  <c r="U813" i="5"/>
  <c r="U710" i="5"/>
  <c r="U555" i="5"/>
  <c r="U340" i="5"/>
  <c r="U979" i="5"/>
  <c r="U902" i="5"/>
  <c r="U799" i="5"/>
  <c r="U697" i="5"/>
  <c r="U534" i="5"/>
  <c r="U316" i="5"/>
  <c r="T865" i="5"/>
  <c r="U971" i="5"/>
  <c r="U889" i="5"/>
  <c r="U787" i="5"/>
  <c r="U685" i="5"/>
  <c r="U494" i="5"/>
  <c r="U212" i="5"/>
  <c r="U1001" i="5"/>
  <c r="U961" i="5"/>
  <c r="U877" i="5"/>
  <c r="U774" i="5"/>
  <c r="U667" i="5"/>
  <c r="U468" i="5"/>
  <c r="U188" i="5"/>
  <c r="U999" i="5"/>
  <c r="U951" i="5"/>
  <c r="U863" i="5"/>
  <c r="U761" i="5"/>
  <c r="U651" i="5"/>
  <c r="U444" i="5"/>
  <c r="V2" i="5"/>
  <c r="W2" i="5" s="1"/>
  <c r="T45" i="5"/>
  <c r="U45" i="5"/>
  <c r="T52" i="5"/>
  <c r="U52" i="5"/>
  <c r="T76" i="5"/>
  <c r="U76" i="5"/>
  <c r="T108" i="5"/>
  <c r="U108" i="5"/>
  <c r="T140" i="5"/>
  <c r="U140" i="5"/>
  <c r="T156" i="5"/>
  <c r="U156" i="5"/>
  <c r="T69" i="5"/>
  <c r="U69" i="5"/>
  <c r="T93" i="5"/>
  <c r="U93" i="5"/>
  <c r="T101" i="5"/>
  <c r="U101" i="5"/>
  <c r="T133" i="5"/>
  <c r="U133" i="5"/>
  <c r="T149" i="5"/>
  <c r="U149" i="5"/>
  <c r="T165" i="5"/>
  <c r="U165" i="5"/>
  <c r="T237" i="5"/>
  <c r="U237" i="5"/>
  <c r="T6" i="5"/>
  <c r="U6" i="5"/>
  <c r="T14" i="5"/>
  <c r="U14" i="5"/>
  <c r="T22" i="5"/>
  <c r="U22" i="5"/>
  <c r="T30" i="5"/>
  <c r="U30" i="5"/>
  <c r="T38" i="5"/>
  <c r="U38" i="5"/>
  <c r="T46" i="5"/>
  <c r="U46" i="5"/>
  <c r="T54" i="5"/>
  <c r="U54" i="5"/>
  <c r="U162" i="5"/>
  <c r="U136" i="5"/>
  <c r="T4" i="5"/>
  <c r="U4" i="5"/>
  <c r="T92" i="5"/>
  <c r="U92" i="5"/>
  <c r="T116" i="5"/>
  <c r="U116" i="5"/>
  <c r="T5" i="5"/>
  <c r="U5" i="5"/>
  <c r="T29" i="5"/>
  <c r="U29" i="5"/>
  <c r="T37" i="5"/>
  <c r="U37" i="5"/>
  <c r="T53" i="5"/>
  <c r="U53" i="5"/>
  <c r="T85" i="5"/>
  <c r="U85" i="5"/>
  <c r="T117" i="5"/>
  <c r="U117" i="5"/>
  <c r="T141" i="5"/>
  <c r="U141" i="5"/>
  <c r="T181" i="5"/>
  <c r="U181" i="5"/>
  <c r="T197" i="5"/>
  <c r="U197" i="5"/>
  <c r="T221" i="5"/>
  <c r="U221" i="5"/>
  <c r="T8" i="5"/>
  <c r="U8" i="5"/>
  <c r="T32" i="5"/>
  <c r="U32" i="5"/>
  <c r="T56" i="5"/>
  <c r="U56" i="5"/>
  <c r="T80" i="5"/>
  <c r="U80" i="5"/>
  <c r="T96" i="5"/>
  <c r="U96" i="5"/>
  <c r="T120" i="5"/>
  <c r="U120" i="5"/>
  <c r="T128" i="5"/>
  <c r="U128" i="5"/>
  <c r="T144" i="5"/>
  <c r="U144" i="5"/>
  <c r="T152" i="5"/>
  <c r="U152" i="5"/>
  <c r="T160" i="5"/>
  <c r="U160" i="5"/>
  <c r="T168" i="5"/>
  <c r="U168" i="5"/>
  <c r="T176" i="5"/>
  <c r="U176" i="5"/>
  <c r="T184" i="5"/>
  <c r="U184" i="5"/>
  <c r="T192" i="5"/>
  <c r="U192" i="5"/>
  <c r="T200" i="5"/>
  <c r="U200" i="5"/>
  <c r="T208" i="5"/>
  <c r="U208" i="5"/>
  <c r="T216" i="5"/>
  <c r="U216" i="5"/>
  <c r="T224" i="5"/>
  <c r="U224" i="5"/>
  <c r="T232" i="5"/>
  <c r="U232" i="5"/>
  <c r="T248" i="5"/>
  <c r="U248" i="5"/>
  <c r="T256" i="5"/>
  <c r="U256" i="5"/>
  <c r="T272" i="5"/>
  <c r="U272" i="5"/>
  <c r="T280" i="5"/>
  <c r="U280" i="5"/>
  <c r="U514" i="5"/>
  <c r="U112" i="5"/>
  <c r="T12" i="5"/>
  <c r="U12" i="5"/>
  <c r="T20" i="5"/>
  <c r="U20" i="5"/>
  <c r="T68" i="5"/>
  <c r="U68" i="5"/>
  <c r="T100" i="5"/>
  <c r="U100" i="5"/>
  <c r="T124" i="5"/>
  <c r="U124" i="5"/>
  <c r="T132" i="5"/>
  <c r="U132" i="5"/>
  <c r="T148" i="5"/>
  <c r="U148" i="5"/>
  <c r="T13" i="5"/>
  <c r="U13" i="5"/>
  <c r="T21" i="5"/>
  <c r="U21" i="5"/>
  <c r="T61" i="5"/>
  <c r="U61" i="5"/>
  <c r="T77" i="5"/>
  <c r="U77" i="5"/>
  <c r="T109" i="5"/>
  <c r="U109" i="5"/>
  <c r="T125" i="5"/>
  <c r="U125" i="5"/>
  <c r="T157" i="5"/>
  <c r="U157" i="5"/>
  <c r="T173" i="5"/>
  <c r="U173" i="5"/>
  <c r="T189" i="5"/>
  <c r="U189" i="5"/>
  <c r="T205" i="5"/>
  <c r="U205" i="5"/>
  <c r="T213" i="5"/>
  <c r="U213" i="5"/>
  <c r="T229" i="5"/>
  <c r="U229" i="5"/>
  <c r="T245" i="5"/>
  <c r="U245" i="5"/>
  <c r="T253" i="5"/>
  <c r="U253" i="5"/>
  <c r="T261" i="5"/>
  <c r="U261" i="5"/>
  <c r="T269" i="5"/>
  <c r="U269" i="5"/>
  <c r="T16" i="5"/>
  <c r="U16" i="5"/>
  <c r="T24" i="5"/>
  <c r="U24" i="5"/>
  <c r="T40" i="5"/>
  <c r="U40" i="5"/>
  <c r="T48" i="5"/>
  <c r="U48" i="5"/>
  <c r="T64" i="5"/>
  <c r="U64" i="5"/>
  <c r="T72" i="5"/>
  <c r="U72" i="5"/>
  <c r="T88" i="5"/>
  <c r="U88" i="5"/>
  <c r="T104" i="5"/>
  <c r="U104" i="5"/>
  <c r="T9" i="5"/>
  <c r="U9" i="5"/>
  <c r="T17" i="5"/>
  <c r="U17" i="5"/>
  <c r="T25" i="5"/>
  <c r="U25" i="5"/>
  <c r="T33" i="5"/>
  <c r="U33" i="5"/>
  <c r="T41" i="5"/>
  <c r="U41" i="5"/>
  <c r="T49" i="5"/>
  <c r="U49" i="5"/>
  <c r="T57" i="5"/>
  <c r="U57" i="5"/>
  <c r="T65" i="5"/>
  <c r="U65" i="5"/>
  <c r="T73" i="5"/>
  <c r="U73" i="5"/>
  <c r="T81" i="5"/>
  <c r="U81" i="5"/>
  <c r="T89" i="5"/>
  <c r="U89" i="5"/>
  <c r="T97" i="5"/>
  <c r="U97" i="5"/>
  <c r="T105" i="5"/>
  <c r="U105" i="5"/>
  <c r="T113" i="5"/>
  <c r="U113" i="5"/>
  <c r="U290" i="5"/>
  <c r="U84" i="5"/>
  <c r="T36" i="5"/>
  <c r="U36" i="5"/>
  <c r="T10" i="5"/>
  <c r="U10" i="5"/>
  <c r="T26" i="5"/>
  <c r="U26" i="5"/>
  <c r="T42" i="5"/>
  <c r="U42" i="5"/>
  <c r="T58" i="5"/>
  <c r="U58" i="5"/>
  <c r="T90" i="5"/>
  <c r="U90" i="5"/>
  <c r="T130" i="5"/>
  <c r="U130" i="5"/>
  <c r="T138" i="5"/>
  <c r="U138" i="5"/>
  <c r="T170" i="5"/>
  <c r="U170" i="5"/>
  <c r="T202" i="5"/>
  <c r="U202" i="5"/>
  <c r="T210" i="5"/>
  <c r="U210" i="5"/>
  <c r="T226" i="5"/>
  <c r="U226" i="5"/>
  <c r="T242" i="5"/>
  <c r="U242" i="5"/>
  <c r="T258" i="5"/>
  <c r="U258" i="5"/>
  <c r="T266" i="5"/>
  <c r="U266" i="5"/>
  <c r="T282" i="5"/>
  <c r="U282" i="5"/>
  <c r="T298" i="5"/>
  <c r="U298" i="5"/>
  <c r="T330" i="5"/>
  <c r="U330" i="5"/>
  <c r="T346" i="5"/>
  <c r="U346" i="5"/>
  <c r="T354" i="5"/>
  <c r="U354" i="5"/>
  <c r="T362" i="5"/>
  <c r="U362" i="5"/>
  <c r="T370" i="5"/>
  <c r="U370" i="5"/>
  <c r="T410" i="5"/>
  <c r="U410" i="5"/>
  <c r="T426" i="5"/>
  <c r="U426" i="5"/>
  <c r="T442" i="5"/>
  <c r="U442" i="5"/>
  <c r="T466" i="5"/>
  <c r="U466" i="5"/>
  <c r="T482" i="5"/>
  <c r="U482" i="5"/>
  <c r="T498" i="5"/>
  <c r="U498" i="5"/>
  <c r="T522" i="5"/>
  <c r="U522" i="5"/>
  <c r="T538" i="5"/>
  <c r="U538" i="5"/>
  <c r="T546" i="5"/>
  <c r="U546" i="5"/>
  <c r="T562" i="5"/>
  <c r="U562" i="5"/>
  <c r="T586" i="5"/>
  <c r="U586" i="5"/>
  <c r="T594" i="5"/>
  <c r="U594" i="5"/>
  <c r="T610" i="5"/>
  <c r="U610" i="5"/>
  <c r="T626" i="5"/>
  <c r="U626" i="5"/>
  <c r="T642" i="5"/>
  <c r="U642" i="5"/>
  <c r="T666" i="5"/>
  <c r="U666" i="5"/>
  <c r="T674" i="5"/>
  <c r="U674" i="5"/>
  <c r="T714" i="5"/>
  <c r="U714" i="5"/>
  <c r="T722" i="5"/>
  <c r="U722" i="5"/>
  <c r="T754" i="5"/>
  <c r="U754" i="5"/>
  <c r="T802" i="5"/>
  <c r="U802" i="5"/>
  <c r="T810" i="5"/>
  <c r="U810" i="5"/>
  <c r="T818" i="5"/>
  <c r="U818" i="5"/>
  <c r="T826" i="5"/>
  <c r="U826" i="5"/>
  <c r="T834" i="5"/>
  <c r="U834" i="5"/>
  <c r="T842" i="5"/>
  <c r="U842" i="5"/>
  <c r="T850" i="5"/>
  <c r="U850" i="5"/>
  <c r="T858" i="5"/>
  <c r="U858" i="5"/>
  <c r="T866" i="5"/>
  <c r="U866" i="5"/>
  <c r="T874" i="5"/>
  <c r="U874" i="5"/>
  <c r="T882" i="5"/>
  <c r="U882" i="5"/>
  <c r="T890" i="5"/>
  <c r="U890" i="5"/>
  <c r="T898" i="5"/>
  <c r="U898" i="5"/>
  <c r="T906" i="5"/>
  <c r="U906" i="5"/>
  <c r="T914" i="5"/>
  <c r="U914" i="5"/>
  <c r="T922" i="5"/>
  <c r="U922" i="5"/>
  <c r="T930" i="5"/>
  <c r="U930" i="5"/>
  <c r="T938" i="5"/>
  <c r="U938" i="5"/>
  <c r="T946" i="5"/>
  <c r="U946" i="5"/>
  <c r="T954" i="5"/>
  <c r="U954" i="5"/>
  <c r="T962" i="5"/>
  <c r="U962" i="5"/>
  <c r="T970" i="5"/>
  <c r="U970" i="5"/>
  <c r="T978" i="5"/>
  <c r="U978" i="5"/>
  <c r="T986" i="5"/>
  <c r="U986" i="5"/>
  <c r="T994" i="5"/>
  <c r="U994" i="5"/>
  <c r="U634" i="5"/>
  <c r="U264" i="5"/>
  <c r="U60" i="5"/>
  <c r="T44" i="5"/>
  <c r="U44" i="5"/>
  <c r="T18" i="5"/>
  <c r="U18" i="5"/>
  <c r="T34" i="5"/>
  <c r="U34" i="5"/>
  <c r="T50" i="5"/>
  <c r="U50" i="5"/>
  <c r="T66" i="5"/>
  <c r="U66" i="5"/>
  <c r="T74" i="5"/>
  <c r="U74" i="5"/>
  <c r="T82" i="5"/>
  <c r="U82" i="5"/>
  <c r="T98" i="5"/>
  <c r="U98" i="5"/>
  <c r="T106" i="5"/>
  <c r="U106" i="5"/>
  <c r="T114" i="5"/>
  <c r="U114" i="5"/>
  <c r="T122" i="5"/>
  <c r="U122" i="5"/>
  <c r="T146" i="5"/>
  <c r="U146" i="5"/>
  <c r="T154" i="5"/>
  <c r="U154" i="5"/>
  <c r="T178" i="5"/>
  <c r="U178" i="5"/>
  <c r="T186" i="5"/>
  <c r="U186" i="5"/>
  <c r="T194" i="5"/>
  <c r="U194" i="5"/>
  <c r="T218" i="5"/>
  <c r="U218" i="5"/>
  <c r="T234" i="5"/>
  <c r="U234" i="5"/>
  <c r="T250" i="5"/>
  <c r="U250" i="5"/>
  <c r="T274" i="5"/>
  <c r="U274" i="5"/>
  <c r="T306" i="5"/>
  <c r="U306" i="5"/>
  <c r="T314" i="5"/>
  <c r="U314" i="5"/>
  <c r="T322" i="5"/>
  <c r="U322" i="5"/>
  <c r="T338" i="5"/>
  <c r="U338" i="5"/>
  <c r="T378" i="5"/>
  <c r="U378" i="5"/>
  <c r="T386" i="5"/>
  <c r="U386" i="5"/>
  <c r="T394" i="5"/>
  <c r="U394" i="5"/>
  <c r="T402" i="5"/>
  <c r="U402" i="5"/>
  <c r="T434" i="5"/>
  <c r="U434" i="5"/>
  <c r="T450" i="5"/>
  <c r="U450" i="5"/>
  <c r="T458" i="5"/>
  <c r="U458" i="5"/>
  <c r="T474" i="5"/>
  <c r="U474" i="5"/>
  <c r="T490" i="5"/>
  <c r="U490" i="5"/>
  <c r="T506" i="5"/>
  <c r="U506" i="5"/>
  <c r="T530" i="5"/>
  <c r="U530" i="5"/>
  <c r="T554" i="5"/>
  <c r="U554" i="5"/>
  <c r="T570" i="5"/>
  <c r="U570" i="5"/>
  <c r="T578" i="5"/>
  <c r="U578" i="5"/>
  <c r="T602" i="5"/>
  <c r="U602" i="5"/>
  <c r="T618" i="5"/>
  <c r="U618" i="5"/>
  <c r="T650" i="5"/>
  <c r="U650" i="5"/>
  <c r="T658" i="5"/>
  <c r="U658" i="5"/>
  <c r="T682" i="5"/>
  <c r="U682" i="5"/>
  <c r="T690" i="5"/>
  <c r="U690" i="5"/>
  <c r="T698" i="5"/>
  <c r="U698" i="5"/>
  <c r="T706" i="5"/>
  <c r="U706" i="5"/>
  <c r="T730" i="5"/>
  <c r="U730" i="5"/>
  <c r="T738" i="5"/>
  <c r="U738" i="5"/>
  <c r="T746" i="5"/>
  <c r="U746" i="5"/>
  <c r="T762" i="5"/>
  <c r="U762" i="5"/>
  <c r="T770" i="5"/>
  <c r="U770" i="5"/>
  <c r="T778" i="5"/>
  <c r="U778" i="5"/>
  <c r="T786" i="5"/>
  <c r="U786" i="5"/>
  <c r="T794" i="5"/>
  <c r="U794" i="5"/>
  <c r="T3" i="5"/>
  <c r="U3" i="5"/>
  <c r="T11" i="5"/>
  <c r="U11" i="5"/>
  <c r="T19" i="5"/>
  <c r="U19" i="5"/>
  <c r="T27" i="5"/>
  <c r="U27" i="5"/>
  <c r="T35" i="5"/>
  <c r="U35" i="5"/>
  <c r="T43" i="5"/>
  <c r="U43" i="5"/>
  <c r="T51" i="5"/>
  <c r="U51" i="5"/>
  <c r="T59" i="5"/>
  <c r="U59" i="5"/>
  <c r="U240" i="5"/>
  <c r="U28" i="5"/>
  <c r="T121" i="5"/>
  <c r="U121" i="5"/>
  <c r="T129" i="5"/>
  <c r="U129" i="5"/>
  <c r="T137" i="5"/>
  <c r="U137" i="5"/>
  <c r="T145" i="5"/>
  <c r="U145" i="5"/>
  <c r="T153" i="5"/>
  <c r="U153" i="5"/>
  <c r="T161" i="5"/>
  <c r="U161" i="5"/>
  <c r="T169" i="5"/>
  <c r="U169" i="5"/>
  <c r="T177" i="5"/>
  <c r="U177" i="5"/>
  <c r="T185" i="5"/>
  <c r="U185" i="5"/>
  <c r="T193" i="5"/>
  <c r="U193" i="5"/>
  <c r="T201" i="5"/>
  <c r="U201" i="5"/>
  <c r="T209" i="5"/>
  <c r="U209" i="5"/>
  <c r="T217" i="5"/>
  <c r="U217" i="5"/>
  <c r="T225" i="5"/>
  <c r="U225" i="5"/>
  <c r="T233" i="5"/>
  <c r="U233" i="5"/>
  <c r="T241" i="5"/>
  <c r="U241" i="5"/>
  <c r="T249" i="5"/>
  <c r="U249" i="5"/>
  <c r="T257" i="5"/>
  <c r="U257" i="5"/>
  <c r="T265" i="5"/>
  <c r="U265" i="5"/>
  <c r="T273" i="5"/>
  <c r="U273" i="5"/>
  <c r="T281" i="5"/>
  <c r="U281" i="5"/>
  <c r="T289" i="5"/>
  <c r="U289" i="5"/>
  <c r="T297" i="5"/>
  <c r="U297" i="5"/>
  <c r="T305" i="5"/>
  <c r="U305" i="5"/>
  <c r="T313" i="5"/>
  <c r="U313" i="5"/>
  <c r="T321" i="5"/>
  <c r="U321" i="5"/>
  <c r="T329" i="5"/>
  <c r="U329" i="5"/>
  <c r="T337" i="5"/>
  <c r="U337" i="5"/>
  <c r="T345" i="5"/>
  <c r="U345" i="5"/>
  <c r="T353" i="5"/>
  <c r="U353" i="5"/>
  <c r="T361" i="5"/>
  <c r="U361" i="5"/>
  <c r="T369" i="5"/>
  <c r="U369" i="5"/>
  <c r="T377" i="5"/>
  <c r="U377" i="5"/>
  <c r="T385" i="5"/>
  <c r="U385" i="5"/>
  <c r="T393" i="5"/>
  <c r="U393" i="5"/>
  <c r="T401" i="5"/>
  <c r="U401" i="5"/>
  <c r="T409" i="5"/>
  <c r="U409" i="5"/>
  <c r="T417" i="5"/>
  <c r="U417" i="5"/>
  <c r="T425" i="5"/>
  <c r="U425" i="5"/>
  <c r="T433" i="5"/>
  <c r="U433" i="5"/>
  <c r="T441" i="5"/>
  <c r="U441" i="5"/>
  <c r="T449" i="5"/>
  <c r="U449" i="5"/>
  <c r="T457" i="5"/>
  <c r="U457" i="5"/>
  <c r="T465" i="5"/>
  <c r="U465" i="5"/>
  <c r="T473" i="5"/>
  <c r="U473" i="5"/>
  <c r="T481" i="5"/>
  <c r="U481" i="5"/>
  <c r="T489" i="5"/>
  <c r="U489" i="5"/>
  <c r="T497" i="5"/>
  <c r="U497" i="5"/>
  <c r="T505" i="5"/>
  <c r="U505" i="5"/>
  <c r="T513" i="5"/>
  <c r="U513" i="5"/>
  <c r="T521" i="5"/>
  <c r="U521" i="5"/>
  <c r="T529" i="5"/>
  <c r="U529" i="5"/>
  <c r="T537" i="5"/>
  <c r="U537" i="5"/>
  <c r="T545" i="5"/>
  <c r="U545" i="5"/>
  <c r="T553" i="5"/>
  <c r="U553" i="5"/>
  <c r="T561" i="5"/>
  <c r="U561" i="5"/>
  <c r="T569" i="5"/>
  <c r="U569" i="5"/>
  <c r="T577" i="5"/>
  <c r="U577" i="5"/>
  <c r="T585" i="5"/>
  <c r="U585" i="5"/>
  <c r="T593" i="5"/>
  <c r="U593" i="5"/>
  <c r="T601" i="5"/>
  <c r="U601" i="5"/>
  <c r="T609" i="5"/>
  <c r="U609" i="5"/>
  <c r="T617" i="5"/>
  <c r="U617" i="5"/>
  <c r="T625" i="5"/>
  <c r="U625" i="5"/>
  <c r="T633" i="5"/>
  <c r="U633" i="5"/>
  <c r="T641" i="5"/>
  <c r="U641" i="5"/>
  <c r="T649" i="5"/>
  <c r="U649" i="5"/>
  <c r="T657" i="5"/>
  <c r="U657" i="5"/>
  <c r="T665" i="5"/>
  <c r="U665" i="5"/>
  <c r="T673" i="5"/>
  <c r="U673" i="5"/>
  <c r="T681" i="5"/>
  <c r="U681" i="5"/>
  <c r="T953" i="5"/>
  <c r="T155" i="5"/>
  <c r="U973" i="5"/>
  <c r="U941" i="5"/>
  <c r="U929" i="5"/>
  <c r="U917" i="5"/>
  <c r="U903" i="5"/>
  <c r="U891" i="5"/>
  <c r="U878" i="5"/>
  <c r="U853" i="5"/>
  <c r="U839" i="5"/>
  <c r="U827" i="5"/>
  <c r="U814" i="5"/>
  <c r="U801" i="5"/>
  <c r="U789" i="5"/>
  <c r="U775" i="5"/>
  <c r="U763" i="5"/>
  <c r="U750" i="5"/>
  <c r="U737" i="5"/>
  <c r="U725" i="5"/>
  <c r="U711" i="5"/>
  <c r="U699" i="5"/>
  <c r="U686" i="5"/>
  <c r="U670" i="5"/>
  <c r="U654" i="5"/>
  <c r="U635" i="5"/>
  <c r="U619" i="5"/>
  <c r="U598" i="5"/>
  <c r="U558" i="5"/>
  <c r="U536" i="5"/>
  <c r="U516" i="5"/>
  <c r="U496" i="5"/>
  <c r="U472" i="5"/>
  <c r="U448" i="5"/>
  <c r="U420" i="5"/>
  <c r="U396" i="5"/>
  <c r="U344" i="5"/>
  <c r="U320" i="5"/>
  <c r="U292" i="5"/>
  <c r="U268" i="5"/>
  <c r="U164" i="5"/>
  <c r="T67" i="5"/>
  <c r="U67" i="5"/>
  <c r="T75" i="5"/>
  <c r="U75" i="5"/>
  <c r="T83" i="5"/>
  <c r="U83" i="5"/>
  <c r="T91" i="5"/>
  <c r="U91" i="5"/>
  <c r="T99" i="5"/>
  <c r="U99" i="5"/>
  <c r="T107" i="5"/>
  <c r="U107" i="5"/>
  <c r="T115" i="5"/>
  <c r="U115" i="5"/>
  <c r="T123" i="5"/>
  <c r="U123" i="5"/>
  <c r="T131" i="5"/>
  <c r="U131" i="5"/>
  <c r="T139" i="5"/>
  <c r="U139" i="5"/>
  <c r="T147" i="5"/>
  <c r="U147" i="5"/>
  <c r="T163" i="5"/>
  <c r="U163" i="5"/>
  <c r="T171" i="5"/>
  <c r="U171" i="5"/>
  <c r="T179" i="5"/>
  <c r="U179" i="5"/>
  <c r="T187" i="5"/>
  <c r="U187" i="5"/>
  <c r="T195" i="5"/>
  <c r="U195" i="5"/>
  <c r="T203" i="5"/>
  <c r="U203" i="5"/>
  <c r="T211" i="5"/>
  <c r="U211" i="5"/>
  <c r="T219" i="5"/>
  <c r="U219" i="5"/>
  <c r="T227" i="5"/>
  <c r="U227" i="5"/>
  <c r="T235" i="5"/>
  <c r="U235" i="5"/>
  <c r="T243" i="5"/>
  <c r="U243" i="5"/>
  <c r="T251" i="5"/>
  <c r="U251" i="5"/>
  <c r="T259" i="5"/>
  <c r="U259" i="5"/>
  <c r="T267" i="5"/>
  <c r="U267" i="5"/>
  <c r="T275" i="5"/>
  <c r="U275" i="5"/>
  <c r="T283" i="5"/>
  <c r="U283" i="5"/>
  <c r="T291" i="5"/>
  <c r="U291" i="5"/>
  <c r="T299" i="5"/>
  <c r="U299" i="5"/>
  <c r="T307" i="5"/>
  <c r="U307" i="5"/>
  <c r="T315" i="5"/>
  <c r="U315" i="5"/>
  <c r="T323" i="5"/>
  <c r="U323" i="5"/>
  <c r="T331" i="5"/>
  <c r="U331" i="5"/>
  <c r="T347" i="5"/>
  <c r="U347" i="5"/>
  <c r="T355" i="5"/>
  <c r="U355" i="5"/>
  <c r="T363" i="5"/>
  <c r="U363" i="5"/>
  <c r="T371" i="5"/>
  <c r="U371" i="5"/>
  <c r="T379" i="5"/>
  <c r="U379" i="5"/>
  <c r="T387" i="5"/>
  <c r="U387" i="5"/>
  <c r="T395" i="5"/>
  <c r="U395" i="5"/>
  <c r="T403" i="5"/>
  <c r="U403" i="5"/>
  <c r="T411" i="5"/>
  <c r="U411" i="5"/>
  <c r="T419" i="5"/>
  <c r="U419" i="5"/>
  <c r="T427" i="5"/>
  <c r="U427" i="5"/>
  <c r="T435" i="5"/>
  <c r="U435" i="5"/>
  <c r="T443" i="5"/>
  <c r="U443" i="5"/>
  <c r="T451" i="5"/>
  <c r="U451" i="5"/>
  <c r="T459" i="5"/>
  <c r="U459" i="5"/>
  <c r="T467" i="5"/>
  <c r="U467" i="5"/>
  <c r="T475" i="5"/>
  <c r="U475" i="5"/>
  <c r="T483" i="5"/>
  <c r="U483" i="5"/>
  <c r="T499" i="5"/>
  <c r="U499" i="5"/>
  <c r="T515" i="5"/>
  <c r="U515" i="5"/>
  <c r="T531" i="5"/>
  <c r="U531" i="5"/>
  <c r="T563" i="5"/>
  <c r="U563" i="5"/>
  <c r="T579" i="5"/>
  <c r="U579" i="5"/>
  <c r="T595" i="5"/>
  <c r="U595" i="5"/>
  <c r="T852" i="5"/>
  <c r="U1000" i="5"/>
  <c r="U991" i="5"/>
  <c r="U981" i="5"/>
  <c r="U959" i="5"/>
  <c r="U949" i="5"/>
  <c r="U926" i="5"/>
  <c r="U913" i="5"/>
  <c r="U901" i="5"/>
  <c r="U887" i="5"/>
  <c r="U875" i="5"/>
  <c r="U862" i="5"/>
  <c r="U849" i="5"/>
  <c r="U837" i="5"/>
  <c r="U823" i="5"/>
  <c r="U811" i="5"/>
  <c r="U798" i="5"/>
  <c r="U785" i="5"/>
  <c r="U773" i="5"/>
  <c r="U759" i="5"/>
  <c r="U747" i="5"/>
  <c r="U734" i="5"/>
  <c r="U721" i="5"/>
  <c r="U709" i="5"/>
  <c r="U695" i="5"/>
  <c r="U683" i="5"/>
  <c r="U648" i="5"/>
  <c r="U632" i="5"/>
  <c r="U612" i="5"/>
  <c r="U572" i="5"/>
  <c r="U552" i="5"/>
  <c r="U532" i="5"/>
  <c r="U510" i="5"/>
  <c r="U491" i="5"/>
  <c r="U440" i="5"/>
  <c r="U416" i="5"/>
  <c r="U388" i="5"/>
  <c r="U364" i="5"/>
  <c r="U312" i="5"/>
  <c r="U288" i="5"/>
  <c r="U260" i="5"/>
  <c r="U236" i="5"/>
  <c r="T492" i="5"/>
  <c r="U492" i="5"/>
  <c r="T524" i="5"/>
  <c r="U524" i="5"/>
  <c r="T540" i="5"/>
  <c r="U540" i="5"/>
  <c r="T556" i="5"/>
  <c r="U556" i="5"/>
  <c r="T588" i="5"/>
  <c r="U588" i="5"/>
  <c r="T604" i="5"/>
  <c r="U604" i="5"/>
  <c r="T620" i="5"/>
  <c r="U620" i="5"/>
  <c r="T628" i="5"/>
  <c r="U628" i="5"/>
  <c r="T636" i="5"/>
  <c r="U636" i="5"/>
  <c r="T652" i="5"/>
  <c r="U652" i="5"/>
  <c r="T660" i="5"/>
  <c r="U660" i="5"/>
  <c r="T668" i="5"/>
  <c r="U668" i="5"/>
  <c r="T684" i="5"/>
  <c r="U684" i="5"/>
  <c r="T692" i="5"/>
  <c r="U692" i="5"/>
  <c r="T700" i="5"/>
  <c r="U700" i="5"/>
  <c r="T708" i="5"/>
  <c r="U708" i="5"/>
  <c r="T716" i="5"/>
  <c r="U716" i="5"/>
  <c r="T732" i="5"/>
  <c r="U732" i="5"/>
  <c r="T740" i="5"/>
  <c r="U740" i="5"/>
  <c r="T748" i="5"/>
  <c r="U748" i="5"/>
  <c r="T756" i="5"/>
  <c r="U756" i="5"/>
  <c r="T764" i="5"/>
  <c r="U764" i="5"/>
  <c r="T772" i="5"/>
  <c r="U772" i="5"/>
  <c r="T780" i="5"/>
  <c r="U780" i="5"/>
  <c r="T788" i="5"/>
  <c r="U788" i="5"/>
  <c r="T796" i="5"/>
  <c r="U796" i="5"/>
  <c r="T804" i="5"/>
  <c r="U804" i="5"/>
  <c r="T812" i="5"/>
  <c r="U812" i="5"/>
  <c r="T820" i="5"/>
  <c r="U820" i="5"/>
  <c r="T828" i="5"/>
  <c r="U828" i="5"/>
  <c r="T836" i="5"/>
  <c r="U836" i="5"/>
  <c r="T844" i="5"/>
  <c r="U844" i="5"/>
  <c r="T860" i="5"/>
  <c r="U860" i="5"/>
  <c r="T868" i="5"/>
  <c r="U868" i="5"/>
  <c r="T876" i="5"/>
  <c r="U876" i="5"/>
  <c r="T884" i="5"/>
  <c r="U884" i="5"/>
  <c r="T892" i="5"/>
  <c r="U892" i="5"/>
  <c r="T900" i="5"/>
  <c r="U900" i="5"/>
  <c r="T908" i="5"/>
  <c r="U908" i="5"/>
  <c r="T916" i="5"/>
  <c r="U916" i="5"/>
  <c r="T924" i="5"/>
  <c r="U924" i="5"/>
  <c r="T932" i="5"/>
  <c r="U932" i="5"/>
  <c r="T940" i="5"/>
  <c r="U940" i="5"/>
  <c r="T948" i="5"/>
  <c r="U948" i="5"/>
  <c r="T956" i="5"/>
  <c r="U956" i="5"/>
  <c r="T964" i="5"/>
  <c r="U964" i="5"/>
  <c r="T972" i="5"/>
  <c r="U972" i="5"/>
  <c r="T980" i="5"/>
  <c r="U980" i="5"/>
  <c r="T988" i="5"/>
  <c r="U988" i="5"/>
  <c r="U969" i="5"/>
  <c r="U958" i="5"/>
  <c r="U947" i="5"/>
  <c r="U937" i="5"/>
  <c r="U925" i="5"/>
  <c r="U911" i="5"/>
  <c r="U899" i="5"/>
  <c r="U886" i="5"/>
  <c r="U873" i="5"/>
  <c r="U861" i="5"/>
  <c r="U847" i="5"/>
  <c r="U835" i="5"/>
  <c r="U822" i="5"/>
  <c r="U809" i="5"/>
  <c r="U797" i="5"/>
  <c r="U783" i="5"/>
  <c r="U771" i="5"/>
  <c r="U758" i="5"/>
  <c r="U745" i="5"/>
  <c r="U733" i="5"/>
  <c r="U719" i="5"/>
  <c r="U707" i="5"/>
  <c r="U694" i="5"/>
  <c r="U680" i="5"/>
  <c r="U664" i="5"/>
  <c r="U646" i="5"/>
  <c r="U630" i="5"/>
  <c r="U611" i="5"/>
  <c r="U590" i="5"/>
  <c r="U571" i="5"/>
  <c r="U548" i="5"/>
  <c r="U508" i="5"/>
  <c r="U488" i="5"/>
  <c r="U464" i="5"/>
  <c r="U436" i="5"/>
  <c r="U412" i="5"/>
  <c r="U360" i="5"/>
  <c r="U336" i="5"/>
  <c r="U308" i="5"/>
  <c r="U284" i="5"/>
  <c r="U180" i="5"/>
  <c r="T277" i="5"/>
  <c r="U277" i="5"/>
  <c r="T285" i="5"/>
  <c r="U285" i="5"/>
  <c r="T293" i="5"/>
  <c r="U293" i="5"/>
  <c r="T301" i="5"/>
  <c r="U301" i="5"/>
  <c r="T309" i="5"/>
  <c r="U309" i="5"/>
  <c r="T317" i="5"/>
  <c r="U317" i="5"/>
  <c r="T325" i="5"/>
  <c r="U325" i="5"/>
  <c r="T333" i="5"/>
  <c r="U333" i="5"/>
  <c r="T341" i="5"/>
  <c r="U341" i="5"/>
  <c r="T349" i="5"/>
  <c r="U349" i="5"/>
  <c r="T357" i="5"/>
  <c r="U357" i="5"/>
  <c r="T365" i="5"/>
  <c r="U365" i="5"/>
  <c r="T373" i="5"/>
  <c r="U373" i="5"/>
  <c r="T381" i="5"/>
  <c r="U381" i="5"/>
  <c r="T389" i="5"/>
  <c r="U389" i="5"/>
  <c r="T397" i="5"/>
  <c r="U397" i="5"/>
  <c r="T405" i="5"/>
  <c r="U405" i="5"/>
  <c r="T413" i="5"/>
  <c r="U413" i="5"/>
  <c r="T421" i="5"/>
  <c r="U421" i="5"/>
  <c r="T429" i="5"/>
  <c r="U429" i="5"/>
  <c r="T437" i="5"/>
  <c r="U437" i="5"/>
  <c r="T445" i="5"/>
  <c r="U445" i="5"/>
  <c r="T453" i="5"/>
  <c r="U453" i="5"/>
  <c r="T461" i="5"/>
  <c r="U461" i="5"/>
  <c r="T469" i="5"/>
  <c r="U469" i="5"/>
  <c r="T477" i="5"/>
  <c r="U477" i="5"/>
  <c r="T485" i="5"/>
  <c r="U485" i="5"/>
  <c r="T493" i="5"/>
  <c r="U493" i="5"/>
  <c r="T501" i="5"/>
  <c r="U501" i="5"/>
  <c r="T509" i="5"/>
  <c r="U509" i="5"/>
  <c r="T517" i="5"/>
  <c r="U517" i="5"/>
  <c r="T525" i="5"/>
  <c r="U525" i="5"/>
  <c r="T533" i="5"/>
  <c r="U533" i="5"/>
  <c r="T541" i="5"/>
  <c r="U541" i="5"/>
  <c r="T549" i="5"/>
  <c r="U549" i="5"/>
  <c r="T557" i="5"/>
  <c r="U557" i="5"/>
  <c r="T565" i="5"/>
  <c r="U565" i="5"/>
  <c r="T573" i="5"/>
  <c r="U573" i="5"/>
  <c r="T581" i="5"/>
  <c r="U581" i="5"/>
  <c r="T589" i="5"/>
  <c r="U589" i="5"/>
  <c r="T597" i="5"/>
  <c r="U597" i="5"/>
  <c r="T605" i="5"/>
  <c r="U605" i="5"/>
  <c r="T613" i="5"/>
  <c r="U613" i="5"/>
  <c r="T621" i="5"/>
  <c r="U621" i="5"/>
  <c r="T629" i="5"/>
  <c r="U629" i="5"/>
  <c r="T637" i="5"/>
  <c r="U637" i="5"/>
  <c r="T645" i="5"/>
  <c r="U645" i="5"/>
  <c r="T653" i="5"/>
  <c r="U653" i="5"/>
  <c r="T661" i="5"/>
  <c r="U661" i="5"/>
  <c r="T669" i="5"/>
  <c r="U669" i="5"/>
  <c r="T677" i="5"/>
  <c r="U677" i="5"/>
  <c r="T724" i="5"/>
  <c r="U998" i="5"/>
  <c r="U989" i="5"/>
  <c r="U967" i="5"/>
  <c r="U957" i="5"/>
  <c r="U935" i="5"/>
  <c r="U923" i="5"/>
  <c r="U910" i="5"/>
  <c r="U897" i="5"/>
  <c r="U885" i="5"/>
  <c r="U871" i="5"/>
  <c r="U859" i="5"/>
  <c r="U846" i="5"/>
  <c r="U833" i="5"/>
  <c r="U821" i="5"/>
  <c r="U807" i="5"/>
  <c r="U795" i="5"/>
  <c r="U782" i="5"/>
  <c r="U769" i="5"/>
  <c r="U757" i="5"/>
  <c r="U743" i="5"/>
  <c r="U731" i="5"/>
  <c r="U718" i="5"/>
  <c r="U705" i="5"/>
  <c r="U693" i="5"/>
  <c r="U678" i="5"/>
  <c r="U662" i="5"/>
  <c r="U644" i="5"/>
  <c r="U627" i="5"/>
  <c r="U587" i="5"/>
  <c r="U568" i="5"/>
  <c r="U547" i="5"/>
  <c r="U526" i="5"/>
  <c r="U507" i="5"/>
  <c r="U484" i="5"/>
  <c r="U460" i="5"/>
  <c r="U408" i="5"/>
  <c r="U384" i="5"/>
  <c r="U356" i="5"/>
  <c r="U332" i="5"/>
  <c r="U228" i="5"/>
  <c r="U204" i="5"/>
  <c r="T62" i="5"/>
  <c r="U62" i="5"/>
  <c r="T70" i="5"/>
  <c r="U70" i="5"/>
  <c r="T78" i="5"/>
  <c r="U78" i="5"/>
  <c r="T86" i="5"/>
  <c r="U86" i="5"/>
  <c r="T94" i="5"/>
  <c r="U94" i="5"/>
  <c r="T102" i="5"/>
  <c r="U102" i="5"/>
  <c r="T110" i="5"/>
  <c r="U110" i="5"/>
  <c r="T118" i="5"/>
  <c r="U118" i="5"/>
  <c r="T126" i="5"/>
  <c r="U126" i="5"/>
  <c r="T134" i="5"/>
  <c r="U134" i="5"/>
  <c r="T142" i="5"/>
  <c r="U142" i="5"/>
  <c r="T150" i="5"/>
  <c r="U150" i="5"/>
  <c r="T158" i="5"/>
  <c r="U158" i="5"/>
  <c r="T166" i="5"/>
  <c r="U166" i="5"/>
  <c r="T174" i="5"/>
  <c r="U174" i="5"/>
  <c r="T182" i="5"/>
  <c r="U182" i="5"/>
  <c r="T190" i="5"/>
  <c r="U190" i="5"/>
  <c r="T198" i="5"/>
  <c r="U198" i="5"/>
  <c r="T206" i="5"/>
  <c r="U206" i="5"/>
  <c r="T214" i="5"/>
  <c r="U214" i="5"/>
  <c r="T222" i="5"/>
  <c r="U222" i="5"/>
  <c r="T230" i="5"/>
  <c r="U230" i="5"/>
  <c r="T238" i="5"/>
  <c r="U238" i="5"/>
  <c r="T246" i="5"/>
  <c r="U246" i="5"/>
  <c r="T254" i="5"/>
  <c r="U254" i="5"/>
  <c r="T262" i="5"/>
  <c r="U262" i="5"/>
  <c r="T270" i="5"/>
  <c r="U270" i="5"/>
  <c r="T278" i="5"/>
  <c r="U278" i="5"/>
  <c r="T286" i="5"/>
  <c r="U286" i="5"/>
  <c r="T294" i="5"/>
  <c r="U294" i="5"/>
  <c r="T302" i="5"/>
  <c r="U302" i="5"/>
  <c r="T310" i="5"/>
  <c r="U310" i="5"/>
  <c r="T318" i="5"/>
  <c r="U318" i="5"/>
  <c r="T326" i="5"/>
  <c r="U326" i="5"/>
  <c r="T334" i="5"/>
  <c r="U334" i="5"/>
  <c r="T342" i="5"/>
  <c r="U342" i="5"/>
  <c r="T350" i="5"/>
  <c r="U350" i="5"/>
  <c r="T358" i="5"/>
  <c r="U358" i="5"/>
  <c r="T366" i="5"/>
  <c r="U366" i="5"/>
  <c r="T374" i="5"/>
  <c r="U374" i="5"/>
  <c r="T382" i="5"/>
  <c r="U382" i="5"/>
  <c r="T390" i="5"/>
  <c r="U390" i="5"/>
  <c r="T398" i="5"/>
  <c r="U398" i="5"/>
  <c r="T406" i="5"/>
  <c r="U406" i="5"/>
  <c r="T414" i="5"/>
  <c r="U414" i="5"/>
  <c r="T422" i="5"/>
  <c r="U422" i="5"/>
  <c r="T430" i="5"/>
  <c r="U430" i="5"/>
  <c r="T438" i="5"/>
  <c r="U438" i="5"/>
  <c r="T446" i="5"/>
  <c r="U446" i="5"/>
  <c r="T454" i="5"/>
  <c r="U454" i="5"/>
  <c r="T462" i="5"/>
  <c r="U462" i="5"/>
  <c r="T470" i="5"/>
  <c r="U470" i="5"/>
  <c r="T478" i="5"/>
  <c r="U478" i="5"/>
  <c r="T486" i="5"/>
  <c r="U486" i="5"/>
  <c r="T502" i="5"/>
  <c r="U502" i="5"/>
  <c r="T518" i="5"/>
  <c r="U518" i="5"/>
  <c r="T550" i="5"/>
  <c r="U550" i="5"/>
  <c r="T566" i="5"/>
  <c r="U566" i="5"/>
  <c r="T582" i="5"/>
  <c r="U582" i="5"/>
  <c r="T614" i="5"/>
  <c r="U614" i="5"/>
  <c r="U997" i="5"/>
  <c r="U987" i="5"/>
  <c r="U977" i="5"/>
  <c r="U966" i="5"/>
  <c r="U955" i="5"/>
  <c r="U945" i="5"/>
  <c r="U934" i="5"/>
  <c r="U921" i="5"/>
  <c r="U909" i="5"/>
  <c r="U895" i="5"/>
  <c r="U883" i="5"/>
  <c r="U870" i="5"/>
  <c r="U857" i="5"/>
  <c r="U845" i="5"/>
  <c r="U831" i="5"/>
  <c r="U819" i="5"/>
  <c r="U806" i="5"/>
  <c r="U793" i="5"/>
  <c r="U781" i="5"/>
  <c r="U767" i="5"/>
  <c r="U755" i="5"/>
  <c r="U742" i="5"/>
  <c r="U729" i="5"/>
  <c r="U717" i="5"/>
  <c r="U703" i="5"/>
  <c r="U691" i="5"/>
  <c r="U676" i="5"/>
  <c r="U659" i="5"/>
  <c r="U643" i="5"/>
  <c r="U624" i="5"/>
  <c r="U606" i="5"/>
  <c r="U564" i="5"/>
  <c r="U523" i="5"/>
  <c r="U504" i="5"/>
  <c r="U456" i="5"/>
  <c r="U432" i="5"/>
  <c r="U404" i="5"/>
  <c r="U380" i="5"/>
  <c r="U328" i="5"/>
  <c r="U304" i="5"/>
  <c r="U276" i="5"/>
  <c r="U252" i="5"/>
  <c r="T7" i="5"/>
  <c r="U7" i="5"/>
  <c r="T15" i="5"/>
  <c r="U15" i="5"/>
  <c r="T23" i="5"/>
  <c r="U23" i="5"/>
  <c r="T31" i="5"/>
  <c r="U31" i="5"/>
  <c r="T39" i="5"/>
  <c r="U39" i="5"/>
  <c r="T47" i="5"/>
  <c r="U47" i="5"/>
  <c r="T55" i="5"/>
  <c r="U55" i="5"/>
  <c r="T63" i="5"/>
  <c r="U63" i="5"/>
  <c r="T71" i="5"/>
  <c r="U71" i="5"/>
  <c r="T79" i="5"/>
  <c r="U79" i="5"/>
  <c r="T87" i="5"/>
  <c r="U87" i="5"/>
  <c r="T95" i="5"/>
  <c r="U95" i="5"/>
  <c r="T103" i="5"/>
  <c r="U103" i="5"/>
  <c r="T111" i="5"/>
  <c r="U111" i="5"/>
  <c r="T119" i="5"/>
  <c r="U119" i="5"/>
  <c r="T127" i="5"/>
  <c r="U127" i="5"/>
  <c r="T135" i="5"/>
  <c r="U135" i="5"/>
  <c r="T143" i="5"/>
  <c r="U143" i="5"/>
  <c r="T151" i="5"/>
  <c r="U151" i="5"/>
  <c r="T159" i="5"/>
  <c r="U159" i="5"/>
  <c r="T167" i="5"/>
  <c r="U167" i="5"/>
  <c r="T175" i="5"/>
  <c r="U175" i="5"/>
  <c r="T183" i="5"/>
  <c r="U183" i="5"/>
  <c r="T191" i="5"/>
  <c r="U191" i="5"/>
  <c r="T199" i="5"/>
  <c r="U199" i="5"/>
  <c r="T207" i="5"/>
  <c r="U207" i="5"/>
  <c r="T215" i="5"/>
  <c r="U215" i="5"/>
  <c r="T223" i="5"/>
  <c r="U223" i="5"/>
  <c r="T231" i="5"/>
  <c r="U231" i="5"/>
  <c r="T239" i="5"/>
  <c r="U239" i="5"/>
  <c r="T247" i="5"/>
  <c r="U247" i="5"/>
  <c r="T255" i="5"/>
  <c r="U255" i="5"/>
  <c r="T263" i="5"/>
  <c r="U263" i="5"/>
  <c r="T271" i="5"/>
  <c r="U271" i="5"/>
  <c r="T279" i="5"/>
  <c r="U279" i="5"/>
  <c r="T287" i="5"/>
  <c r="U287" i="5"/>
  <c r="T295" i="5"/>
  <c r="U295" i="5"/>
  <c r="T303" i="5"/>
  <c r="U303" i="5"/>
  <c r="T311" i="5"/>
  <c r="U311" i="5"/>
  <c r="T319" i="5"/>
  <c r="U319" i="5"/>
  <c r="T327" i="5"/>
  <c r="U327" i="5"/>
  <c r="T335" i="5"/>
  <c r="U335" i="5"/>
  <c r="T343" i="5"/>
  <c r="U343" i="5"/>
  <c r="T351" i="5"/>
  <c r="U351" i="5"/>
  <c r="T359" i="5"/>
  <c r="U359" i="5"/>
  <c r="T367" i="5"/>
  <c r="U367" i="5"/>
  <c r="T375" i="5"/>
  <c r="U375" i="5"/>
  <c r="T383" i="5"/>
  <c r="U383" i="5"/>
  <c r="T391" i="5"/>
  <c r="U391" i="5"/>
  <c r="T399" i="5"/>
  <c r="U399" i="5"/>
  <c r="T407" i="5"/>
  <c r="U407" i="5"/>
  <c r="T415" i="5"/>
  <c r="U415" i="5"/>
  <c r="T423" i="5"/>
  <c r="U423" i="5"/>
  <c r="T431" i="5"/>
  <c r="U431" i="5"/>
  <c r="T439" i="5"/>
  <c r="U439" i="5"/>
  <c r="T447" i="5"/>
  <c r="U447" i="5"/>
  <c r="T455" i="5"/>
  <c r="U455" i="5"/>
  <c r="T463" i="5"/>
  <c r="U463" i="5"/>
  <c r="T471" i="5"/>
  <c r="U471" i="5"/>
  <c r="T479" i="5"/>
  <c r="U479" i="5"/>
  <c r="T487" i="5"/>
  <c r="U487" i="5"/>
  <c r="T495" i="5"/>
  <c r="U495" i="5"/>
  <c r="T503" i="5"/>
  <c r="U503" i="5"/>
  <c r="T511" i="5"/>
  <c r="U511" i="5"/>
  <c r="T519" i="5"/>
  <c r="U519" i="5"/>
  <c r="T527" i="5"/>
  <c r="U527" i="5"/>
  <c r="T535" i="5"/>
  <c r="U535" i="5"/>
  <c r="T543" i="5"/>
  <c r="U543" i="5"/>
  <c r="T551" i="5"/>
  <c r="U551" i="5"/>
  <c r="T559" i="5"/>
  <c r="U559" i="5"/>
  <c r="T567" i="5"/>
  <c r="U567" i="5"/>
  <c r="T575" i="5"/>
  <c r="U575" i="5"/>
  <c r="T583" i="5"/>
  <c r="U583" i="5"/>
  <c r="T591" i="5"/>
  <c r="U591" i="5"/>
  <c r="T599" i="5"/>
  <c r="U599" i="5"/>
  <c r="T607" i="5"/>
  <c r="U607" i="5"/>
  <c r="T615" i="5"/>
  <c r="U615" i="5"/>
  <c r="T631" i="5"/>
  <c r="U631" i="5"/>
  <c r="T639" i="5"/>
  <c r="U639" i="5"/>
  <c r="T647" i="5"/>
  <c r="U647" i="5"/>
  <c r="T663" i="5"/>
  <c r="U663" i="5"/>
  <c r="T671" i="5"/>
  <c r="U671" i="5"/>
  <c r="T679" i="5"/>
  <c r="U679" i="5"/>
  <c r="U996" i="5"/>
  <c r="U975" i="5"/>
  <c r="U965" i="5"/>
  <c r="U943" i="5"/>
  <c r="U933" i="5"/>
  <c r="U919" i="5"/>
  <c r="U907" i="5"/>
  <c r="U894" i="5"/>
  <c r="U881" i="5"/>
  <c r="U869" i="5"/>
  <c r="U855" i="5"/>
  <c r="U843" i="5"/>
  <c r="U830" i="5"/>
  <c r="U817" i="5"/>
  <c r="U805" i="5"/>
  <c r="U791" i="5"/>
  <c r="U779" i="5"/>
  <c r="U766" i="5"/>
  <c r="U753" i="5"/>
  <c r="U741" i="5"/>
  <c r="U727" i="5"/>
  <c r="U715" i="5"/>
  <c r="U702" i="5"/>
  <c r="U689" i="5"/>
  <c r="U675" i="5"/>
  <c r="U656" i="5"/>
  <c r="U640" i="5"/>
  <c r="U623" i="5"/>
  <c r="U603" i="5"/>
  <c r="U584" i="5"/>
  <c r="U542" i="5"/>
  <c r="U500" i="5"/>
  <c r="U480" i="5"/>
  <c r="U452" i="5"/>
  <c r="U428" i="5"/>
  <c r="U376" i="5"/>
  <c r="U352" i="5"/>
  <c r="U324" i="5"/>
  <c r="U300" i="5"/>
  <c r="U196" i="5"/>
  <c r="U172" i="5"/>
  <c r="T512" i="5"/>
  <c r="U512" i="5"/>
  <c r="T528" i="5"/>
  <c r="U528" i="5"/>
  <c r="T544" i="5"/>
  <c r="U544" i="5"/>
  <c r="T576" i="5"/>
  <c r="U576" i="5"/>
  <c r="T592" i="5"/>
  <c r="U592" i="5"/>
  <c r="T608" i="5"/>
  <c r="U608" i="5"/>
  <c r="T688" i="5"/>
  <c r="U688" i="5"/>
  <c r="T696" i="5"/>
  <c r="U696" i="5"/>
  <c r="T704" i="5"/>
  <c r="U704" i="5"/>
  <c r="T712" i="5"/>
  <c r="U712" i="5"/>
  <c r="T720" i="5"/>
  <c r="U720" i="5"/>
  <c r="T728" i="5"/>
  <c r="U728" i="5"/>
  <c r="T736" i="5"/>
  <c r="U736" i="5"/>
  <c r="T744" i="5"/>
  <c r="U744" i="5"/>
  <c r="T752" i="5"/>
  <c r="U752" i="5"/>
  <c r="T760" i="5"/>
  <c r="U760" i="5"/>
  <c r="T768" i="5"/>
  <c r="U768" i="5"/>
  <c r="T776" i="5"/>
  <c r="U776" i="5"/>
  <c r="T784" i="5"/>
  <c r="U784" i="5"/>
  <c r="T792" i="5"/>
  <c r="U792" i="5"/>
  <c r="T800" i="5"/>
  <c r="U800" i="5"/>
  <c r="T808" i="5"/>
  <c r="U808" i="5"/>
  <c r="T816" i="5"/>
  <c r="U816" i="5"/>
  <c r="T824" i="5"/>
  <c r="U824" i="5"/>
  <c r="T832" i="5"/>
  <c r="U832" i="5"/>
  <c r="T840" i="5"/>
  <c r="U840" i="5"/>
  <c r="T848" i="5"/>
  <c r="U848" i="5"/>
  <c r="T856" i="5"/>
  <c r="U856" i="5"/>
  <c r="T864" i="5"/>
  <c r="U864" i="5"/>
  <c r="T872" i="5"/>
  <c r="U872" i="5"/>
  <c r="T880" i="5"/>
  <c r="U880" i="5"/>
  <c r="T888" i="5"/>
  <c r="U888" i="5"/>
  <c r="T896" i="5"/>
  <c r="U896" i="5"/>
  <c r="T904" i="5"/>
  <c r="U904" i="5"/>
  <c r="T912" i="5"/>
  <c r="U912" i="5"/>
  <c r="T920" i="5"/>
  <c r="U920" i="5"/>
  <c r="T928" i="5"/>
  <c r="U928" i="5"/>
  <c r="T936" i="5"/>
  <c r="U936" i="5"/>
  <c r="T944" i="5"/>
  <c r="U944" i="5"/>
  <c r="T952" i="5"/>
  <c r="U952" i="5"/>
  <c r="T960" i="5"/>
  <c r="U960" i="5"/>
  <c r="T968" i="5"/>
  <c r="U968" i="5"/>
  <c r="T976" i="5"/>
  <c r="U976" i="5"/>
  <c r="T984" i="5"/>
  <c r="U984" i="5"/>
  <c r="T992" i="5"/>
  <c r="U992" i="5"/>
  <c r="T339" i="5"/>
  <c r="U995" i="5"/>
  <c r="U985" i="5"/>
  <c r="U974" i="5"/>
  <c r="U963" i="5"/>
  <c r="U942" i="5"/>
  <c r="U931" i="5"/>
  <c r="U918" i="5"/>
  <c r="U905" i="5"/>
  <c r="U893" i="5"/>
  <c r="U879" i="5"/>
  <c r="U867" i="5"/>
  <c r="U854" i="5"/>
  <c r="U841" i="5"/>
  <c r="U829" i="5"/>
  <c r="U815" i="5"/>
  <c r="U803" i="5"/>
  <c r="U790" i="5"/>
  <c r="U777" i="5"/>
  <c r="U765" i="5"/>
  <c r="U751" i="5"/>
  <c r="U739" i="5"/>
  <c r="U726" i="5"/>
  <c r="U713" i="5"/>
  <c r="U701" i="5"/>
  <c r="U687" i="5"/>
  <c r="U672" i="5"/>
  <c r="U655" i="5"/>
  <c r="U638" i="5"/>
  <c r="U622" i="5"/>
  <c r="U600" i="5"/>
  <c r="U580" i="5"/>
  <c r="U560" i="5"/>
  <c r="U539" i="5"/>
  <c r="U520" i="5"/>
  <c r="U476" i="5"/>
  <c r="U424" i="5"/>
  <c r="U400" i="5"/>
  <c r="U372" i="5"/>
  <c r="U348" i="5"/>
  <c r="U296" i="5"/>
  <c r="U244" i="5"/>
  <c r="U220" i="5"/>
  <c r="U2" i="5"/>
  <c r="S977" i="5"/>
  <c r="AB977" i="5" s="1"/>
  <c r="S187" i="5"/>
  <c r="AB187" i="5" s="1"/>
  <c r="S976" i="5"/>
  <c r="AB976" i="5" s="1"/>
  <c r="S376" i="5"/>
  <c r="S966" i="5"/>
  <c r="AB966" i="5" s="1"/>
  <c r="S723" i="5"/>
  <c r="S1000" i="5"/>
  <c r="AB1000" i="5" s="1"/>
  <c r="S850" i="5"/>
  <c r="S997" i="5"/>
  <c r="AB997" i="5" s="1"/>
  <c r="S944" i="5"/>
  <c r="S993" i="5"/>
  <c r="AB993" i="5" s="1"/>
  <c r="S934" i="5"/>
  <c r="AB934" i="5" s="1"/>
  <c r="S813" i="5"/>
  <c r="AB813" i="5" s="1"/>
  <c r="Q152" i="5"/>
  <c r="S152" i="5"/>
  <c r="Q256" i="5"/>
  <c r="S256" i="5"/>
  <c r="AB256" i="5" s="1"/>
  <c r="Q272" i="5"/>
  <c r="S272" i="5"/>
  <c r="AB272" i="5" s="1"/>
  <c r="Q408" i="5"/>
  <c r="S408" i="5"/>
  <c r="Q496" i="5"/>
  <c r="S496" i="5"/>
  <c r="AB496" i="5" s="1"/>
  <c r="Q512" i="5"/>
  <c r="S512" i="5"/>
  <c r="S985" i="5"/>
  <c r="AB985" i="5" s="1"/>
  <c r="S975" i="5"/>
  <c r="AB975" i="5" s="1"/>
  <c r="S953" i="5"/>
  <c r="S943" i="5"/>
  <c r="AB943" i="5" s="1"/>
  <c r="S921" i="5"/>
  <c r="S911" i="5"/>
  <c r="AB911" i="5" s="1"/>
  <c r="S897" i="5"/>
  <c r="AB897" i="5" s="1"/>
  <c r="S886" i="5"/>
  <c r="AB886" i="5" s="1"/>
  <c r="S795" i="5"/>
  <c r="S767" i="5"/>
  <c r="AB767" i="5" s="1"/>
  <c r="S722" i="5"/>
  <c r="S694" i="5"/>
  <c r="AB694" i="5" s="1"/>
  <c r="S638" i="5"/>
  <c r="S600" i="5"/>
  <c r="AB600" i="5" s="1"/>
  <c r="S540" i="5"/>
  <c r="AB540" i="5" s="1"/>
  <c r="S324" i="5"/>
  <c r="AB324" i="5" s="1"/>
  <c r="S186" i="5"/>
  <c r="AB186" i="5" s="1"/>
  <c r="S136" i="5"/>
  <c r="S68" i="5"/>
  <c r="S984" i="5"/>
  <c r="AB984" i="5" s="1"/>
  <c r="S974" i="5"/>
  <c r="AB974" i="5" s="1"/>
  <c r="S952" i="5"/>
  <c r="AB952" i="5" s="1"/>
  <c r="S942" i="5"/>
  <c r="S910" i="5"/>
  <c r="AB910" i="5" s="1"/>
  <c r="S859" i="5"/>
  <c r="S823" i="5"/>
  <c r="AB823" i="5" s="1"/>
  <c r="S778" i="5"/>
  <c r="AB778" i="5" s="1"/>
  <c r="S750" i="5"/>
  <c r="S705" i="5"/>
  <c r="S675" i="5"/>
  <c r="S440" i="5"/>
  <c r="AB440" i="5" s="1"/>
  <c r="S392" i="5"/>
  <c r="S323" i="5"/>
  <c r="AB323" i="5" s="1"/>
  <c r="S204" i="5"/>
  <c r="S135" i="5"/>
  <c r="S18" i="5"/>
  <c r="AB18" i="5" s="1"/>
  <c r="S695" i="5"/>
  <c r="AB695" i="5" s="1"/>
  <c r="Q50" i="5"/>
  <c r="S50" i="5"/>
  <c r="Q154" i="5"/>
  <c r="S154" i="5"/>
  <c r="Q170" i="5"/>
  <c r="S170" i="5"/>
  <c r="AB170" i="5" s="1"/>
  <c r="Q306" i="5"/>
  <c r="S306" i="5"/>
  <c r="AB306" i="5" s="1"/>
  <c r="Q482" i="5"/>
  <c r="S482" i="5"/>
  <c r="Q570" i="5"/>
  <c r="S570" i="5"/>
  <c r="AB570" i="5" s="1"/>
  <c r="Q586" i="5"/>
  <c r="S586" i="5"/>
  <c r="AB586" i="5" s="1"/>
  <c r="Q674" i="5"/>
  <c r="S674" i="5"/>
  <c r="R468" i="5"/>
  <c r="S983" i="5"/>
  <c r="AB983" i="5" s="1"/>
  <c r="S961" i="5"/>
  <c r="AB961" i="5" s="1"/>
  <c r="S951" i="5"/>
  <c r="S929" i="5"/>
  <c r="S919" i="5"/>
  <c r="AB919" i="5" s="1"/>
  <c r="S906" i="5"/>
  <c r="S895" i="5"/>
  <c r="AB895" i="5" s="1"/>
  <c r="S870" i="5"/>
  <c r="AB870" i="5" s="1"/>
  <c r="S833" i="5"/>
  <c r="AB833" i="5" s="1"/>
  <c r="S822" i="5"/>
  <c r="AB822" i="5" s="1"/>
  <c r="S777" i="5"/>
  <c r="AB777" i="5" s="1"/>
  <c r="S749" i="5"/>
  <c r="AB749" i="5" s="1"/>
  <c r="S651" i="5"/>
  <c r="AB651" i="5" s="1"/>
  <c r="S614" i="5"/>
  <c r="S498" i="5"/>
  <c r="S391" i="5"/>
  <c r="AB391" i="5" s="1"/>
  <c r="S340" i="5"/>
  <c r="AB340" i="5" s="1"/>
  <c r="S274" i="5"/>
  <c r="S84" i="5"/>
  <c r="AB84" i="5" s="1"/>
  <c r="S16" i="5"/>
  <c r="AB16" i="5" s="1"/>
  <c r="Q423" i="5"/>
  <c r="S423" i="5"/>
  <c r="AB423" i="5" s="1"/>
  <c r="Q599" i="5"/>
  <c r="S599" i="5"/>
  <c r="AB599" i="5" s="1"/>
  <c r="S639" i="5"/>
  <c r="AB639" i="5" s="1"/>
  <c r="S119" i="5"/>
  <c r="Q51" i="5"/>
  <c r="S51" i="5"/>
  <c r="Q67" i="5"/>
  <c r="S67" i="5"/>
  <c r="Q203" i="5"/>
  <c r="S203" i="5"/>
  <c r="AB203" i="5" s="1"/>
  <c r="Q483" i="5"/>
  <c r="S483" i="5"/>
  <c r="AB483" i="5" s="1"/>
  <c r="Q555" i="5"/>
  <c r="S555" i="5"/>
  <c r="AB555" i="5" s="1"/>
  <c r="R715" i="5"/>
  <c r="S715" i="5"/>
  <c r="AB715" i="5" s="1"/>
  <c r="S1001" i="5"/>
  <c r="AB1001" i="5" s="1"/>
  <c r="S992" i="5"/>
  <c r="AB992" i="5" s="1"/>
  <c r="S982" i="5"/>
  <c r="AB982" i="5" s="1"/>
  <c r="S960" i="5"/>
  <c r="AB960" i="5" s="1"/>
  <c r="S950" i="5"/>
  <c r="AB950" i="5" s="1"/>
  <c r="S918" i="5"/>
  <c r="AB918" i="5" s="1"/>
  <c r="S905" i="5"/>
  <c r="AB905" i="5" s="1"/>
  <c r="S894" i="5"/>
  <c r="AB894" i="5" s="1"/>
  <c r="S869" i="5"/>
  <c r="AB869" i="5" s="1"/>
  <c r="S805" i="5"/>
  <c r="AB805" i="5" s="1"/>
  <c r="S731" i="5"/>
  <c r="AB731" i="5" s="1"/>
  <c r="S703" i="5"/>
  <c r="S650" i="5"/>
  <c r="S612" i="5"/>
  <c r="S572" i="5"/>
  <c r="AB572" i="5" s="1"/>
  <c r="S455" i="5"/>
  <c r="AB455" i="5" s="1"/>
  <c r="S410" i="5"/>
  <c r="S339" i="5"/>
  <c r="AB339" i="5" s="1"/>
  <c r="S223" i="5"/>
  <c r="AB223" i="5" s="1"/>
  <c r="S83" i="5"/>
  <c r="AB83" i="5" s="1"/>
  <c r="S34" i="5"/>
  <c r="AB34" i="5" s="1"/>
  <c r="Q359" i="5"/>
  <c r="S359" i="5"/>
  <c r="AB359" i="5" s="1"/>
  <c r="Q375" i="5"/>
  <c r="S375" i="5"/>
  <c r="AB375" i="5" s="1"/>
  <c r="Q100" i="5"/>
  <c r="S100" i="5"/>
  <c r="Q356" i="5"/>
  <c r="S356" i="5"/>
  <c r="AB356" i="5" s="1"/>
  <c r="Q452" i="5"/>
  <c r="S452" i="5"/>
  <c r="AB452" i="5" s="1"/>
  <c r="Q524" i="5"/>
  <c r="S524" i="5"/>
  <c r="AB524" i="5" s="1"/>
  <c r="Q556" i="5"/>
  <c r="S556" i="5"/>
  <c r="AB556" i="5" s="1"/>
  <c r="Q732" i="5"/>
  <c r="S732" i="5"/>
  <c r="AB732" i="5" s="1"/>
  <c r="Q740" i="5"/>
  <c r="S740" i="5"/>
  <c r="AB740" i="5" s="1"/>
  <c r="Q796" i="5"/>
  <c r="S796" i="5"/>
  <c r="AB796" i="5" s="1"/>
  <c r="Q804" i="5"/>
  <c r="S804" i="5"/>
  <c r="Q844" i="5"/>
  <c r="S844" i="5"/>
  <c r="AB844" i="5" s="1"/>
  <c r="Q852" i="5"/>
  <c r="S852" i="5"/>
  <c r="AB852" i="5" s="1"/>
  <c r="Q860" i="5"/>
  <c r="S860" i="5"/>
  <c r="Q868" i="5"/>
  <c r="S868" i="5"/>
  <c r="AB868" i="5" s="1"/>
  <c r="Q876" i="5"/>
  <c r="S876" i="5"/>
  <c r="AB876" i="5" s="1"/>
  <c r="Q884" i="5"/>
  <c r="S884" i="5"/>
  <c r="AB884" i="5" s="1"/>
  <c r="Q892" i="5"/>
  <c r="S892" i="5"/>
  <c r="AB892" i="5" s="1"/>
  <c r="Q900" i="5"/>
  <c r="S900" i="5"/>
  <c r="AB900" i="5" s="1"/>
  <c r="Q908" i="5"/>
  <c r="S908" i="5"/>
  <c r="AB908" i="5" s="1"/>
  <c r="Q916" i="5"/>
  <c r="S916" i="5"/>
  <c r="Q924" i="5"/>
  <c r="S924" i="5"/>
  <c r="R924" i="5"/>
  <c r="Q932" i="5"/>
  <c r="S932" i="5"/>
  <c r="Q940" i="5"/>
  <c r="S940" i="5"/>
  <c r="Q948" i="5"/>
  <c r="S948" i="5"/>
  <c r="Q956" i="5"/>
  <c r="S956" i="5"/>
  <c r="Q964" i="5"/>
  <c r="S964" i="5"/>
  <c r="AB964" i="5" s="1"/>
  <c r="Q972" i="5"/>
  <c r="S972" i="5"/>
  <c r="AB972" i="5" s="1"/>
  <c r="Q980" i="5"/>
  <c r="S980" i="5"/>
  <c r="AB980" i="5" s="1"/>
  <c r="Q988" i="5"/>
  <c r="S988" i="5"/>
  <c r="AB988" i="5" s="1"/>
  <c r="Q996" i="5"/>
  <c r="S996" i="5"/>
  <c r="AB996" i="5" s="1"/>
  <c r="S991" i="5"/>
  <c r="AB991" i="5" s="1"/>
  <c r="S969" i="5"/>
  <c r="AB969" i="5" s="1"/>
  <c r="S959" i="5"/>
  <c r="AB959" i="5" s="1"/>
  <c r="S937" i="5"/>
  <c r="S927" i="5"/>
  <c r="S915" i="5"/>
  <c r="S842" i="5"/>
  <c r="AB842" i="5" s="1"/>
  <c r="S831" i="5"/>
  <c r="AB831" i="5" s="1"/>
  <c r="S787" i="5"/>
  <c r="AB787" i="5" s="1"/>
  <c r="S759" i="5"/>
  <c r="S714" i="5"/>
  <c r="AB714" i="5" s="1"/>
  <c r="S686" i="5"/>
  <c r="AB686" i="5" s="1"/>
  <c r="S627" i="5"/>
  <c r="AB627" i="5" s="1"/>
  <c r="S571" i="5"/>
  <c r="AB571" i="5" s="1"/>
  <c r="S511" i="5"/>
  <c r="AB511" i="5" s="1"/>
  <c r="S290" i="5"/>
  <c r="S220" i="5"/>
  <c r="AB220" i="5" s="1"/>
  <c r="S103" i="5"/>
  <c r="S32" i="5"/>
  <c r="AB32" i="5" s="1"/>
  <c r="Q439" i="5"/>
  <c r="S439" i="5"/>
  <c r="AB439" i="5" s="1"/>
  <c r="Q543" i="5"/>
  <c r="S543" i="5"/>
  <c r="AB543" i="5" s="1"/>
  <c r="Q663" i="5"/>
  <c r="S663" i="5"/>
  <c r="S887" i="5"/>
  <c r="AB887" i="5" s="1"/>
  <c r="Q909" i="5"/>
  <c r="S909" i="5"/>
  <c r="Q917" i="5"/>
  <c r="S917" i="5"/>
  <c r="Q925" i="5"/>
  <c r="S925" i="5"/>
  <c r="Q933" i="5"/>
  <c r="S933" i="5"/>
  <c r="AB933" i="5" s="1"/>
  <c r="Q941" i="5"/>
  <c r="S941" i="5"/>
  <c r="AB941" i="5" s="1"/>
  <c r="Q949" i="5"/>
  <c r="S949" i="5"/>
  <c r="Q957" i="5"/>
  <c r="S957" i="5"/>
  <c r="Q965" i="5"/>
  <c r="S965" i="5"/>
  <c r="AB965" i="5" s="1"/>
  <c r="Q973" i="5"/>
  <c r="S973" i="5"/>
  <c r="AB973" i="5" s="1"/>
  <c r="Q981" i="5"/>
  <c r="S981" i="5"/>
  <c r="AB981" i="5" s="1"/>
  <c r="Q989" i="5"/>
  <c r="S989" i="5"/>
  <c r="AB989" i="5" s="1"/>
  <c r="S999" i="5"/>
  <c r="AB999" i="5" s="1"/>
  <c r="S990" i="5"/>
  <c r="AB990" i="5" s="1"/>
  <c r="S968" i="5"/>
  <c r="AB968" i="5" s="1"/>
  <c r="S958" i="5"/>
  <c r="S936" i="5"/>
  <c r="AB936" i="5" s="1"/>
  <c r="S926" i="5"/>
  <c r="AB926" i="5" s="1"/>
  <c r="S914" i="5"/>
  <c r="S903" i="5"/>
  <c r="S878" i="5"/>
  <c r="AB878" i="5" s="1"/>
  <c r="S841" i="5"/>
  <c r="AB841" i="5" s="1"/>
  <c r="S786" i="5"/>
  <c r="AB786" i="5" s="1"/>
  <c r="S758" i="5"/>
  <c r="AB758" i="5" s="1"/>
  <c r="S713" i="5"/>
  <c r="S685" i="5"/>
  <c r="AB685" i="5" s="1"/>
  <c r="S528" i="5"/>
  <c r="AB528" i="5" s="1"/>
  <c r="S468" i="5"/>
  <c r="AB468" i="5" s="1"/>
  <c r="S288" i="5"/>
  <c r="AB288" i="5" s="1"/>
  <c r="S239" i="5"/>
  <c r="S171" i="5"/>
  <c r="AB171" i="5" s="1"/>
  <c r="Q255" i="5"/>
  <c r="S255" i="5"/>
  <c r="Q862" i="5"/>
  <c r="S862" i="5"/>
  <c r="AB862" i="5" s="1"/>
  <c r="S998" i="5"/>
  <c r="AB998" i="5" s="1"/>
  <c r="S967" i="5"/>
  <c r="AB967" i="5" s="1"/>
  <c r="S945" i="5"/>
  <c r="AB945" i="5" s="1"/>
  <c r="S935" i="5"/>
  <c r="S923" i="5"/>
  <c r="S913" i="5"/>
  <c r="AB913" i="5" s="1"/>
  <c r="S902" i="5"/>
  <c r="AB902" i="5" s="1"/>
  <c r="S877" i="5"/>
  <c r="AB877" i="5" s="1"/>
  <c r="S851" i="5"/>
  <c r="S814" i="5"/>
  <c r="AB814" i="5" s="1"/>
  <c r="S769" i="5"/>
  <c r="AB769" i="5" s="1"/>
  <c r="S741" i="5"/>
  <c r="S662" i="5"/>
  <c r="S624" i="5"/>
  <c r="AB624" i="5" s="1"/>
  <c r="S584" i="5"/>
  <c r="AB584" i="5" s="1"/>
  <c r="S467" i="5"/>
  <c r="AB467" i="5" s="1"/>
  <c r="S426" i="5"/>
  <c r="AB426" i="5" s="1"/>
  <c r="S307" i="5"/>
  <c r="AB307" i="5" s="1"/>
  <c r="S236" i="5"/>
  <c r="AB236" i="5" s="1"/>
  <c r="S120" i="5"/>
  <c r="R989" i="5"/>
  <c r="R957" i="5"/>
  <c r="R988" i="5"/>
  <c r="R956" i="5"/>
  <c r="R906" i="5"/>
  <c r="R833" i="5"/>
  <c r="R410" i="5"/>
  <c r="R981" i="5"/>
  <c r="R949" i="5"/>
  <c r="R895" i="5"/>
  <c r="R796" i="5"/>
  <c r="R340" i="5"/>
  <c r="R1000" i="5"/>
  <c r="R980" i="5"/>
  <c r="R948" i="5"/>
  <c r="R887" i="5"/>
  <c r="R759" i="5"/>
  <c r="R274" i="5"/>
  <c r="R998" i="5"/>
  <c r="R973" i="5"/>
  <c r="R941" i="5"/>
  <c r="R886" i="5"/>
  <c r="R686" i="5"/>
  <c r="R204" i="5"/>
  <c r="R997" i="5"/>
  <c r="R972" i="5"/>
  <c r="R940" i="5"/>
  <c r="R878" i="5"/>
  <c r="R639" i="5"/>
  <c r="R136" i="5"/>
  <c r="R965" i="5"/>
  <c r="R933" i="5"/>
  <c r="R869" i="5"/>
  <c r="R586" i="5"/>
  <c r="R68" i="5"/>
  <c r="R990" i="5"/>
  <c r="R964" i="5"/>
  <c r="R932" i="5"/>
  <c r="R868" i="5"/>
  <c r="R528" i="5"/>
  <c r="S2" i="5"/>
  <c r="Q57" i="5"/>
  <c r="R57" i="5"/>
  <c r="Q97" i="5"/>
  <c r="R97" i="5"/>
  <c r="Q225" i="5"/>
  <c r="R225" i="5"/>
  <c r="Q249" i="5"/>
  <c r="R249" i="5"/>
  <c r="Q257" i="5"/>
  <c r="R257" i="5"/>
  <c r="Q305" i="5"/>
  <c r="R305" i="5"/>
  <c r="Q337" i="5"/>
  <c r="R337" i="5"/>
  <c r="Q369" i="5"/>
  <c r="R369" i="5"/>
  <c r="Q393" i="5"/>
  <c r="R393" i="5"/>
  <c r="Q401" i="5"/>
  <c r="R401" i="5"/>
  <c r="Q11" i="5"/>
  <c r="R11" i="5"/>
  <c r="Q35" i="5"/>
  <c r="R35" i="5"/>
  <c r="Q91" i="5"/>
  <c r="R91" i="5"/>
  <c r="Q107" i="5"/>
  <c r="R107" i="5"/>
  <c r="Q115" i="5"/>
  <c r="R115" i="5"/>
  <c r="Q211" i="5"/>
  <c r="R211" i="5"/>
  <c r="Q235" i="5"/>
  <c r="R235" i="5"/>
  <c r="Q379" i="5"/>
  <c r="R379" i="5"/>
  <c r="Q411" i="5"/>
  <c r="R411" i="5"/>
  <c r="R435" i="5"/>
  <c r="Q435" i="5"/>
  <c r="Q451" i="5"/>
  <c r="R451" i="5"/>
  <c r="Q475" i="5"/>
  <c r="R475" i="5"/>
  <c r="Q523" i="5"/>
  <c r="R523" i="5"/>
  <c r="Q531" i="5"/>
  <c r="R531" i="5"/>
  <c r="Q539" i="5"/>
  <c r="R539" i="5"/>
  <c r="Q587" i="5"/>
  <c r="R587" i="5"/>
  <c r="Q603" i="5"/>
  <c r="R603" i="5"/>
  <c r="Q611" i="5"/>
  <c r="R611" i="5"/>
  <c r="Q619" i="5"/>
  <c r="R619" i="5"/>
  <c r="Q659" i="5"/>
  <c r="R659" i="5"/>
  <c r="Q667" i="5"/>
  <c r="R667" i="5"/>
  <c r="Q691" i="5"/>
  <c r="R691" i="5"/>
  <c r="Q707" i="5"/>
  <c r="R707" i="5"/>
  <c r="Q747" i="5"/>
  <c r="R747" i="5"/>
  <c r="Q779" i="5"/>
  <c r="R779" i="5"/>
  <c r="Q803" i="5"/>
  <c r="R803" i="5"/>
  <c r="Q891" i="5"/>
  <c r="R891" i="5"/>
  <c r="Q931" i="5"/>
  <c r="R931" i="5"/>
  <c r="Q939" i="5"/>
  <c r="R939" i="5"/>
  <c r="Q947" i="5"/>
  <c r="R947" i="5"/>
  <c r="Q955" i="5"/>
  <c r="R955" i="5"/>
  <c r="Q963" i="5"/>
  <c r="R963" i="5"/>
  <c r="Q971" i="5"/>
  <c r="R971" i="5"/>
  <c r="Q979" i="5"/>
  <c r="R979" i="5"/>
  <c r="Q995" i="5"/>
  <c r="R995" i="5"/>
  <c r="R723" i="5"/>
  <c r="Q4" i="5"/>
  <c r="R4" i="5"/>
  <c r="Q12" i="5"/>
  <c r="R12" i="5"/>
  <c r="Q20" i="5"/>
  <c r="R20" i="5"/>
  <c r="Q28" i="5"/>
  <c r="R28" i="5"/>
  <c r="Q36" i="5"/>
  <c r="R36" i="5"/>
  <c r="Q44" i="5"/>
  <c r="R44" i="5"/>
  <c r="Q52" i="5"/>
  <c r="R52" i="5"/>
  <c r="Q60" i="5"/>
  <c r="R60" i="5"/>
  <c r="Q76" i="5"/>
  <c r="R76" i="5"/>
  <c r="Q92" i="5"/>
  <c r="R92" i="5"/>
  <c r="Q108" i="5"/>
  <c r="R108" i="5"/>
  <c r="Q116" i="5"/>
  <c r="R116" i="5"/>
  <c r="Q124" i="5"/>
  <c r="R124" i="5"/>
  <c r="Q132" i="5"/>
  <c r="R132" i="5"/>
  <c r="Q140" i="5"/>
  <c r="R140" i="5"/>
  <c r="Q148" i="5"/>
  <c r="R148" i="5"/>
  <c r="Q156" i="5"/>
  <c r="R156" i="5"/>
  <c r="Q164" i="5"/>
  <c r="R164" i="5"/>
  <c r="Q172" i="5"/>
  <c r="R172" i="5"/>
  <c r="Q180" i="5"/>
  <c r="R180" i="5"/>
  <c r="Q188" i="5"/>
  <c r="R188" i="5"/>
  <c r="Q196" i="5"/>
  <c r="R196" i="5"/>
  <c r="Q212" i="5"/>
  <c r="R212" i="5"/>
  <c r="Q228" i="5"/>
  <c r="R228" i="5"/>
  <c r="Q244" i="5"/>
  <c r="R244" i="5"/>
  <c r="Q252" i="5"/>
  <c r="R252" i="5"/>
  <c r="Q260" i="5"/>
  <c r="R260" i="5"/>
  <c r="Q268" i="5"/>
  <c r="R268" i="5"/>
  <c r="Q276" i="5"/>
  <c r="R276" i="5"/>
  <c r="Q284" i="5"/>
  <c r="R284" i="5"/>
  <c r="Q292" i="5"/>
  <c r="R292" i="5"/>
  <c r="Q300" i="5"/>
  <c r="R300" i="5"/>
  <c r="Q308" i="5"/>
  <c r="R308" i="5"/>
  <c r="Q316" i="5"/>
  <c r="R316" i="5"/>
  <c r="Q332" i="5"/>
  <c r="R332" i="5"/>
  <c r="Q348" i="5"/>
  <c r="R348" i="5"/>
  <c r="Q364" i="5"/>
  <c r="R364" i="5"/>
  <c r="Q372" i="5"/>
  <c r="R372" i="5"/>
  <c r="Q380" i="5"/>
  <c r="R380" i="5"/>
  <c r="Q388" i="5"/>
  <c r="R388" i="5"/>
  <c r="Q396" i="5"/>
  <c r="R396" i="5"/>
  <c r="Q404" i="5"/>
  <c r="R404" i="5"/>
  <c r="Q412" i="5"/>
  <c r="R412" i="5"/>
  <c r="Q420" i="5"/>
  <c r="R420" i="5"/>
  <c r="Q428" i="5"/>
  <c r="R428" i="5"/>
  <c r="Q436" i="5"/>
  <c r="R436" i="5"/>
  <c r="Q444" i="5"/>
  <c r="R444" i="5"/>
  <c r="Q460" i="5"/>
  <c r="R460" i="5"/>
  <c r="Q476" i="5"/>
  <c r="R476" i="5"/>
  <c r="Q484" i="5"/>
  <c r="R484" i="5"/>
  <c r="Q492" i="5"/>
  <c r="R492" i="5"/>
  <c r="Q500" i="5"/>
  <c r="R500" i="5"/>
  <c r="Q508" i="5"/>
  <c r="R508" i="5"/>
  <c r="Q516" i="5"/>
  <c r="R516" i="5"/>
  <c r="Q532" i="5"/>
  <c r="R532" i="5"/>
  <c r="Q548" i="5"/>
  <c r="R548" i="5"/>
  <c r="Q564" i="5"/>
  <c r="R564" i="5"/>
  <c r="Q580" i="5"/>
  <c r="R580" i="5"/>
  <c r="Q588" i="5"/>
  <c r="R588" i="5"/>
  <c r="Q596" i="5"/>
  <c r="R596" i="5"/>
  <c r="Q604" i="5"/>
  <c r="R604" i="5"/>
  <c r="Q620" i="5"/>
  <c r="R620" i="5"/>
  <c r="Q628" i="5"/>
  <c r="R628" i="5"/>
  <c r="Q636" i="5"/>
  <c r="R636" i="5"/>
  <c r="Q644" i="5"/>
  <c r="R644" i="5"/>
  <c r="Q652" i="5"/>
  <c r="R652" i="5"/>
  <c r="Q660" i="5"/>
  <c r="R660" i="5"/>
  <c r="Q668" i="5"/>
  <c r="R668" i="5"/>
  <c r="Q676" i="5"/>
  <c r="R676" i="5"/>
  <c r="Q684" i="5"/>
  <c r="R684" i="5"/>
  <c r="Q692" i="5"/>
  <c r="R692" i="5"/>
  <c r="Q700" i="5"/>
  <c r="R700" i="5"/>
  <c r="Q708" i="5"/>
  <c r="R708" i="5"/>
  <c r="Q716" i="5"/>
  <c r="R716" i="5"/>
  <c r="Q724" i="5"/>
  <c r="R724" i="5"/>
  <c r="Q748" i="5"/>
  <c r="R748" i="5"/>
  <c r="Q756" i="5"/>
  <c r="R756" i="5"/>
  <c r="Q764" i="5"/>
  <c r="R764" i="5"/>
  <c r="Q772" i="5"/>
  <c r="R772" i="5"/>
  <c r="Q780" i="5"/>
  <c r="R780" i="5"/>
  <c r="Q788" i="5"/>
  <c r="R788" i="5"/>
  <c r="Q812" i="5"/>
  <c r="R812" i="5"/>
  <c r="Q820" i="5"/>
  <c r="R820" i="5"/>
  <c r="Q828" i="5"/>
  <c r="R828" i="5"/>
  <c r="Q836" i="5"/>
  <c r="R836" i="5"/>
  <c r="R905" i="5"/>
  <c r="R831" i="5"/>
  <c r="R795" i="5"/>
  <c r="R758" i="5"/>
  <c r="R722" i="5"/>
  <c r="R685" i="5"/>
  <c r="R638" i="5"/>
  <c r="R584" i="5"/>
  <c r="R524" i="5"/>
  <c r="R467" i="5"/>
  <c r="R408" i="5"/>
  <c r="R339" i="5"/>
  <c r="R272" i="5"/>
  <c r="R203" i="5"/>
  <c r="R135" i="5"/>
  <c r="R67" i="5"/>
  <c r="Q17" i="5"/>
  <c r="R17" i="5"/>
  <c r="Q113" i="5"/>
  <c r="R113" i="5"/>
  <c r="Q137" i="5"/>
  <c r="R137" i="5"/>
  <c r="Q265" i="5"/>
  <c r="R265" i="5"/>
  <c r="Q313" i="5"/>
  <c r="R313" i="5"/>
  <c r="Q361" i="5"/>
  <c r="R361" i="5"/>
  <c r="Q59" i="5"/>
  <c r="R59" i="5"/>
  <c r="Q75" i="5"/>
  <c r="R75" i="5"/>
  <c r="Q131" i="5"/>
  <c r="R131" i="5"/>
  <c r="Q163" i="5"/>
  <c r="R163" i="5"/>
  <c r="Q227" i="5"/>
  <c r="R227" i="5"/>
  <c r="Q251" i="5"/>
  <c r="R251" i="5"/>
  <c r="Q259" i="5"/>
  <c r="R259" i="5"/>
  <c r="Q275" i="5"/>
  <c r="R275" i="5"/>
  <c r="Q291" i="5"/>
  <c r="R291" i="5"/>
  <c r="Q363" i="5"/>
  <c r="R363" i="5"/>
  <c r="Q387" i="5"/>
  <c r="R387" i="5"/>
  <c r="Q395" i="5"/>
  <c r="R395" i="5"/>
  <c r="Q443" i="5"/>
  <c r="R443" i="5"/>
  <c r="Q507" i="5"/>
  <c r="R507" i="5"/>
  <c r="Q515" i="5"/>
  <c r="R515" i="5"/>
  <c r="Q547" i="5"/>
  <c r="R547" i="5"/>
  <c r="Q595" i="5"/>
  <c r="R595" i="5"/>
  <c r="Q755" i="5"/>
  <c r="R755" i="5"/>
  <c r="Q811" i="5"/>
  <c r="R811" i="5"/>
  <c r="Q835" i="5"/>
  <c r="R835" i="5"/>
  <c r="R843" i="5"/>
  <c r="Q843" i="5"/>
  <c r="Q899" i="5"/>
  <c r="R899" i="5"/>
  <c r="Q907" i="5"/>
  <c r="R907" i="5"/>
  <c r="Q5" i="5"/>
  <c r="R5" i="5"/>
  <c r="Q13" i="5"/>
  <c r="R13" i="5"/>
  <c r="Q21" i="5"/>
  <c r="R21" i="5"/>
  <c r="Q29" i="5"/>
  <c r="R29" i="5"/>
  <c r="Q37" i="5"/>
  <c r="R37" i="5"/>
  <c r="Q45" i="5"/>
  <c r="R45" i="5"/>
  <c r="Q53" i="5"/>
  <c r="R53" i="5"/>
  <c r="Q61" i="5"/>
  <c r="R61" i="5"/>
  <c r="Q69" i="5"/>
  <c r="R69" i="5"/>
  <c r="Q77" i="5"/>
  <c r="R77" i="5"/>
  <c r="Q85" i="5"/>
  <c r="R85" i="5"/>
  <c r="Q93" i="5"/>
  <c r="R93" i="5"/>
  <c r="Q101" i="5"/>
  <c r="R101" i="5"/>
  <c r="Q109" i="5"/>
  <c r="R109" i="5"/>
  <c r="Q117" i="5"/>
  <c r="R117" i="5"/>
  <c r="Q125" i="5"/>
  <c r="R125" i="5"/>
  <c r="Q133" i="5"/>
  <c r="R133" i="5"/>
  <c r="Q141" i="5"/>
  <c r="R141" i="5"/>
  <c r="Q149" i="5"/>
  <c r="R149" i="5"/>
  <c r="Q157" i="5"/>
  <c r="R157" i="5"/>
  <c r="Q165" i="5"/>
  <c r="R165" i="5"/>
  <c r="Q173" i="5"/>
  <c r="R173" i="5"/>
  <c r="Q181" i="5"/>
  <c r="R181" i="5"/>
  <c r="Q189" i="5"/>
  <c r="R189" i="5"/>
  <c r="Q197" i="5"/>
  <c r="R197" i="5"/>
  <c r="Q205" i="5"/>
  <c r="R205" i="5"/>
  <c r="Q213" i="5"/>
  <c r="R213" i="5"/>
  <c r="Q221" i="5"/>
  <c r="R221" i="5"/>
  <c r="Q229" i="5"/>
  <c r="R229" i="5"/>
  <c r="Q237" i="5"/>
  <c r="R237" i="5"/>
  <c r="Q245" i="5"/>
  <c r="R245" i="5"/>
  <c r="Q253" i="5"/>
  <c r="R253" i="5"/>
  <c r="Q261" i="5"/>
  <c r="R261" i="5"/>
  <c r="Q269" i="5"/>
  <c r="R269" i="5"/>
  <c r="Q277" i="5"/>
  <c r="R277" i="5"/>
  <c r="Q285" i="5"/>
  <c r="R285" i="5"/>
  <c r="Q293" i="5"/>
  <c r="R293" i="5"/>
  <c r="Q301" i="5"/>
  <c r="R301" i="5"/>
  <c r="Q309" i="5"/>
  <c r="R309" i="5"/>
  <c r="Q317" i="5"/>
  <c r="R317" i="5"/>
  <c r="Q325" i="5"/>
  <c r="R325" i="5"/>
  <c r="Q333" i="5"/>
  <c r="R333" i="5"/>
  <c r="Q341" i="5"/>
  <c r="R341" i="5"/>
  <c r="Q349" i="5"/>
  <c r="R349" i="5"/>
  <c r="Q357" i="5"/>
  <c r="R357" i="5"/>
  <c r="Q365" i="5"/>
  <c r="R365" i="5"/>
  <c r="Q373" i="5"/>
  <c r="R373" i="5"/>
  <c r="Q381" i="5"/>
  <c r="R381" i="5"/>
  <c r="Q389" i="5"/>
  <c r="R389" i="5"/>
  <c r="Q397" i="5"/>
  <c r="R397" i="5"/>
  <c r="Q405" i="5"/>
  <c r="R405" i="5"/>
  <c r="Q413" i="5"/>
  <c r="R413" i="5"/>
  <c r="Q421" i="5"/>
  <c r="R421" i="5"/>
  <c r="Q429" i="5"/>
  <c r="R429" i="5"/>
  <c r="Q437" i="5"/>
  <c r="R437" i="5"/>
  <c r="Q445" i="5"/>
  <c r="R445" i="5"/>
  <c r="Q453" i="5"/>
  <c r="R453" i="5"/>
  <c r="Q461" i="5"/>
  <c r="R461" i="5"/>
  <c r="Q469" i="5"/>
  <c r="R469" i="5"/>
  <c r="Q477" i="5"/>
  <c r="R477" i="5"/>
  <c r="Q485" i="5"/>
  <c r="R485" i="5"/>
  <c r="Q493" i="5"/>
  <c r="R493" i="5"/>
  <c r="Q501" i="5"/>
  <c r="R501" i="5"/>
  <c r="Q509" i="5"/>
  <c r="R509" i="5"/>
  <c r="Q517" i="5"/>
  <c r="R517" i="5"/>
  <c r="Q525" i="5"/>
  <c r="R525" i="5"/>
  <c r="Q533" i="5"/>
  <c r="R533" i="5"/>
  <c r="Q541" i="5"/>
  <c r="R541" i="5"/>
  <c r="Q549" i="5"/>
  <c r="R549" i="5"/>
  <c r="Q557" i="5"/>
  <c r="R557" i="5"/>
  <c r="Q565" i="5"/>
  <c r="R565" i="5"/>
  <c r="Q573" i="5"/>
  <c r="R573" i="5"/>
  <c r="Q581" i="5"/>
  <c r="R581" i="5"/>
  <c r="Q589" i="5"/>
  <c r="R589" i="5"/>
  <c r="Q597" i="5"/>
  <c r="R597" i="5"/>
  <c r="Q605" i="5"/>
  <c r="R605" i="5"/>
  <c r="Q613" i="5"/>
  <c r="R613" i="5"/>
  <c r="Q621" i="5"/>
  <c r="R621" i="5"/>
  <c r="Q629" i="5"/>
  <c r="R629" i="5"/>
  <c r="Q637" i="5"/>
  <c r="R637" i="5"/>
  <c r="Q645" i="5"/>
  <c r="R645" i="5"/>
  <c r="Q653" i="5"/>
  <c r="R653" i="5"/>
  <c r="Q661" i="5"/>
  <c r="R661" i="5"/>
  <c r="Q669" i="5"/>
  <c r="R669" i="5"/>
  <c r="Q677" i="5"/>
  <c r="R677" i="5"/>
  <c r="Q693" i="5"/>
  <c r="R693" i="5"/>
  <c r="Q701" i="5"/>
  <c r="R701" i="5"/>
  <c r="Q709" i="5"/>
  <c r="R709" i="5"/>
  <c r="Q717" i="5"/>
  <c r="R717" i="5"/>
  <c r="Q725" i="5"/>
  <c r="R725" i="5"/>
  <c r="Q733" i="5"/>
  <c r="R733" i="5"/>
  <c r="Q757" i="5"/>
  <c r="R757" i="5"/>
  <c r="Q765" i="5"/>
  <c r="R765" i="5"/>
  <c r="Q773" i="5"/>
  <c r="R773" i="5"/>
  <c r="Q781" i="5"/>
  <c r="R781" i="5"/>
  <c r="Q789" i="5"/>
  <c r="R789" i="5"/>
  <c r="Q797" i="5"/>
  <c r="R797" i="5"/>
  <c r="Q821" i="5"/>
  <c r="R821" i="5"/>
  <c r="Q829" i="5"/>
  <c r="R829" i="5"/>
  <c r="Q837" i="5"/>
  <c r="R837" i="5"/>
  <c r="Q845" i="5"/>
  <c r="R845" i="5"/>
  <c r="Q853" i="5"/>
  <c r="R853" i="5"/>
  <c r="Q861" i="5"/>
  <c r="R861" i="5"/>
  <c r="Q885" i="5"/>
  <c r="R885" i="5"/>
  <c r="Q893" i="5"/>
  <c r="R893" i="5"/>
  <c r="Q901" i="5"/>
  <c r="R901" i="5"/>
  <c r="R897" i="5"/>
  <c r="R823" i="5"/>
  <c r="R787" i="5"/>
  <c r="R750" i="5"/>
  <c r="R714" i="5"/>
  <c r="R675" i="5"/>
  <c r="R627" i="5"/>
  <c r="R571" i="5"/>
  <c r="R512" i="5"/>
  <c r="R455" i="5"/>
  <c r="R392" i="5"/>
  <c r="R324" i="5"/>
  <c r="R256" i="5"/>
  <c r="R187" i="5"/>
  <c r="R120" i="5"/>
  <c r="R51" i="5"/>
  <c r="Q33" i="5"/>
  <c r="R33" i="5"/>
  <c r="Q49" i="5"/>
  <c r="R49" i="5"/>
  <c r="Q177" i="5"/>
  <c r="R177" i="5"/>
  <c r="Q281" i="5"/>
  <c r="R281" i="5"/>
  <c r="Q321" i="5"/>
  <c r="R321" i="5"/>
  <c r="Q345" i="5"/>
  <c r="R345" i="5"/>
  <c r="Q385" i="5"/>
  <c r="R385" i="5"/>
  <c r="Q19" i="5"/>
  <c r="R19" i="5"/>
  <c r="Q27" i="5"/>
  <c r="R27" i="5"/>
  <c r="Q43" i="5"/>
  <c r="R43" i="5"/>
  <c r="Q155" i="5"/>
  <c r="R155" i="5"/>
  <c r="Q179" i="5"/>
  <c r="R179" i="5"/>
  <c r="Q195" i="5"/>
  <c r="R195" i="5"/>
  <c r="Q243" i="5"/>
  <c r="R243" i="5"/>
  <c r="Q267" i="5"/>
  <c r="R267" i="5"/>
  <c r="Q283" i="5"/>
  <c r="R283" i="5"/>
  <c r="Q355" i="5"/>
  <c r="R355" i="5"/>
  <c r="Q491" i="5"/>
  <c r="R491" i="5"/>
  <c r="Q683" i="5"/>
  <c r="R683" i="5"/>
  <c r="Q819" i="5"/>
  <c r="R819" i="5"/>
  <c r="Q827" i="5"/>
  <c r="R827" i="5"/>
  <c r="Q6" i="5"/>
  <c r="R6" i="5"/>
  <c r="Q14" i="5"/>
  <c r="R14" i="5"/>
  <c r="Q22" i="5"/>
  <c r="R22" i="5"/>
  <c r="Q30" i="5"/>
  <c r="R30" i="5"/>
  <c r="Q38" i="5"/>
  <c r="R38" i="5"/>
  <c r="Q46" i="5"/>
  <c r="R46" i="5"/>
  <c r="Q54" i="5"/>
  <c r="R54" i="5"/>
  <c r="Q62" i="5"/>
  <c r="R62" i="5"/>
  <c r="Q70" i="5"/>
  <c r="R70" i="5"/>
  <c r="Q78" i="5"/>
  <c r="R78" i="5"/>
  <c r="Q86" i="5"/>
  <c r="R86" i="5"/>
  <c r="Q94" i="5"/>
  <c r="R94" i="5"/>
  <c r="Q102" i="5"/>
  <c r="R102" i="5"/>
  <c r="Q110" i="5"/>
  <c r="R110" i="5"/>
  <c r="Q118" i="5"/>
  <c r="R118" i="5"/>
  <c r="Q126" i="5"/>
  <c r="R126" i="5"/>
  <c r="Q134" i="5"/>
  <c r="R134" i="5"/>
  <c r="Q142" i="5"/>
  <c r="R142" i="5"/>
  <c r="Q150" i="5"/>
  <c r="R150" i="5"/>
  <c r="Q158" i="5"/>
  <c r="R158" i="5"/>
  <c r="Q166" i="5"/>
  <c r="R166" i="5"/>
  <c r="Q174" i="5"/>
  <c r="R174" i="5"/>
  <c r="Q182" i="5"/>
  <c r="R182" i="5"/>
  <c r="Q190" i="5"/>
  <c r="R190" i="5"/>
  <c r="Q198" i="5"/>
  <c r="R198" i="5"/>
  <c r="Q206" i="5"/>
  <c r="R206" i="5"/>
  <c r="Q214" i="5"/>
  <c r="R214" i="5"/>
  <c r="Q222" i="5"/>
  <c r="R222" i="5"/>
  <c r="Q230" i="5"/>
  <c r="R230" i="5"/>
  <c r="Q238" i="5"/>
  <c r="R238" i="5"/>
  <c r="Q246" i="5"/>
  <c r="R246" i="5"/>
  <c r="Q254" i="5"/>
  <c r="R254" i="5"/>
  <c r="Q262" i="5"/>
  <c r="R262" i="5"/>
  <c r="Q270" i="5"/>
  <c r="R270" i="5"/>
  <c r="Q278" i="5"/>
  <c r="R278" i="5"/>
  <c r="Q286" i="5"/>
  <c r="R286" i="5"/>
  <c r="Q294" i="5"/>
  <c r="R294" i="5"/>
  <c r="Q302" i="5"/>
  <c r="R302" i="5"/>
  <c r="Q310" i="5"/>
  <c r="R310" i="5"/>
  <c r="Q318" i="5"/>
  <c r="R318" i="5"/>
  <c r="Q326" i="5"/>
  <c r="R326" i="5"/>
  <c r="Q334" i="5"/>
  <c r="R334" i="5"/>
  <c r="Q342" i="5"/>
  <c r="R342" i="5"/>
  <c r="Q350" i="5"/>
  <c r="R350" i="5"/>
  <c r="Q358" i="5"/>
  <c r="R358" i="5"/>
  <c r="Q366" i="5"/>
  <c r="R366" i="5"/>
  <c r="Q374" i="5"/>
  <c r="R374" i="5"/>
  <c r="Q382" i="5"/>
  <c r="R382" i="5"/>
  <c r="Q390" i="5"/>
  <c r="R390" i="5"/>
  <c r="Q398" i="5"/>
  <c r="R398" i="5"/>
  <c r="Q406" i="5"/>
  <c r="R406" i="5"/>
  <c r="Q414" i="5"/>
  <c r="R414" i="5"/>
  <c r="Q422" i="5"/>
  <c r="R422" i="5"/>
  <c r="Q430" i="5"/>
  <c r="R430" i="5"/>
  <c r="Q438" i="5"/>
  <c r="R438" i="5"/>
  <c r="Q446" i="5"/>
  <c r="R446" i="5"/>
  <c r="Q454" i="5"/>
  <c r="R454" i="5"/>
  <c r="Q462" i="5"/>
  <c r="R462" i="5"/>
  <c r="Q470" i="5"/>
  <c r="R470" i="5"/>
  <c r="Q478" i="5"/>
  <c r="R478" i="5"/>
  <c r="Q486" i="5"/>
  <c r="R486" i="5"/>
  <c r="Q494" i="5"/>
  <c r="R494" i="5"/>
  <c r="Q502" i="5"/>
  <c r="R502" i="5"/>
  <c r="Q510" i="5"/>
  <c r="R510" i="5"/>
  <c r="Q518" i="5"/>
  <c r="R518" i="5"/>
  <c r="Q526" i="5"/>
  <c r="R526" i="5"/>
  <c r="Q534" i="5"/>
  <c r="R534" i="5"/>
  <c r="Q542" i="5"/>
  <c r="R542" i="5"/>
  <c r="Q550" i="5"/>
  <c r="R550" i="5"/>
  <c r="Q558" i="5"/>
  <c r="R558" i="5"/>
  <c r="Q566" i="5"/>
  <c r="R566" i="5"/>
  <c r="Q574" i="5"/>
  <c r="R574" i="5"/>
  <c r="Q582" i="5"/>
  <c r="R582" i="5"/>
  <c r="Q590" i="5"/>
  <c r="R590" i="5"/>
  <c r="Q598" i="5"/>
  <c r="R598" i="5"/>
  <c r="Q606" i="5"/>
  <c r="R606" i="5"/>
  <c r="Q622" i="5"/>
  <c r="R622" i="5"/>
  <c r="Q630" i="5"/>
  <c r="R630" i="5"/>
  <c r="Q646" i="5"/>
  <c r="R646" i="5"/>
  <c r="Q654" i="5"/>
  <c r="R654" i="5"/>
  <c r="Q670" i="5"/>
  <c r="R670" i="5"/>
  <c r="Q678" i="5"/>
  <c r="R678" i="5"/>
  <c r="Q702" i="5"/>
  <c r="R702" i="5"/>
  <c r="Q710" i="5"/>
  <c r="R710" i="5"/>
  <c r="Q718" i="5"/>
  <c r="R718" i="5"/>
  <c r="Q726" i="5"/>
  <c r="R726" i="5"/>
  <c r="Q734" i="5"/>
  <c r="R734" i="5"/>
  <c r="Q742" i="5"/>
  <c r="R742" i="5"/>
  <c r="Q766" i="5"/>
  <c r="R766" i="5"/>
  <c r="Q774" i="5"/>
  <c r="R774" i="5"/>
  <c r="Q782" i="5"/>
  <c r="R782" i="5"/>
  <c r="Q790" i="5"/>
  <c r="R790" i="5"/>
  <c r="Q798" i="5"/>
  <c r="R798" i="5"/>
  <c r="Q806" i="5"/>
  <c r="R806" i="5"/>
  <c r="Q830" i="5"/>
  <c r="R830" i="5"/>
  <c r="Q838" i="5"/>
  <c r="R838" i="5"/>
  <c r="Q846" i="5"/>
  <c r="R846" i="5"/>
  <c r="Q854" i="5"/>
  <c r="R854" i="5"/>
  <c r="R859" i="5"/>
  <c r="R822" i="5"/>
  <c r="R786" i="5"/>
  <c r="R749" i="5"/>
  <c r="R713" i="5"/>
  <c r="R674" i="5"/>
  <c r="R624" i="5"/>
  <c r="R570" i="5"/>
  <c r="R511" i="5"/>
  <c r="R452" i="5"/>
  <c r="R391" i="5"/>
  <c r="R323" i="5"/>
  <c r="R255" i="5"/>
  <c r="R186" i="5"/>
  <c r="R119" i="5"/>
  <c r="R50" i="5"/>
  <c r="Q9" i="5"/>
  <c r="R9" i="5"/>
  <c r="Q41" i="5"/>
  <c r="R41" i="5"/>
  <c r="Q65" i="5"/>
  <c r="R65" i="5"/>
  <c r="Q81" i="5"/>
  <c r="R81" i="5"/>
  <c r="Q241" i="5"/>
  <c r="R241" i="5"/>
  <c r="Q289" i="5"/>
  <c r="R289" i="5"/>
  <c r="Q353" i="5"/>
  <c r="R353" i="5"/>
  <c r="Q99" i="5"/>
  <c r="R99" i="5"/>
  <c r="Q123" i="5"/>
  <c r="R123" i="5"/>
  <c r="Q419" i="5"/>
  <c r="R419" i="5"/>
  <c r="Q427" i="5"/>
  <c r="R427" i="5"/>
  <c r="Q459" i="5"/>
  <c r="R459" i="5"/>
  <c r="Q579" i="5"/>
  <c r="R579" i="5"/>
  <c r="Q635" i="5"/>
  <c r="R635" i="5"/>
  <c r="Q643" i="5"/>
  <c r="R643" i="5"/>
  <c r="Q699" i="5"/>
  <c r="R699" i="5"/>
  <c r="Q763" i="5"/>
  <c r="R763" i="5"/>
  <c r="Q771" i="5"/>
  <c r="R771" i="5"/>
  <c r="Q23" i="5"/>
  <c r="R23" i="5"/>
  <c r="Q39" i="5"/>
  <c r="R39" i="5"/>
  <c r="Q47" i="5"/>
  <c r="R47" i="5"/>
  <c r="Q55" i="5"/>
  <c r="R55" i="5"/>
  <c r="Q63" i="5"/>
  <c r="R63" i="5"/>
  <c r="Q71" i="5"/>
  <c r="R71" i="5"/>
  <c r="Q79" i="5"/>
  <c r="R79" i="5"/>
  <c r="Q95" i="5"/>
  <c r="R95" i="5"/>
  <c r="Q111" i="5"/>
  <c r="R111" i="5"/>
  <c r="Q127" i="5"/>
  <c r="R127" i="5"/>
  <c r="Q143" i="5"/>
  <c r="R143" i="5"/>
  <c r="Q151" i="5"/>
  <c r="R151" i="5"/>
  <c r="Q159" i="5"/>
  <c r="R159" i="5"/>
  <c r="Q167" i="5"/>
  <c r="R167" i="5"/>
  <c r="Q175" i="5"/>
  <c r="R175" i="5"/>
  <c r="Q183" i="5"/>
  <c r="R183" i="5"/>
  <c r="Q191" i="5"/>
  <c r="R191" i="5"/>
  <c r="Q199" i="5"/>
  <c r="R199" i="5"/>
  <c r="Q207" i="5"/>
  <c r="R207" i="5"/>
  <c r="Q215" i="5"/>
  <c r="R215" i="5"/>
  <c r="Q231" i="5"/>
  <c r="R231" i="5"/>
  <c r="Q247" i="5"/>
  <c r="R247" i="5"/>
  <c r="Q263" i="5"/>
  <c r="R263" i="5"/>
  <c r="Q271" i="5"/>
  <c r="R271" i="5"/>
  <c r="Q279" i="5"/>
  <c r="R279" i="5"/>
  <c r="Q287" i="5"/>
  <c r="R287" i="5"/>
  <c r="Q295" i="5"/>
  <c r="R295" i="5"/>
  <c r="Q303" i="5"/>
  <c r="R303" i="5"/>
  <c r="Q311" i="5"/>
  <c r="R311" i="5"/>
  <c r="Q319" i="5"/>
  <c r="R319" i="5"/>
  <c r="Q327" i="5"/>
  <c r="R327" i="5"/>
  <c r="Q335" i="5"/>
  <c r="R335" i="5"/>
  <c r="Q343" i="5"/>
  <c r="R343" i="5"/>
  <c r="Q351" i="5"/>
  <c r="R351" i="5"/>
  <c r="Q367" i="5"/>
  <c r="R367" i="5"/>
  <c r="Q383" i="5"/>
  <c r="R383" i="5"/>
  <c r="Q399" i="5"/>
  <c r="R399" i="5"/>
  <c r="Q407" i="5"/>
  <c r="R407" i="5"/>
  <c r="Q415" i="5"/>
  <c r="R415" i="5"/>
  <c r="Q431" i="5"/>
  <c r="R431" i="5"/>
  <c r="Q447" i="5"/>
  <c r="R447" i="5"/>
  <c r="Q463" i="5"/>
  <c r="R463" i="5"/>
  <c r="Q471" i="5"/>
  <c r="R471" i="5"/>
  <c r="Q479" i="5"/>
  <c r="R479" i="5"/>
  <c r="Q487" i="5"/>
  <c r="R487" i="5"/>
  <c r="Q495" i="5"/>
  <c r="R495" i="5"/>
  <c r="Q503" i="5"/>
  <c r="R503" i="5"/>
  <c r="Q519" i="5"/>
  <c r="R519" i="5"/>
  <c r="Q527" i="5"/>
  <c r="R527" i="5"/>
  <c r="Q535" i="5"/>
  <c r="R535" i="5"/>
  <c r="Q551" i="5"/>
  <c r="R551" i="5"/>
  <c r="Q559" i="5"/>
  <c r="R559" i="5"/>
  <c r="Q567" i="5"/>
  <c r="R567" i="5"/>
  <c r="Q575" i="5"/>
  <c r="R575" i="5"/>
  <c r="Q583" i="5"/>
  <c r="R583" i="5"/>
  <c r="Q591" i="5"/>
  <c r="R591" i="5"/>
  <c r="Q607" i="5"/>
  <c r="R607" i="5"/>
  <c r="Q615" i="5"/>
  <c r="R615" i="5"/>
  <c r="Q623" i="5"/>
  <c r="R623" i="5"/>
  <c r="Q631" i="5"/>
  <c r="R631" i="5"/>
  <c r="Q647" i="5"/>
  <c r="R647" i="5"/>
  <c r="Q655" i="5"/>
  <c r="R655" i="5"/>
  <c r="Q671" i="5"/>
  <c r="R671" i="5"/>
  <c r="Q679" i="5"/>
  <c r="R679" i="5"/>
  <c r="Q687" i="5"/>
  <c r="R687" i="5"/>
  <c r="Q711" i="5"/>
  <c r="R711" i="5"/>
  <c r="Q719" i="5"/>
  <c r="R719" i="5"/>
  <c r="Q727" i="5"/>
  <c r="R727" i="5"/>
  <c r="Q735" i="5"/>
  <c r="R735" i="5"/>
  <c r="Q743" i="5"/>
  <c r="R743" i="5"/>
  <c r="Q751" i="5"/>
  <c r="R751" i="5"/>
  <c r="Q775" i="5"/>
  <c r="R775" i="5"/>
  <c r="Q783" i="5"/>
  <c r="R783" i="5"/>
  <c r="Q791" i="5"/>
  <c r="R791" i="5"/>
  <c r="Q799" i="5"/>
  <c r="R799" i="5"/>
  <c r="Q807" i="5"/>
  <c r="R807" i="5"/>
  <c r="Q815" i="5"/>
  <c r="R815" i="5"/>
  <c r="Q839" i="5"/>
  <c r="R839" i="5"/>
  <c r="Q847" i="5"/>
  <c r="R847" i="5"/>
  <c r="Q855" i="5"/>
  <c r="R855" i="5"/>
  <c r="Q863" i="5"/>
  <c r="R863" i="5"/>
  <c r="Q871" i="5"/>
  <c r="R871" i="5"/>
  <c r="Q879" i="5"/>
  <c r="R879" i="5"/>
  <c r="R851" i="5"/>
  <c r="R814" i="5"/>
  <c r="R778" i="5"/>
  <c r="R741" i="5"/>
  <c r="R705" i="5"/>
  <c r="R663" i="5"/>
  <c r="R614" i="5"/>
  <c r="R556" i="5"/>
  <c r="R498" i="5"/>
  <c r="R440" i="5"/>
  <c r="R376" i="5"/>
  <c r="R307" i="5"/>
  <c r="R239" i="5"/>
  <c r="R171" i="5"/>
  <c r="R103" i="5"/>
  <c r="R34" i="5"/>
  <c r="Q73" i="5"/>
  <c r="R73" i="5"/>
  <c r="Q89" i="5"/>
  <c r="R89" i="5"/>
  <c r="Q129" i="5"/>
  <c r="R129" i="5"/>
  <c r="Q161" i="5"/>
  <c r="R161" i="5"/>
  <c r="Q185" i="5"/>
  <c r="R185" i="5"/>
  <c r="Q209" i="5"/>
  <c r="R209" i="5"/>
  <c r="Q217" i="5"/>
  <c r="R217" i="5"/>
  <c r="Q233" i="5"/>
  <c r="R233" i="5"/>
  <c r="Q273" i="5"/>
  <c r="R273" i="5"/>
  <c r="Q297" i="5"/>
  <c r="R297" i="5"/>
  <c r="Q329" i="5"/>
  <c r="R329" i="5"/>
  <c r="Q409" i="5"/>
  <c r="R409" i="5"/>
  <c r="Q3" i="5"/>
  <c r="R3" i="5"/>
  <c r="Q139" i="5"/>
  <c r="R139" i="5"/>
  <c r="Q147" i="5"/>
  <c r="R147" i="5"/>
  <c r="Q219" i="5"/>
  <c r="R219" i="5"/>
  <c r="Q299" i="5"/>
  <c r="R299" i="5"/>
  <c r="Q315" i="5"/>
  <c r="R315" i="5"/>
  <c r="Q331" i="5"/>
  <c r="R331" i="5"/>
  <c r="Q347" i="5"/>
  <c r="R347" i="5"/>
  <c r="Q371" i="5"/>
  <c r="R371" i="5"/>
  <c r="Q403" i="5"/>
  <c r="R403" i="5"/>
  <c r="Q499" i="5"/>
  <c r="R499" i="5"/>
  <c r="Q563" i="5"/>
  <c r="R563" i="5"/>
  <c r="Q739" i="5"/>
  <c r="R739" i="5"/>
  <c r="Q867" i="5"/>
  <c r="R867" i="5"/>
  <c r="Q875" i="5"/>
  <c r="R875" i="5"/>
  <c r="Q883" i="5"/>
  <c r="R883" i="5"/>
  <c r="Q987" i="5"/>
  <c r="R987" i="5"/>
  <c r="Q7" i="5"/>
  <c r="R7" i="5"/>
  <c r="Q15" i="5"/>
  <c r="R15" i="5"/>
  <c r="Q31" i="5"/>
  <c r="R31" i="5"/>
  <c r="Q87" i="5"/>
  <c r="R87" i="5"/>
  <c r="Q8" i="5"/>
  <c r="R8" i="5"/>
  <c r="Q24" i="5"/>
  <c r="R24" i="5"/>
  <c r="Q40" i="5"/>
  <c r="R40" i="5"/>
  <c r="Q48" i="5"/>
  <c r="R48" i="5"/>
  <c r="Q56" i="5"/>
  <c r="R56" i="5"/>
  <c r="Q64" i="5"/>
  <c r="R64" i="5"/>
  <c r="Q72" i="5"/>
  <c r="R72" i="5"/>
  <c r="Q80" i="5"/>
  <c r="R80" i="5"/>
  <c r="Q88" i="5"/>
  <c r="R88" i="5"/>
  <c r="Q96" i="5"/>
  <c r="R96" i="5"/>
  <c r="Q104" i="5"/>
  <c r="R104" i="5"/>
  <c r="Q112" i="5"/>
  <c r="R112" i="5"/>
  <c r="Q128" i="5"/>
  <c r="R128" i="5"/>
  <c r="Q144" i="5"/>
  <c r="R144" i="5"/>
  <c r="Q160" i="5"/>
  <c r="R160" i="5"/>
  <c r="Q168" i="5"/>
  <c r="R168" i="5"/>
  <c r="Q176" i="5"/>
  <c r="R176" i="5"/>
  <c r="Q184" i="5"/>
  <c r="R184" i="5"/>
  <c r="Q192" i="5"/>
  <c r="R192" i="5"/>
  <c r="Q200" i="5"/>
  <c r="R200" i="5"/>
  <c r="Q208" i="5"/>
  <c r="R208" i="5"/>
  <c r="Q216" i="5"/>
  <c r="R216" i="5"/>
  <c r="Q224" i="5"/>
  <c r="R224" i="5"/>
  <c r="Q232" i="5"/>
  <c r="R232" i="5"/>
  <c r="Q240" i="5"/>
  <c r="R240" i="5"/>
  <c r="Q248" i="5"/>
  <c r="R248" i="5"/>
  <c r="Q264" i="5"/>
  <c r="R264" i="5"/>
  <c r="Q280" i="5"/>
  <c r="R280" i="5"/>
  <c r="Q296" i="5"/>
  <c r="R296" i="5"/>
  <c r="Q304" i="5"/>
  <c r="R304" i="5"/>
  <c r="Q312" i="5"/>
  <c r="R312" i="5"/>
  <c r="Q320" i="5"/>
  <c r="R320" i="5"/>
  <c r="Q328" i="5"/>
  <c r="R328" i="5"/>
  <c r="Q336" i="5"/>
  <c r="R336" i="5"/>
  <c r="Q344" i="5"/>
  <c r="R344" i="5"/>
  <c r="Q352" i="5"/>
  <c r="R352" i="5"/>
  <c r="Q360" i="5"/>
  <c r="R360" i="5"/>
  <c r="Q368" i="5"/>
  <c r="R368" i="5"/>
  <c r="Q384" i="5"/>
  <c r="R384" i="5"/>
  <c r="Q400" i="5"/>
  <c r="R400" i="5"/>
  <c r="Q416" i="5"/>
  <c r="R416" i="5"/>
  <c r="Q424" i="5"/>
  <c r="R424" i="5"/>
  <c r="Q432" i="5"/>
  <c r="R432" i="5"/>
  <c r="Q448" i="5"/>
  <c r="R448" i="5"/>
  <c r="Q456" i="5"/>
  <c r="R456" i="5"/>
  <c r="Q464" i="5"/>
  <c r="R464" i="5"/>
  <c r="Q472" i="5"/>
  <c r="R472" i="5"/>
  <c r="Q480" i="5"/>
  <c r="R480" i="5"/>
  <c r="Q488" i="5"/>
  <c r="R488" i="5"/>
  <c r="Q504" i="5"/>
  <c r="R504" i="5"/>
  <c r="Q520" i="5"/>
  <c r="R520" i="5"/>
  <c r="Q536" i="5"/>
  <c r="R536" i="5"/>
  <c r="Q544" i="5"/>
  <c r="R544" i="5"/>
  <c r="Q552" i="5"/>
  <c r="R552" i="5"/>
  <c r="Q560" i="5"/>
  <c r="R560" i="5"/>
  <c r="Q568" i="5"/>
  <c r="R568" i="5"/>
  <c r="Q576" i="5"/>
  <c r="R576" i="5"/>
  <c r="Q592" i="5"/>
  <c r="R592" i="5"/>
  <c r="Q608" i="5"/>
  <c r="R608" i="5"/>
  <c r="Q616" i="5"/>
  <c r="R616" i="5"/>
  <c r="Q632" i="5"/>
  <c r="R632" i="5"/>
  <c r="Q640" i="5"/>
  <c r="R640" i="5"/>
  <c r="Q648" i="5"/>
  <c r="R648" i="5"/>
  <c r="Q656" i="5"/>
  <c r="R656" i="5"/>
  <c r="Q664" i="5"/>
  <c r="R664" i="5"/>
  <c r="Q672" i="5"/>
  <c r="R672" i="5"/>
  <c r="Q680" i="5"/>
  <c r="R680" i="5"/>
  <c r="Q688" i="5"/>
  <c r="R688" i="5"/>
  <c r="Q696" i="5"/>
  <c r="R696" i="5"/>
  <c r="Q704" i="5"/>
  <c r="R704" i="5"/>
  <c r="Q712" i="5"/>
  <c r="R712" i="5"/>
  <c r="Q720" i="5"/>
  <c r="R720" i="5"/>
  <c r="Q728" i="5"/>
  <c r="R728" i="5"/>
  <c r="Q736" i="5"/>
  <c r="R736" i="5"/>
  <c r="Q744" i="5"/>
  <c r="R744" i="5"/>
  <c r="Q752" i="5"/>
  <c r="R752" i="5"/>
  <c r="Q760" i="5"/>
  <c r="R760" i="5"/>
  <c r="Q768" i="5"/>
  <c r="R768" i="5"/>
  <c r="Q776" i="5"/>
  <c r="R776" i="5"/>
  <c r="Q784" i="5"/>
  <c r="R784" i="5"/>
  <c r="Q792" i="5"/>
  <c r="R792" i="5"/>
  <c r="Q800" i="5"/>
  <c r="R800" i="5"/>
  <c r="Q808" i="5"/>
  <c r="R808" i="5"/>
  <c r="Q816" i="5"/>
  <c r="R816" i="5"/>
  <c r="Q824" i="5"/>
  <c r="R824" i="5"/>
  <c r="Q832" i="5"/>
  <c r="R832" i="5"/>
  <c r="Q840" i="5"/>
  <c r="R840" i="5"/>
  <c r="Q715" i="5"/>
  <c r="R923" i="5"/>
  <c r="R850" i="5"/>
  <c r="R813" i="5"/>
  <c r="R777" i="5"/>
  <c r="R740" i="5"/>
  <c r="R703" i="5"/>
  <c r="R662" i="5"/>
  <c r="R612" i="5"/>
  <c r="R555" i="5"/>
  <c r="R496" i="5"/>
  <c r="R439" i="5"/>
  <c r="R375" i="5"/>
  <c r="R306" i="5"/>
  <c r="R236" i="5"/>
  <c r="R170" i="5"/>
  <c r="R100" i="5"/>
  <c r="R32" i="5"/>
  <c r="Q673" i="5"/>
  <c r="R673" i="5"/>
  <c r="Q681" i="5"/>
  <c r="R681" i="5"/>
  <c r="Q689" i="5"/>
  <c r="R689" i="5"/>
  <c r="Q697" i="5"/>
  <c r="R697" i="5"/>
  <c r="Q721" i="5"/>
  <c r="R721" i="5"/>
  <c r="Q729" i="5"/>
  <c r="R729" i="5"/>
  <c r="Q737" i="5"/>
  <c r="R737" i="5"/>
  <c r="Q745" i="5"/>
  <c r="R745" i="5"/>
  <c r="Q753" i="5"/>
  <c r="R753" i="5"/>
  <c r="Q761" i="5"/>
  <c r="R761" i="5"/>
  <c r="Q785" i="5"/>
  <c r="R785" i="5"/>
  <c r="Q793" i="5"/>
  <c r="R793" i="5"/>
  <c r="Q801" i="5"/>
  <c r="R801" i="5"/>
  <c r="Q809" i="5"/>
  <c r="R809" i="5"/>
  <c r="Q817" i="5"/>
  <c r="R817" i="5"/>
  <c r="Q825" i="5"/>
  <c r="R825" i="5"/>
  <c r="Q849" i="5"/>
  <c r="R849" i="5"/>
  <c r="Q857" i="5"/>
  <c r="R857" i="5"/>
  <c r="Q865" i="5"/>
  <c r="R865" i="5"/>
  <c r="Q873" i="5"/>
  <c r="R873" i="5"/>
  <c r="Q881" i="5"/>
  <c r="R881" i="5"/>
  <c r="Q889" i="5"/>
  <c r="R889" i="5"/>
  <c r="Q572" i="5"/>
  <c r="R915" i="5"/>
  <c r="R842" i="5"/>
  <c r="R805" i="5"/>
  <c r="R769" i="5"/>
  <c r="R732" i="5"/>
  <c r="R695" i="5"/>
  <c r="R651" i="5"/>
  <c r="R600" i="5"/>
  <c r="R543" i="5"/>
  <c r="R483" i="5"/>
  <c r="R426" i="5"/>
  <c r="R359" i="5"/>
  <c r="R290" i="5"/>
  <c r="R223" i="5"/>
  <c r="R154" i="5"/>
  <c r="R84" i="5"/>
  <c r="R18" i="5"/>
  <c r="Q25" i="5"/>
  <c r="R25" i="5"/>
  <c r="Q105" i="5"/>
  <c r="R105" i="5"/>
  <c r="Q121" i="5"/>
  <c r="R121" i="5"/>
  <c r="Q145" i="5"/>
  <c r="R145" i="5"/>
  <c r="Q153" i="5"/>
  <c r="R153" i="5"/>
  <c r="Q169" i="5"/>
  <c r="R169" i="5"/>
  <c r="Q193" i="5"/>
  <c r="R193" i="5"/>
  <c r="Q201" i="5"/>
  <c r="R201" i="5"/>
  <c r="Q377" i="5"/>
  <c r="R377" i="5"/>
  <c r="Q417" i="5"/>
  <c r="R417" i="5"/>
  <c r="Q425" i="5"/>
  <c r="R425" i="5"/>
  <c r="Q433" i="5"/>
  <c r="R433" i="5"/>
  <c r="Q441" i="5"/>
  <c r="R441" i="5"/>
  <c r="Q449" i="5"/>
  <c r="R449" i="5"/>
  <c r="Q457" i="5"/>
  <c r="R457" i="5"/>
  <c r="Q465" i="5"/>
  <c r="R465" i="5"/>
  <c r="Q473" i="5"/>
  <c r="R473" i="5"/>
  <c r="Q481" i="5"/>
  <c r="R481" i="5"/>
  <c r="Q489" i="5"/>
  <c r="R489" i="5"/>
  <c r="Q497" i="5"/>
  <c r="R497" i="5"/>
  <c r="Q505" i="5"/>
  <c r="R505" i="5"/>
  <c r="Q513" i="5"/>
  <c r="R513" i="5"/>
  <c r="Q521" i="5"/>
  <c r="R521" i="5"/>
  <c r="Q529" i="5"/>
  <c r="R529" i="5"/>
  <c r="Q537" i="5"/>
  <c r="R537" i="5"/>
  <c r="Q545" i="5"/>
  <c r="R545" i="5"/>
  <c r="Q553" i="5"/>
  <c r="R553" i="5"/>
  <c r="Q561" i="5"/>
  <c r="R561" i="5"/>
  <c r="Q569" i="5"/>
  <c r="R569" i="5"/>
  <c r="Q577" i="5"/>
  <c r="R577" i="5"/>
  <c r="Q585" i="5"/>
  <c r="R585" i="5"/>
  <c r="Q593" i="5"/>
  <c r="R593" i="5"/>
  <c r="Q601" i="5"/>
  <c r="R601" i="5"/>
  <c r="Q609" i="5"/>
  <c r="R609" i="5"/>
  <c r="Q617" i="5"/>
  <c r="R617" i="5"/>
  <c r="Q625" i="5"/>
  <c r="R625" i="5"/>
  <c r="Q633" i="5"/>
  <c r="R633" i="5"/>
  <c r="Q641" i="5"/>
  <c r="R641" i="5"/>
  <c r="Q649" i="5"/>
  <c r="R649" i="5"/>
  <c r="Q657" i="5"/>
  <c r="R657" i="5"/>
  <c r="Q665" i="5"/>
  <c r="R665" i="5"/>
  <c r="Q10" i="5"/>
  <c r="R10" i="5"/>
  <c r="Q26" i="5"/>
  <c r="R26" i="5"/>
  <c r="Q42" i="5"/>
  <c r="R42" i="5"/>
  <c r="Q58" i="5"/>
  <c r="R58" i="5"/>
  <c r="Q66" i="5"/>
  <c r="R66" i="5"/>
  <c r="Q74" i="5"/>
  <c r="R74" i="5"/>
  <c r="Q82" i="5"/>
  <c r="R82" i="5"/>
  <c r="Q90" i="5"/>
  <c r="R90" i="5"/>
  <c r="Q98" i="5"/>
  <c r="R98" i="5"/>
  <c r="Q106" i="5"/>
  <c r="R106" i="5"/>
  <c r="Q114" i="5"/>
  <c r="R114" i="5"/>
  <c r="Q122" i="5"/>
  <c r="R122" i="5"/>
  <c r="Q130" i="5"/>
  <c r="R130" i="5"/>
  <c r="Q138" i="5"/>
  <c r="R138" i="5"/>
  <c r="Q146" i="5"/>
  <c r="R146" i="5"/>
  <c r="Q162" i="5"/>
  <c r="R162" i="5"/>
  <c r="Q178" i="5"/>
  <c r="R178" i="5"/>
  <c r="Q194" i="5"/>
  <c r="R194" i="5"/>
  <c r="Q202" i="5"/>
  <c r="R202" i="5"/>
  <c r="Q210" i="5"/>
  <c r="R210" i="5"/>
  <c r="Q218" i="5"/>
  <c r="R218" i="5"/>
  <c r="Q226" i="5"/>
  <c r="R226" i="5"/>
  <c r="Q234" i="5"/>
  <c r="R234" i="5"/>
  <c r="Q242" i="5"/>
  <c r="R242" i="5"/>
  <c r="Q250" i="5"/>
  <c r="R250" i="5"/>
  <c r="Q258" i="5"/>
  <c r="R258" i="5"/>
  <c r="Q266" i="5"/>
  <c r="R266" i="5"/>
  <c r="Q282" i="5"/>
  <c r="R282" i="5"/>
  <c r="R298" i="5"/>
  <c r="Q298" i="5"/>
  <c r="Q314" i="5"/>
  <c r="R314" i="5"/>
  <c r="Q322" i="5"/>
  <c r="R322" i="5"/>
  <c r="Q330" i="5"/>
  <c r="R330" i="5"/>
  <c r="Q338" i="5"/>
  <c r="R338" i="5"/>
  <c r="Q346" i="5"/>
  <c r="R346" i="5"/>
  <c r="Q354" i="5"/>
  <c r="R354" i="5"/>
  <c r="Q362" i="5"/>
  <c r="R362" i="5"/>
  <c r="Q370" i="5"/>
  <c r="R370" i="5"/>
  <c r="Q378" i="5"/>
  <c r="R378" i="5"/>
  <c r="Q386" i="5"/>
  <c r="R386" i="5"/>
  <c r="Q394" i="5"/>
  <c r="R394" i="5"/>
  <c r="Q402" i="5"/>
  <c r="R402" i="5"/>
  <c r="Q418" i="5"/>
  <c r="R418" i="5"/>
  <c r="Q434" i="5"/>
  <c r="R434" i="5"/>
  <c r="Q442" i="5"/>
  <c r="R442" i="5"/>
  <c r="Q450" i="5"/>
  <c r="R450" i="5"/>
  <c r="Q458" i="5"/>
  <c r="R458" i="5"/>
  <c r="Q466" i="5"/>
  <c r="R466" i="5"/>
  <c r="Q474" i="5"/>
  <c r="R474" i="5"/>
  <c r="Q490" i="5"/>
  <c r="R490" i="5"/>
  <c r="Q506" i="5"/>
  <c r="R506" i="5"/>
  <c r="Q514" i="5"/>
  <c r="R514" i="5"/>
  <c r="Q522" i="5"/>
  <c r="R522" i="5"/>
  <c r="Q530" i="5"/>
  <c r="R530" i="5"/>
  <c r="Q538" i="5"/>
  <c r="R538" i="5"/>
  <c r="Q546" i="5"/>
  <c r="R546" i="5"/>
  <c r="Q554" i="5"/>
  <c r="R554" i="5"/>
  <c r="Q562" i="5"/>
  <c r="R562" i="5"/>
  <c r="Q578" i="5"/>
  <c r="R578" i="5"/>
  <c r="Q594" i="5"/>
  <c r="R594" i="5"/>
  <c r="Q602" i="5"/>
  <c r="R602" i="5"/>
  <c r="Q610" i="5"/>
  <c r="R610" i="5"/>
  <c r="Q618" i="5"/>
  <c r="R618" i="5"/>
  <c r="Q626" i="5"/>
  <c r="R626" i="5"/>
  <c r="Q634" i="5"/>
  <c r="R634" i="5"/>
  <c r="Q642" i="5"/>
  <c r="R642" i="5"/>
  <c r="Q658" i="5"/>
  <c r="R658" i="5"/>
  <c r="Q666" i="5"/>
  <c r="R666" i="5"/>
  <c r="Q682" i="5"/>
  <c r="R682" i="5"/>
  <c r="Q690" i="5"/>
  <c r="R690" i="5"/>
  <c r="Q698" i="5"/>
  <c r="R698" i="5"/>
  <c r="Q706" i="5"/>
  <c r="R706" i="5"/>
  <c r="Q730" i="5"/>
  <c r="R730" i="5"/>
  <c r="Q738" i="5"/>
  <c r="R738" i="5"/>
  <c r="Q746" i="5"/>
  <c r="R746" i="5"/>
  <c r="Q754" i="5"/>
  <c r="R754" i="5"/>
  <c r="Q762" i="5"/>
  <c r="R762" i="5"/>
  <c r="Q770" i="5"/>
  <c r="R770" i="5"/>
  <c r="Q794" i="5"/>
  <c r="R794" i="5"/>
  <c r="Q802" i="5"/>
  <c r="R802" i="5"/>
  <c r="Q810" i="5"/>
  <c r="R810" i="5"/>
  <c r="Q818" i="5"/>
  <c r="R818" i="5"/>
  <c r="Q826" i="5"/>
  <c r="R826" i="5"/>
  <c r="Q834" i="5"/>
  <c r="R834" i="5"/>
  <c r="Q858" i="5"/>
  <c r="R858" i="5"/>
  <c r="Q866" i="5"/>
  <c r="R866" i="5"/>
  <c r="Q874" i="5"/>
  <c r="R874" i="5"/>
  <c r="Q882" i="5"/>
  <c r="R882" i="5"/>
  <c r="Q890" i="5"/>
  <c r="R890" i="5"/>
  <c r="Q898" i="5"/>
  <c r="R898" i="5"/>
  <c r="Q922" i="5"/>
  <c r="R922" i="5"/>
  <c r="Q930" i="5"/>
  <c r="R930" i="5"/>
  <c r="Q938" i="5"/>
  <c r="R938" i="5"/>
  <c r="Q946" i="5"/>
  <c r="R946" i="5"/>
  <c r="Q954" i="5"/>
  <c r="R954" i="5"/>
  <c r="Q962" i="5"/>
  <c r="R962" i="5"/>
  <c r="Q970" i="5"/>
  <c r="R970" i="5"/>
  <c r="Q978" i="5"/>
  <c r="R978" i="5"/>
  <c r="Q986" i="5"/>
  <c r="R986" i="5"/>
  <c r="Q994" i="5"/>
  <c r="R994" i="5"/>
  <c r="R914" i="5"/>
  <c r="R877" i="5"/>
  <c r="R841" i="5"/>
  <c r="R804" i="5"/>
  <c r="R767" i="5"/>
  <c r="R731" i="5"/>
  <c r="R694" i="5"/>
  <c r="R650" i="5"/>
  <c r="R599" i="5"/>
  <c r="R540" i="5"/>
  <c r="R482" i="5"/>
  <c r="R423" i="5"/>
  <c r="R356" i="5"/>
  <c r="R288" i="5"/>
  <c r="R220" i="5"/>
  <c r="R152" i="5"/>
  <c r="R83" i="5"/>
  <c r="R16" i="5"/>
  <c r="R913" i="5"/>
  <c r="R903" i="5"/>
  <c r="R894" i="5"/>
  <c r="R876" i="5"/>
  <c r="R921" i="5"/>
  <c r="R911" i="5"/>
  <c r="R902" i="5"/>
  <c r="R884" i="5"/>
  <c r="R1001" i="5"/>
  <c r="R993" i="5"/>
  <c r="R985" i="5"/>
  <c r="R977" i="5"/>
  <c r="R969" i="5"/>
  <c r="R961" i="5"/>
  <c r="R953" i="5"/>
  <c r="R945" i="5"/>
  <c r="R937" i="5"/>
  <c r="R929" i="5"/>
  <c r="R919" i="5"/>
  <c r="R910" i="5"/>
  <c r="R892" i="5"/>
  <c r="R992" i="5"/>
  <c r="R984" i="5"/>
  <c r="R976" i="5"/>
  <c r="R968" i="5"/>
  <c r="R960" i="5"/>
  <c r="R952" i="5"/>
  <c r="R944" i="5"/>
  <c r="R936" i="5"/>
  <c r="R927" i="5"/>
  <c r="R918" i="5"/>
  <c r="R909" i="5"/>
  <c r="R900" i="5"/>
  <c r="Q848" i="5"/>
  <c r="R848" i="5"/>
  <c r="Q856" i="5"/>
  <c r="R856" i="5"/>
  <c r="Q864" i="5"/>
  <c r="R864" i="5"/>
  <c r="Q872" i="5"/>
  <c r="R872" i="5"/>
  <c r="Q880" i="5"/>
  <c r="R880" i="5"/>
  <c r="Q888" i="5"/>
  <c r="R888" i="5"/>
  <c r="Q896" i="5"/>
  <c r="R896" i="5"/>
  <c r="Q904" i="5"/>
  <c r="R904" i="5"/>
  <c r="Q912" i="5"/>
  <c r="R912" i="5"/>
  <c r="Q920" i="5"/>
  <c r="R920" i="5"/>
  <c r="Q928" i="5"/>
  <c r="R928" i="5"/>
  <c r="R999" i="5"/>
  <c r="R991" i="5"/>
  <c r="R983" i="5"/>
  <c r="R975" i="5"/>
  <c r="R967" i="5"/>
  <c r="R959" i="5"/>
  <c r="R951" i="5"/>
  <c r="R943" i="5"/>
  <c r="R935" i="5"/>
  <c r="R926" i="5"/>
  <c r="R917" i="5"/>
  <c r="R908" i="5"/>
  <c r="R862" i="5"/>
  <c r="R844" i="5"/>
  <c r="R982" i="5"/>
  <c r="R974" i="5"/>
  <c r="R966" i="5"/>
  <c r="R958" i="5"/>
  <c r="R950" i="5"/>
  <c r="R942" i="5"/>
  <c r="R934" i="5"/>
  <c r="R925" i="5"/>
  <c r="R916" i="5"/>
  <c r="R870" i="5"/>
  <c r="R852" i="5"/>
  <c r="R2" i="5"/>
  <c r="P766" i="5"/>
  <c r="P82" i="5"/>
  <c r="P652" i="5"/>
  <c r="H387" i="5"/>
  <c r="H842" i="5"/>
  <c r="H849" i="5"/>
  <c r="H514" i="5"/>
  <c r="H203" i="5"/>
  <c r="P215" i="5"/>
  <c r="H472" i="5"/>
  <c r="P827" i="5"/>
  <c r="H836" i="5"/>
  <c r="H468" i="5"/>
  <c r="H370" i="5"/>
  <c r="H446" i="5"/>
  <c r="P494" i="5"/>
  <c r="H693" i="5"/>
  <c r="P720" i="5"/>
  <c r="H161" i="5"/>
  <c r="H440" i="5"/>
  <c r="P638" i="5"/>
  <c r="P753" i="5"/>
  <c r="H711" i="5"/>
  <c r="P860" i="5"/>
  <c r="H155" i="5"/>
  <c r="P158" i="5"/>
  <c r="H166" i="5"/>
  <c r="P231" i="5"/>
  <c r="H510" i="5"/>
  <c r="P703" i="5"/>
  <c r="H755" i="5"/>
  <c r="H947" i="5"/>
  <c r="H17" i="5"/>
  <c r="P255" i="5"/>
  <c r="P488" i="5"/>
  <c r="P648" i="5"/>
  <c r="P677" i="5"/>
  <c r="P802" i="5"/>
  <c r="H919" i="5"/>
  <c r="P939" i="5"/>
  <c r="H470" i="5"/>
  <c r="P54" i="5"/>
  <c r="H163" i="5"/>
  <c r="H288" i="5"/>
  <c r="H709" i="5"/>
  <c r="H833" i="5"/>
  <c r="H191" i="5"/>
  <c r="H272" i="5"/>
  <c r="H238" i="5"/>
  <c r="P512" i="5"/>
  <c r="P650" i="5"/>
  <c r="P713" i="5"/>
  <c r="H425" i="5"/>
  <c r="H168" i="5"/>
  <c r="H183" i="5"/>
  <c r="H218" i="5"/>
  <c r="H225" i="5"/>
  <c r="H297" i="5"/>
  <c r="P418" i="5"/>
  <c r="H681" i="5"/>
  <c r="H781" i="5"/>
  <c r="H242" i="5"/>
  <c r="H448" i="5"/>
  <c r="H454" i="5"/>
  <c r="P722" i="5"/>
  <c r="P750" i="5"/>
  <c r="P874" i="5"/>
  <c r="H291" i="5"/>
  <c r="H415" i="5"/>
  <c r="P466" i="5"/>
  <c r="P608" i="5"/>
  <c r="P659" i="5"/>
  <c r="H429" i="5"/>
  <c r="P151" i="5"/>
  <c r="H427" i="5"/>
  <c r="P484" i="5"/>
  <c r="P490" i="5"/>
  <c r="P516" i="5"/>
  <c r="H518" i="5"/>
  <c r="H697" i="5"/>
  <c r="P757" i="5"/>
  <c r="H852" i="5"/>
  <c r="H13" i="5"/>
  <c r="H241" i="5"/>
  <c r="H285" i="5"/>
  <c r="P2" i="5"/>
  <c r="P9" i="5"/>
  <c r="H228" i="5"/>
  <c r="H232" i="5"/>
  <c r="H423" i="5"/>
  <c r="P631" i="5"/>
  <c r="P654" i="5"/>
  <c r="H671" i="5"/>
  <c r="H692" i="5"/>
  <c r="P820" i="5"/>
  <c r="P864" i="5"/>
  <c r="H873" i="5"/>
  <c r="H630" i="5"/>
  <c r="P6" i="5"/>
  <c r="H83" i="5"/>
  <c r="P148" i="5"/>
  <c r="P206" i="5"/>
  <c r="H244" i="5"/>
  <c r="H279" i="5"/>
  <c r="H395" i="5"/>
  <c r="H417" i="5"/>
  <c r="P435" i="5"/>
  <c r="H464" i="5"/>
  <c r="P529" i="5"/>
  <c r="P534" i="5"/>
  <c r="H536" i="5"/>
  <c r="P656" i="5"/>
  <c r="H694" i="5"/>
  <c r="P735" i="5"/>
  <c r="H742" i="5"/>
  <c r="H751" i="5"/>
  <c r="H758" i="5"/>
  <c r="P759" i="5"/>
  <c r="H761" i="5"/>
  <c r="H765" i="5"/>
  <c r="P788" i="5"/>
  <c r="P792" i="5"/>
  <c r="P811" i="5"/>
  <c r="H886" i="5"/>
  <c r="H955" i="5"/>
  <c r="P958" i="5"/>
  <c r="H28" i="5"/>
  <c r="P144" i="5"/>
  <c r="P160" i="5"/>
  <c r="H199" i="5"/>
  <c r="P202" i="5"/>
  <c r="H209" i="5"/>
  <c r="P212" i="5"/>
  <c r="H214" i="5"/>
  <c r="P230" i="5"/>
  <c r="P273" i="5"/>
  <c r="H275" i="5"/>
  <c r="H379" i="5"/>
  <c r="H426" i="5"/>
  <c r="P431" i="5"/>
  <c r="H456" i="5"/>
  <c r="P458" i="5"/>
  <c r="H460" i="5"/>
  <c r="P478" i="5"/>
  <c r="P504" i="5"/>
  <c r="H532" i="5"/>
  <c r="P640" i="5"/>
  <c r="P644" i="5"/>
  <c r="H680" i="5"/>
  <c r="H684" i="5"/>
  <c r="H695" i="5"/>
  <c r="H716" i="5"/>
  <c r="P730" i="5"/>
  <c r="H738" i="5"/>
  <c r="H796" i="5"/>
  <c r="H800" i="5"/>
  <c r="H830" i="5"/>
  <c r="P832" i="5"/>
  <c r="H870" i="5"/>
  <c r="H894" i="5"/>
  <c r="H913" i="5"/>
  <c r="P944" i="5"/>
  <c r="H946" i="5"/>
  <c r="H520" i="5"/>
  <c r="P531" i="5"/>
  <c r="P636" i="5"/>
  <c r="P737" i="5"/>
  <c r="H771" i="5"/>
  <c r="H782" i="5"/>
  <c r="P812" i="5"/>
  <c r="H882" i="5"/>
  <c r="H908" i="5"/>
  <c r="P920" i="5"/>
  <c r="H933" i="5"/>
  <c r="P935" i="5"/>
  <c r="P259" i="5"/>
  <c r="P949" i="5"/>
  <c r="P72" i="5"/>
  <c r="H247" i="5"/>
  <c r="H399" i="5"/>
  <c r="P500" i="5"/>
  <c r="P506" i="5"/>
  <c r="P646" i="5"/>
  <c r="P819" i="5"/>
  <c r="H831" i="5"/>
  <c r="P838" i="5"/>
  <c r="H846" i="5"/>
  <c r="H857" i="5"/>
  <c r="H862" i="5"/>
  <c r="H890" i="5"/>
  <c r="P5" i="5"/>
  <c r="H12" i="5"/>
  <c r="H16" i="5"/>
  <c r="H20" i="5"/>
  <c r="P147" i="5"/>
  <c r="P152" i="5"/>
  <c r="H169" i="5"/>
  <c r="H226" i="5"/>
  <c r="H243" i="5"/>
  <c r="H269" i="5"/>
  <c r="H377" i="5"/>
  <c r="P392" i="5"/>
  <c r="H623" i="5"/>
  <c r="P642" i="5"/>
  <c r="H878" i="5"/>
  <c r="P928" i="5"/>
  <c r="P942" i="5"/>
  <c r="H905" i="5"/>
  <c r="P7" i="5"/>
  <c r="H26" i="5"/>
  <c r="H34" i="5"/>
  <c r="H39" i="5"/>
  <c r="P42" i="5"/>
  <c r="P62" i="5"/>
  <c r="H84" i="5"/>
  <c r="H159" i="5"/>
  <c r="H194" i="5"/>
  <c r="H207" i="5"/>
  <c r="H219" i="5"/>
  <c r="H236" i="5"/>
  <c r="P251" i="5"/>
  <c r="H256" i="5"/>
  <c r="P257" i="5"/>
  <c r="P263" i="5"/>
  <c r="H281" i="5"/>
  <c r="H287" i="5"/>
  <c r="H405" i="5"/>
  <c r="P433" i="5"/>
  <c r="H480" i="5"/>
  <c r="P480" i="5"/>
  <c r="P675" i="5"/>
  <c r="P729" i="5"/>
  <c r="P731" i="5"/>
  <c r="H731" i="5"/>
  <c r="P880" i="5"/>
  <c r="H880" i="5"/>
  <c r="P893" i="5"/>
  <c r="H893" i="5"/>
  <c r="P941" i="5"/>
  <c r="H941" i="5"/>
  <c r="H769" i="5"/>
  <c r="P769" i="5"/>
  <c r="P4" i="5"/>
  <c r="H157" i="5"/>
  <c r="H165" i="5"/>
  <c r="H167" i="5"/>
  <c r="H190" i="5"/>
  <c r="H211" i="5"/>
  <c r="H223" i="5"/>
  <c r="P224" i="5"/>
  <c r="H240" i="5"/>
  <c r="H248" i="5"/>
  <c r="P249" i="5"/>
  <c r="H265" i="5"/>
  <c r="H271" i="5"/>
  <c r="P369" i="5"/>
  <c r="H397" i="5"/>
  <c r="P432" i="5"/>
  <c r="H432" i="5"/>
  <c r="P452" i="5"/>
  <c r="H452" i="5"/>
  <c r="H651" i="5"/>
  <c r="P651" i="5"/>
  <c r="P660" i="5"/>
  <c r="H660" i="5"/>
  <c r="P701" i="5"/>
  <c r="H701" i="5"/>
  <c r="P824" i="5"/>
  <c r="H824" i="5"/>
  <c r="H844" i="5"/>
  <c r="P844" i="5"/>
  <c r="P865" i="5"/>
  <c r="H865" i="5"/>
  <c r="P888" i="5"/>
  <c r="H888" i="5"/>
  <c r="H721" i="5"/>
  <c r="P721" i="5"/>
  <c r="P8" i="5"/>
  <c r="P58" i="5"/>
  <c r="P74" i="5"/>
  <c r="P145" i="5"/>
  <c r="P149" i="5"/>
  <c r="P153" i="5"/>
  <c r="P156" i="5"/>
  <c r="P164" i="5"/>
  <c r="H170" i="5"/>
  <c r="H179" i="5"/>
  <c r="P181" i="5"/>
  <c r="P189" i="5"/>
  <c r="H195" i="5"/>
  <c r="H220" i="5"/>
  <c r="P222" i="5"/>
  <c r="H234" i="5"/>
  <c r="P239" i="5"/>
  <c r="H246" i="5"/>
  <c r="P283" i="5"/>
  <c r="H293" i="5"/>
  <c r="H296" i="5"/>
  <c r="H299" i="5"/>
  <c r="H476" i="5"/>
  <c r="P476" i="5"/>
  <c r="H508" i="5"/>
  <c r="P508" i="5"/>
  <c r="H643" i="5"/>
  <c r="P643" i="5"/>
  <c r="H712" i="5"/>
  <c r="P712" i="5"/>
  <c r="P743" i="5"/>
  <c r="H743" i="5"/>
  <c r="P775" i="5"/>
  <c r="H775" i="5"/>
  <c r="P804" i="5"/>
  <c r="P808" i="5"/>
  <c r="P876" i="5"/>
  <c r="H876" i="5"/>
  <c r="P889" i="5"/>
  <c r="H889" i="5"/>
  <c r="P938" i="5"/>
  <c r="H938" i="5"/>
  <c r="P71" i="5"/>
  <c r="P185" i="5"/>
  <c r="P289" i="5"/>
  <c r="P295" i="5"/>
  <c r="P442" i="5"/>
  <c r="H442" i="5"/>
  <c r="H496" i="5"/>
  <c r="P496" i="5"/>
  <c r="P679" i="5"/>
  <c r="H679" i="5"/>
  <c r="P683" i="5"/>
  <c r="H683" i="5"/>
  <c r="P739" i="5"/>
  <c r="H739" i="5"/>
  <c r="P799" i="5"/>
  <c r="H799" i="5"/>
  <c r="P826" i="5"/>
  <c r="H826" i="5"/>
  <c r="P877" i="5"/>
  <c r="H877" i="5"/>
  <c r="P896" i="5"/>
  <c r="H896" i="5"/>
  <c r="P686" i="5"/>
  <c r="H686" i="5"/>
  <c r="P732" i="5"/>
  <c r="H732" i="5"/>
  <c r="P881" i="5"/>
  <c r="H881" i="5"/>
  <c r="H3" i="5"/>
  <c r="P3" i="5"/>
  <c r="P46" i="5"/>
  <c r="P146" i="5"/>
  <c r="P150" i="5"/>
  <c r="P154" i="5"/>
  <c r="P162" i="5"/>
  <c r="H171" i="5"/>
  <c r="P182" i="5"/>
  <c r="P216" i="5"/>
  <c r="H235" i="5"/>
  <c r="P267" i="5"/>
  <c r="H277" i="5"/>
  <c r="H280" i="5"/>
  <c r="P376" i="5"/>
  <c r="H403" i="5"/>
  <c r="H413" i="5"/>
  <c r="H420" i="5"/>
  <c r="P437" i="5"/>
  <c r="H437" i="5"/>
  <c r="H657" i="5"/>
  <c r="P657" i="5"/>
  <c r="P724" i="5"/>
  <c r="H724" i="5"/>
  <c r="H745" i="5"/>
  <c r="P745" i="5"/>
  <c r="H777" i="5"/>
  <c r="P777" i="5"/>
  <c r="P816" i="5"/>
  <c r="H816" i="5"/>
  <c r="P884" i="5"/>
  <c r="H884" i="5"/>
  <c r="P424" i="5"/>
  <c r="H424" i="5"/>
  <c r="P434" i="5"/>
  <c r="H434" i="5"/>
  <c r="P611" i="5"/>
  <c r="H611" i="5"/>
  <c r="P649" i="5"/>
  <c r="H649" i="5"/>
  <c r="P710" i="5"/>
  <c r="H710" i="5"/>
  <c r="H714" i="5"/>
  <c r="P714" i="5"/>
  <c r="H736" i="5"/>
  <c r="P736" i="5"/>
  <c r="P787" i="5"/>
  <c r="H787" i="5"/>
  <c r="P885" i="5"/>
  <c r="H885" i="5"/>
  <c r="H172" i="5"/>
  <c r="H177" i="5"/>
  <c r="H198" i="5"/>
  <c r="H210" i="5"/>
  <c r="H227" i="5"/>
  <c r="H261" i="5"/>
  <c r="H264" i="5"/>
  <c r="H382" i="5"/>
  <c r="H409" i="5"/>
  <c r="P436" i="5"/>
  <c r="P444" i="5"/>
  <c r="H444" i="5"/>
  <c r="P450" i="5"/>
  <c r="H450" i="5"/>
  <c r="P462" i="5"/>
  <c r="H492" i="5"/>
  <c r="P492" i="5"/>
  <c r="P641" i="5"/>
  <c r="H641" i="5"/>
  <c r="H672" i="5"/>
  <c r="P672" i="5"/>
  <c r="P687" i="5"/>
  <c r="P715" i="5"/>
  <c r="H715" i="5"/>
  <c r="P767" i="5"/>
  <c r="H767" i="5"/>
  <c r="P785" i="5"/>
  <c r="P818" i="5"/>
  <c r="H818" i="5"/>
  <c r="H848" i="5"/>
  <c r="P848" i="5"/>
  <c r="P892" i="5"/>
  <c r="H892" i="5"/>
  <c r="P931" i="5"/>
  <c r="H931" i="5"/>
  <c r="P474" i="5"/>
  <c r="P637" i="5"/>
  <c r="P645" i="5"/>
  <c r="P653" i="5"/>
  <c r="P689" i="5"/>
  <c r="P763" i="5"/>
  <c r="P783" i="5"/>
  <c r="P854" i="5"/>
  <c r="P872" i="5"/>
  <c r="P915" i="5"/>
  <c r="P954" i="5"/>
  <c r="P957" i="5"/>
  <c r="P674" i="5"/>
  <c r="P676" i="5"/>
  <c r="P678" i="5"/>
  <c r="P682" i="5"/>
  <c r="P728" i="5"/>
  <c r="P774" i="5"/>
  <c r="P428" i="5"/>
  <c r="P486" i="5"/>
  <c r="P502" i="5"/>
  <c r="P527" i="5"/>
  <c r="H632" i="5"/>
  <c r="H639" i="5"/>
  <c r="H647" i="5"/>
  <c r="H655" i="5"/>
  <c r="H673" i="5"/>
  <c r="H708" i="5"/>
  <c r="P719" i="5"/>
  <c r="P779" i="5"/>
  <c r="P923" i="5"/>
  <c r="P951" i="5"/>
  <c r="P747" i="5"/>
  <c r="H834" i="5"/>
  <c r="P927" i="5"/>
  <c r="P482" i="5"/>
  <c r="P498" i="5"/>
  <c r="P670" i="5"/>
  <c r="H699" i="5"/>
  <c r="H828" i="5"/>
  <c r="H861" i="5"/>
  <c r="H869" i="5"/>
  <c r="H879" i="5"/>
  <c r="H883" i="5"/>
  <c r="H887" i="5"/>
  <c r="H891" i="5"/>
  <c r="H895" i="5"/>
  <c r="P903" i="5"/>
  <c r="H910" i="5"/>
  <c r="P629" i="5"/>
  <c r="H10" i="5"/>
  <c r="H18" i="5"/>
  <c r="H21" i="5"/>
  <c r="P21" i="5"/>
  <c r="H24" i="5"/>
  <c r="H31" i="5"/>
  <c r="P31" i="5"/>
  <c r="H19" i="5"/>
  <c r="H22" i="5"/>
  <c r="P35" i="5"/>
  <c r="H35" i="5"/>
  <c r="H11" i="5"/>
  <c r="H14" i="5"/>
  <c r="H29" i="5"/>
  <c r="P29" i="5"/>
  <c r="H32" i="5"/>
  <c r="H23" i="5"/>
  <c r="P23" i="5"/>
  <c r="H25" i="5"/>
  <c r="P25" i="5"/>
  <c r="H33" i="5"/>
  <c r="P33" i="5"/>
  <c r="H15" i="5"/>
  <c r="H27" i="5"/>
  <c r="P27" i="5"/>
  <c r="H30" i="5"/>
  <c r="H75" i="5"/>
  <c r="H79" i="5"/>
  <c r="P80" i="5"/>
  <c r="P85" i="5"/>
  <c r="P87" i="5"/>
  <c r="P89" i="5"/>
  <c r="P91" i="5"/>
  <c r="P93" i="5"/>
  <c r="P95" i="5"/>
  <c r="P97" i="5"/>
  <c r="P99" i="5"/>
  <c r="P101" i="5"/>
  <c r="P103" i="5"/>
  <c r="P105" i="5"/>
  <c r="P107" i="5"/>
  <c r="P109" i="5"/>
  <c r="P111" i="5"/>
  <c r="P113" i="5"/>
  <c r="P115" i="5"/>
  <c r="P117" i="5"/>
  <c r="P119" i="5"/>
  <c r="P121" i="5"/>
  <c r="P123" i="5"/>
  <c r="P125" i="5"/>
  <c r="P127" i="5"/>
  <c r="P129" i="5"/>
  <c r="P131" i="5"/>
  <c r="P133" i="5"/>
  <c r="P135" i="5"/>
  <c r="P137" i="5"/>
  <c r="P139" i="5"/>
  <c r="P141" i="5"/>
  <c r="P143" i="5"/>
  <c r="P66" i="5"/>
  <c r="P174" i="5"/>
  <c r="H174" i="5"/>
  <c r="P81" i="5"/>
  <c r="P186" i="5"/>
  <c r="H186" i="5"/>
  <c r="P50" i="5"/>
  <c r="H76" i="5"/>
  <c r="P86" i="5"/>
  <c r="P88" i="5"/>
  <c r="P90" i="5"/>
  <c r="P92" i="5"/>
  <c r="P94" i="5"/>
  <c r="P96" i="5"/>
  <c r="P98" i="5"/>
  <c r="P100" i="5"/>
  <c r="P102" i="5"/>
  <c r="P104" i="5"/>
  <c r="P106" i="5"/>
  <c r="P108" i="5"/>
  <c r="P110" i="5"/>
  <c r="P112" i="5"/>
  <c r="P114" i="5"/>
  <c r="P116" i="5"/>
  <c r="P118" i="5"/>
  <c r="P120" i="5"/>
  <c r="P122" i="5"/>
  <c r="P124" i="5"/>
  <c r="P126" i="5"/>
  <c r="P128" i="5"/>
  <c r="P130" i="5"/>
  <c r="P132" i="5"/>
  <c r="P134" i="5"/>
  <c r="P136" i="5"/>
  <c r="P138" i="5"/>
  <c r="P140" i="5"/>
  <c r="P142" i="5"/>
  <c r="H187" i="5"/>
  <c r="H197" i="5"/>
  <c r="P197" i="5"/>
  <c r="H221" i="5"/>
  <c r="H237" i="5"/>
  <c r="H254" i="5"/>
  <c r="H262" i="5"/>
  <c r="H270" i="5"/>
  <c r="H278" i="5"/>
  <c r="H286" i="5"/>
  <c r="H294" i="5"/>
  <c r="H366" i="5"/>
  <c r="H375" i="5"/>
  <c r="H386" i="5"/>
  <c r="H391" i="5"/>
  <c r="H393" i="5"/>
  <c r="H422" i="5"/>
  <c r="P422" i="5"/>
  <c r="H438" i="5"/>
  <c r="P438" i="5"/>
  <c r="P467" i="5"/>
  <c r="H467" i="5"/>
  <c r="P253" i="5"/>
  <c r="P385" i="5"/>
  <c r="P461" i="5"/>
  <c r="H461" i="5"/>
  <c r="P205" i="5"/>
  <c r="P213" i="5"/>
  <c r="P229" i="5"/>
  <c r="P245" i="5"/>
  <c r="P250" i="5"/>
  <c r="P258" i="5"/>
  <c r="P266" i="5"/>
  <c r="P274" i="5"/>
  <c r="P282" i="5"/>
  <c r="P290" i="5"/>
  <c r="P298" i="5"/>
  <c r="P439" i="5"/>
  <c r="H439" i="5"/>
  <c r="P443" i="5"/>
  <c r="H443" i="5"/>
  <c r="P447" i="5"/>
  <c r="H447" i="5"/>
  <c r="P451" i="5"/>
  <c r="H451" i="5"/>
  <c r="P455" i="5"/>
  <c r="H455" i="5"/>
  <c r="H374" i="5"/>
  <c r="H383" i="5"/>
  <c r="P411" i="5"/>
  <c r="H411" i="5"/>
  <c r="P465" i="5"/>
  <c r="H465" i="5"/>
  <c r="P217" i="5"/>
  <c r="P233" i="5"/>
  <c r="P252" i="5"/>
  <c r="P260" i="5"/>
  <c r="P268" i="5"/>
  <c r="P276" i="5"/>
  <c r="P284" i="5"/>
  <c r="P292" i="5"/>
  <c r="H371" i="5"/>
  <c r="H390" i="5"/>
  <c r="H394" i="5"/>
  <c r="H407" i="5"/>
  <c r="P459" i="5"/>
  <c r="H459" i="5"/>
  <c r="H367" i="5"/>
  <c r="P384" i="5"/>
  <c r="H421" i="5"/>
  <c r="H430" i="5"/>
  <c r="P430" i="5"/>
  <c r="P469" i="5"/>
  <c r="H469" i="5"/>
  <c r="P193" i="5"/>
  <c r="P201" i="5"/>
  <c r="P401" i="5"/>
  <c r="H401" i="5"/>
  <c r="P441" i="5"/>
  <c r="H441" i="5"/>
  <c r="P445" i="5"/>
  <c r="H445" i="5"/>
  <c r="P449" i="5"/>
  <c r="H449" i="5"/>
  <c r="P453" i="5"/>
  <c r="H453" i="5"/>
  <c r="P463" i="5"/>
  <c r="H463" i="5"/>
  <c r="P368" i="5"/>
  <c r="H419" i="5"/>
  <c r="P457" i="5"/>
  <c r="H457" i="5"/>
  <c r="H610" i="5"/>
  <c r="H615" i="5"/>
  <c r="H621" i="5"/>
  <c r="H688" i="5"/>
  <c r="P688" i="5"/>
  <c r="H696" i="5"/>
  <c r="H698" i="5"/>
  <c r="H700" i="5"/>
  <c r="P733" i="5"/>
  <c r="H733" i="5"/>
  <c r="P764" i="5"/>
  <c r="H764" i="5"/>
  <c r="H773" i="5"/>
  <c r="H791" i="5"/>
  <c r="P866" i="5"/>
  <c r="H866" i="5"/>
  <c r="H471" i="5"/>
  <c r="H473" i="5"/>
  <c r="H475" i="5"/>
  <c r="H477" i="5"/>
  <c r="H479" i="5"/>
  <c r="H481" i="5"/>
  <c r="H483" i="5"/>
  <c r="H485" i="5"/>
  <c r="H487" i="5"/>
  <c r="H489" i="5"/>
  <c r="H491" i="5"/>
  <c r="H493" i="5"/>
  <c r="H495" i="5"/>
  <c r="H497" i="5"/>
  <c r="H499" i="5"/>
  <c r="H501" i="5"/>
  <c r="H503" i="5"/>
  <c r="H505" i="5"/>
  <c r="H507" i="5"/>
  <c r="H509" i="5"/>
  <c r="H511" i="5"/>
  <c r="H513" i="5"/>
  <c r="H515" i="5"/>
  <c r="H517" i="5"/>
  <c r="H519" i="5"/>
  <c r="H522" i="5"/>
  <c r="H526" i="5"/>
  <c r="H528" i="5"/>
  <c r="H530" i="5"/>
  <c r="H617" i="5"/>
  <c r="H619" i="5"/>
  <c r="P634" i="5"/>
  <c r="H658" i="5"/>
  <c r="H685" i="5"/>
  <c r="P704" i="5"/>
  <c r="H704" i="5"/>
  <c r="P717" i="5"/>
  <c r="H717" i="5"/>
  <c r="P740" i="5"/>
  <c r="H740" i="5"/>
  <c r="P741" i="5"/>
  <c r="H749" i="5"/>
  <c r="P406" i="5"/>
  <c r="H613" i="5"/>
  <c r="P616" i="5"/>
  <c r="P625" i="5"/>
  <c r="P691" i="5"/>
  <c r="P780" i="5"/>
  <c r="H780" i="5"/>
  <c r="P794" i="5"/>
  <c r="H794" i="5"/>
  <c r="P533" i="5"/>
  <c r="P612" i="5"/>
  <c r="P706" i="5"/>
  <c r="H706" i="5"/>
  <c r="P756" i="5"/>
  <c r="H756" i="5"/>
  <c r="H618" i="5"/>
  <c r="H627" i="5"/>
  <c r="H690" i="5"/>
  <c r="P690" i="5"/>
  <c r="H702" i="5"/>
  <c r="H524" i="5"/>
  <c r="P772" i="5"/>
  <c r="H772" i="5"/>
  <c r="P815" i="5"/>
  <c r="H815" i="5"/>
  <c r="P823" i="5"/>
  <c r="H823" i="5"/>
  <c r="P726" i="5"/>
  <c r="H726" i="5"/>
  <c r="P748" i="5"/>
  <c r="H748" i="5"/>
  <c r="P809" i="5"/>
  <c r="H809" i="5"/>
  <c r="P723" i="5"/>
  <c r="P790" i="5"/>
  <c r="P803" i="5"/>
  <c r="P806" i="5"/>
  <c r="H806" i="5"/>
  <c r="P817" i="5"/>
  <c r="H817" i="5"/>
  <c r="P825" i="5"/>
  <c r="H825" i="5"/>
  <c r="P853" i="5"/>
  <c r="H853" i="5"/>
  <c r="P945" i="5"/>
  <c r="H945" i="5"/>
  <c r="P952" i="5"/>
  <c r="H952" i="5"/>
  <c r="P705" i="5"/>
  <c r="P718" i="5"/>
  <c r="P725" i="5"/>
  <c r="P734" i="5"/>
  <c r="P801" i="5"/>
  <c r="H801" i="5"/>
  <c r="P810" i="5"/>
  <c r="P912" i="5"/>
  <c r="H912" i="5"/>
  <c r="P926" i="5"/>
  <c r="H926" i="5"/>
  <c r="P959" i="5"/>
  <c r="H959" i="5"/>
  <c r="P707" i="5"/>
  <c r="P727" i="5"/>
  <c r="H746" i="5"/>
  <c r="H754" i="5"/>
  <c r="H762" i="5"/>
  <c r="H770" i="5"/>
  <c r="H778" i="5"/>
  <c r="H786" i="5"/>
  <c r="P795" i="5"/>
  <c r="P798" i="5"/>
  <c r="H798" i="5"/>
  <c r="P807" i="5"/>
  <c r="P793" i="5"/>
  <c r="H793" i="5"/>
  <c r="P936" i="5"/>
  <c r="H936" i="5"/>
  <c r="H744" i="5"/>
  <c r="H752" i="5"/>
  <c r="H760" i="5"/>
  <c r="H768" i="5"/>
  <c r="H776" i="5"/>
  <c r="H784" i="5"/>
  <c r="P837" i="5"/>
  <c r="H837" i="5"/>
  <c r="H841" i="5"/>
  <c r="H868" i="5"/>
  <c r="P943" i="5"/>
  <c r="H943" i="5"/>
  <c r="P950" i="5"/>
  <c r="H950" i="5"/>
  <c r="P789" i="5"/>
  <c r="H789" i="5"/>
  <c r="P875" i="5"/>
  <c r="H875" i="5"/>
  <c r="P918" i="5"/>
  <c r="H918" i="5"/>
  <c r="P934" i="5"/>
  <c r="H934" i="5"/>
  <c r="P840" i="5"/>
  <c r="P856" i="5"/>
  <c r="P858" i="5"/>
  <c r="P940" i="5"/>
  <c r="P956" i="5"/>
  <c r="P917" i="5"/>
  <c r="P925" i="5"/>
  <c r="P829" i="5"/>
  <c r="P850" i="5"/>
  <c r="H871" i="5"/>
  <c r="H902" i="5"/>
  <c r="P922" i="5"/>
  <c r="P930" i="5"/>
  <c r="P937" i="5"/>
  <c r="P953" i="5"/>
  <c r="H814" i="5"/>
  <c r="H822" i="5"/>
  <c r="P916" i="5"/>
  <c r="P924" i="5"/>
  <c r="H797" i="5"/>
  <c r="H805" i="5"/>
  <c r="H813" i="5"/>
  <c r="H821" i="5"/>
  <c r="H845" i="5"/>
  <c r="H867" i="5"/>
  <c r="H900" i="5"/>
  <c r="P914" i="5"/>
  <c r="P932" i="5"/>
  <c r="P948" i="5"/>
  <c r="P921" i="5"/>
  <c r="P929" i="5"/>
  <c r="H897" i="5"/>
  <c r="H904" i="5"/>
  <c r="H36" i="5"/>
  <c r="P41" i="5"/>
  <c r="P45" i="5"/>
  <c r="P49" i="5"/>
  <c r="P53" i="5"/>
  <c r="P57" i="5"/>
  <c r="P61" i="5"/>
  <c r="P65" i="5"/>
  <c r="P40" i="5"/>
  <c r="P44" i="5"/>
  <c r="P48" i="5"/>
  <c r="P52" i="5"/>
  <c r="P56" i="5"/>
  <c r="P60" i="5"/>
  <c r="P64" i="5"/>
  <c r="P68" i="5"/>
  <c r="H69" i="5"/>
  <c r="H77" i="5"/>
  <c r="P73" i="5"/>
  <c r="P43" i="5"/>
  <c r="P47" i="5"/>
  <c r="P51" i="5"/>
  <c r="P55" i="5"/>
  <c r="P59" i="5"/>
  <c r="P63" i="5"/>
  <c r="P67" i="5"/>
  <c r="P70" i="5"/>
  <c r="P78" i="5"/>
  <c r="P38" i="5"/>
  <c r="P37" i="5"/>
  <c r="H175" i="5"/>
  <c r="P180" i="5"/>
  <c r="P184" i="5"/>
  <c r="P188" i="5"/>
  <c r="P192" i="5"/>
  <c r="P196" i="5"/>
  <c r="P200" i="5"/>
  <c r="P204" i="5"/>
  <c r="P208" i="5"/>
  <c r="P173" i="5"/>
  <c r="P178" i="5"/>
  <c r="P176" i="5"/>
  <c r="P342" i="5"/>
  <c r="H342" i="5"/>
  <c r="P350" i="5"/>
  <c r="H350" i="5"/>
  <c r="P358" i="5"/>
  <c r="H358" i="5"/>
  <c r="P365" i="5"/>
  <c r="P372" i="5"/>
  <c r="P381" i="5"/>
  <c r="P388" i="5"/>
  <c r="P408" i="5"/>
  <c r="P301" i="5"/>
  <c r="H301" i="5"/>
  <c r="P305" i="5"/>
  <c r="H305" i="5"/>
  <c r="P309" i="5"/>
  <c r="H309" i="5"/>
  <c r="P313" i="5"/>
  <c r="H313" i="5"/>
  <c r="P317" i="5"/>
  <c r="H317" i="5"/>
  <c r="P321" i="5"/>
  <c r="H321" i="5"/>
  <c r="P325" i="5"/>
  <c r="H325" i="5"/>
  <c r="P329" i="5"/>
  <c r="H329" i="5"/>
  <c r="P333" i="5"/>
  <c r="H333" i="5"/>
  <c r="P339" i="5"/>
  <c r="H339" i="5"/>
  <c r="P347" i="5"/>
  <c r="H347" i="5"/>
  <c r="P355" i="5"/>
  <c r="H355" i="5"/>
  <c r="P363" i="5"/>
  <c r="H363" i="5"/>
  <c r="P378" i="5"/>
  <c r="P416" i="5"/>
  <c r="P336" i="5"/>
  <c r="H336" i="5"/>
  <c r="P344" i="5"/>
  <c r="H344" i="5"/>
  <c r="P352" i="5"/>
  <c r="H352" i="5"/>
  <c r="P360" i="5"/>
  <c r="H360" i="5"/>
  <c r="P414" i="5"/>
  <c r="P300" i="5"/>
  <c r="H300" i="5"/>
  <c r="P304" i="5"/>
  <c r="H304" i="5"/>
  <c r="P308" i="5"/>
  <c r="H308" i="5"/>
  <c r="P312" i="5"/>
  <c r="H312" i="5"/>
  <c r="P316" i="5"/>
  <c r="H316" i="5"/>
  <c r="P320" i="5"/>
  <c r="H320" i="5"/>
  <c r="P324" i="5"/>
  <c r="H324" i="5"/>
  <c r="P328" i="5"/>
  <c r="H328" i="5"/>
  <c r="P332" i="5"/>
  <c r="H332" i="5"/>
  <c r="P341" i="5"/>
  <c r="H341" i="5"/>
  <c r="P349" i="5"/>
  <c r="H349" i="5"/>
  <c r="P357" i="5"/>
  <c r="H357" i="5"/>
  <c r="P402" i="5"/>
  <c r="P338" i="5"/>
  <c r="H338" i="5"/>
  <c r="P346" i="5"/>
  <c r="H346" i="5"/>
  <c r="P354" i="5"/>
  <c r="H354" i="5"/>
  <c r="P362" i="5"/>
  <c r="H362" i="5"/>
  <c r="P364" i="5"/>
  <c r="P373" i="5"/>
  <c r="P380" i="5"/>
  <c r="P389" i="5"/>
  <c r="P396" i="5"/>
  <c r="P398" i="5"/>
  <c r="P400" i="5"/>
  <c r="P303" i="5"/>
  <c r="H303" i="5"/>
  <c r="P307" i="5"/>
  <c r="H307" i="5"/>
  <c r="P311" i="5"/>
  <c r="H311" i="5"/>
  <c r="P315" i="5"/>
  <c r="H315" i="5"/>
  <c r="P319" i="5"/>
  <c r="H319" i="5"/>
  <c r="P323" i="5"/>
  <c r="H323" i="5"/>
  <c r="P327" i="5"/>
  <c r="H327" i="5"/>
  <c r="P331" i="5"/>
  <c r="H331" i="5"/>
  <c r="P335" i="5"/>
  <c r="H335" i="5"/>
  <c r="P343" i="5"/>
  <c r="H343" i="5"/>
  <c r="P351" i="5"/>
  <c r="H351" i="5"/>
  <c r="P359" i="5"/>
  <c r="H359" i="5"/>
  <c r="P340" i="5"/>
  <c r="H340" i="5"/>
  <c r="P348" i="5"/>
  <c r="H348" i="5"/>
  <c r="P356" i="5"/>
  <c r="H356" i="5"/>
  <c r="P302" i="5"/>
  <c r="H302" i="5"/>
  <c r="P306" i="5"/>
  <c r="H306" i="5"/>
  <c r="P310" i="5"/>
  <c r="H310" i="5"/>
  <c r="P314" i="5"/>
  <c r="H314" i="5"/>
  <c r="P318" i="5"/>
  <c r="H318" i="5"/>
  <c r="P322" i="5"/>
  <c r="H322" i="5"/>
  <c r="P326" i="5"/>
  <c r="H326" i="5"/>
  <c r="P330" i="5"/>
  <c r="H330" i="5"/>
  <c r="P334" i="5"/>
  <c r="H334" i="5"/>
  <c r="P337" i="5"/>
  <c r="H337" i="5"/>
  <c r="P345" i="5"/>
  <c r="H345" i="5"/>
  <c r="P353" i="5"/>
  <c r="H353" i="5"/>
  <c r="P361" i="5"/>
  <c r="H361" i="5"/>
  <c r="P410" i="5"/>
  <c r="P404" i="5"/>
  <c r="P412" i="5"/>
  <c r="P535" i="5"/>
  <c r="P538" i="5"/>
  <c r="H538" i="5"/>
  <c r="P546" i="5"/>
  <c r="H546" i="5"/>
  <c r="P554" i="5"/>
  <c r="H554" i="5"/>
  <c r="P561" i="5"/>
  <c r="H561" i="5"/>
  <c r="P541" i="5"/>
  <c r="H541" i="5"/>
  <c r="P549" i="5"/>
  <c r="H549" i="5"/>
  <c r="P562" i="5"/>
  <c r="H562" i="5"/>
  <c r="P525" i="5"/>
  <c r="P544" i="5"/>
  <c r="H544" i="5"/>
  <c r="P552" i="5"/>
  <c r="H552" i="5"/>
  <c r="P555" i="5"/>
  <c r="H555" i="5"/>
  <c r="P563" i="5"/>
  <c r="H563" i="5"/>
  <c r="P539" i="5"/>
  <c r="H539" i="5"/>
  <c r="P547" i="5"/>
  <c r="H547" i="5"/>
  <c r="P556" i="5"/>
  <c r="H556" i="5"/>
  <c r="P564" i="5"/>
  <c r="H564" i="5"/>
  <c r="P523" i="5"/>
  <c r="P542" i="5"/>
  <c r="H542" i="5"/>
  <c r="P550" i="5"/>
  <c r="H550" i="5"/>
  <c r="P557" i="5"/>
  <c r="H557" i="5"/>
  <c r="H537" i="5"/>
  <c r="P545" i="5"/>
  <c r="H545" i="5"/>
  <c r="P553" i="5"/>
  <c r="H553" i="5"/>
  <c r="P558" i="5"/>
  <c r="H558" i="5"/>
  <c r="P521" i="5"/>
  <c r="P540" i="5"/>
  <c r="H540" i="5"/>
  <c r="P548" i="5"/>
  <c r="H548" i="5"/>
  <c r="P559" i="5"/>
  <c r="H559" i="5"/>
  <c r="P543" i="5"/>
  <c r="H543" i="5"/>
  <c r="P551" i="5"/>
  <c r="H551" i="5"/>
  <c r="P560" i="5"/>
  <c r="H560" i="5"/>
  <c r="P572" i="5"/>
  <c r="H572" i="5"/>
  <c r="P576" i="5"/>
  <c r="H576" i="5"/>
  <c r="P580" i="5"/>
  <c r="H580" i="5"/>
  <c r="P584" i="5"/>
  <c r="H584" i="5"/>
  <c r="P588" i="5"/>
  <c r="H588" i="5"/>
  <c r="P597" i="5"/>
  <c r="H597" i="5"/>
  <c r="P628" i="5"/>
  <c r="H628" i="5"/>
  <c r="H635" i="5"/>
  <c r="P635" i="5"/>
  <c r="H565" i="5"/>
  <c r="H566" i="5"/>
  <c r="H567" i="5"/>
  <c r="H568" i="5"/>
  <c r="H569" i="5"/>
  <c r="H570" i="5"/>
  <c r="H571" i="5"/>
  <c r="P594" i="5"/>
  <c r="H594" i="5"/>
  <c r="H626" i="5"/>
  <c r="P626" i="5"/>
  <c r="P575" i="5"/>
  <c r="H575" i="5"/>
  <c r="P579" i="5"/>
  <c r="H579" i="5"/>
  <c r="P583" i="5"/>
  <c r="H583" i="5"/>
  <c r="P587" i="5"/>
  <c r="H587" i="5"/>
  <c r="P591" i="5"/>
  <c r="H591" i="5"/>
  <c r="P599" i="5"/>
  <c r="H599" i="5"/>
  <c r="P601" i="5"/>
  <c r="H601" i="5"/>
  <c r="P603" i="5"/>
  <c r="H603" i="5"/>
  <c r="P605" i="5"/>
  <c r="H605" i="5"/>
  <c r="P607" i="5"/>
  <c r="H607" i="5"/>
  <c r="H609" i="5"/>
  <c r="H624" i="5"/>
  <c r="P624" i="5"/>
  <c r="H633" i="5"/>
  <c r="P633" i="5"/>
  <c r="P596" i="5"/>
  <c r="H596" i="5"/>
  <c r="P614" i="5"/>
  <c r="P574" i="5"/>
  <c r="H574" i="5"/>
  <c r="P578" i="5"/>
  <c r="H578" i="5"/>
  <c r="P582" i="5"/>
  <c r="H582" i="5"/>
  <c r="P586" i="5"/>
  <c r="H586" i="5"/>
  <c r="P590" i="5"/>
  <c r="H590" i="5"/>
  <c r="P593" i="5"/>
  <c r="H593" i="5"/>
  <c r="P598" i="5"/>
  <c r="H598" i="5"/>
  <c r="P573" i="5"/>
  <c r="H573" i="5"/>
  <c r="P577" i="5"/>
  <c r="H577" i="5"/>
  <c r="P581" i="5"/>
  <c r="H581" i="5"/>
  <c r="P585" i="5"/>
  <c r="H585" i="5"/>
  <c r="P589" i="5"/>
  <c r="H589" i="5"/>
  <c r="P595" i="5"/>
  <c r="H595" i="5"/>
  <c r="P600" i="5"/>
  <c r="H600" i="5"/>
  <c r="P602" i="5"/>
  <c r="H602" i="5"/>
  <c r="P604" i="5"/>
  <c r="H604" i="5"/>
  <c r="P606" i="5"/>
  <c r="H606" i="5"/>
  <c r="P620" i="5"/>
  <c r="P592" i="5"/>
  <c r="H592" i="5"/>
  <c r="P622" i="5"/>
  <c r="H661" i="5"/>
  <c r="P664" i="5"/>
  <c r="H665" i="5"/>
  <c r="P668" i="5"/>
  <c r="H669" i="5"/>
  <c r="P663" i="5"/>
  <c r="P667" i="5"/>
  <c r="P662" i="5"/>
  <c r="P666" i="5"/>
  <c r="H911" i="5"/>
  <c r="P911" i="5"/>
  <c r="P835" i="5"/>
  <c r="P839" i="5"/>
  <c r="P843" i="5"/>
  <c r="P847" i="5"/>
  <c r="P851" i="5"/>
  <c r="P855" i="5"/>
  <c r="P859" i="5"/>
  <c r="P863" i="5"/>
  <c r="P964" i="5"/>
  <c r="H964" i="5"/>
  <c r="P980" i="5"/>
  <c r="H980" i="5"/>
  <c r="P996" i="5"/>
  <c r="H996" i="5"/>
  <c r="P968" i="5"/>
  <c r="H968" i="5"/>
  <c r="P984" i="5"/>
  <c r="H984" i="5"/>
  <c r="P1000" i="5"/>
  <c r="H1000" i="5"/>
  <c r="P901" i="5"/>
  <c r="P909" i="5"/>
  <c r="P972" i="5"/>
  <c r="H972" i="5"/>
  <c r="P988" i="5"/>
  <c r="H988" i="5"/>
  <c r="P899" i="5"/>
  <c r="P907" i="5"/>
  <c r="P898" i="5"/>
  <c r="P906" i="5"/>
  <c r="P960" i="5"/>
  <c r="H960" i="5"/>
  <c r="P976" i="5"/>
  <c r="H976" i="5"/>
  <c r="P992" i="5"/>
  <c r="H992" i="5"/>
  <c r="P962" i="5"/>
  <c r="H962" i="5"/>
  <c r="P966" i="5"/>
  <c r="H966" i="5"/>
  <c r="P970" i="5"/>
  <c r="H970" i="5"/>
  <c r="P974" i="5"/>
  <c r="H974" i="5"/>
  <c r="P978" i="5"/>
  <c r="H978" i="5"/>
  <c r="P982" i="5"/>
  <c r="H982" i="5"/>
  <c r="P986" i="5"/>
  <c r="H986" i="5"/>
  <c r="P990" i="5"/>
  <c r="H990" i="5"/>
  <c r="P994" i="5"/>
  <c r="H994" i="5"/>
  <c r="P998" i="5"/>
  <c r="H998" i="5"/>
  <c r="P961" i="5"/>
  <c r="H961" i="5"/>
  <c r="P965" i="5"/>
  <c r="H965" i="5"/>
  <c r="P969" i="5"/>
  <c r="H969" i="5"/>
  <c r="P973" i="5"/>
  <c r="H973" i="5"/>
  <c r="P977" i="5"/>
  <c r="H977" i="5"/>
  <c r="P981" i="5"/>
  <c r="H981" i="5"/>
  <c r="P985" i="5"/>
  <c r="H985" i="5"/>
  <c r="P989" i="5"/>
  <c r="H989" i="5"/>
  <c r="P993" i="5"/>
  <c r="H993" i="5"/>
  <c r="P997" i="5"/>
  <c r="H997" i="5"/>
  <c r="P1001" i="5"/>
  <c r="H1001" i="5"/>
  <c r="P963" i="5"/>
  <c r="H963" i="5"/>
  <c r="P967" i="5"/>
  <c r="H967" i="5"/>
  <c r="P971" i="5"/>
  <c r="H971" i="5"/>
  <c r="P975" i="5"/>
  <c r="H975" i="5"/>
  <c r="P979" i="5"/>
  <c r="H979" i="5"/>
  <c r="P983" i="5"/>
  <c r="H983" i="5"/>
  <c r="P987" i="5"/>
  <c r="H987" i="5"/>
  <c r="P991" i="5"/>
  <c r="H991" i="5"/>
  <c r="P995" i="5"/>
  <c r="H995" i="5"/>
  <c r="P999" i="5"/>
  <c r="H999" i="5"/>
  <c r="X239" i="5" l="1"/>
  <c r="AB239" i="5"/>
  <c r="X103" i="5"/>
  <c r="AB103" i="5"/>
  <c r="X940" i="5"/>
  <c r="AB940" i="5"/>
  <c r="X204" i="5"/>
  <c r="AB204" i="5"/>
  <c r="X663" i="5"/>
  <c r="AB663" i="5"/>
  <c r="X650" i="5"/>
  <c r="AB650" i="5"/>
  <c r="X951" i="5"/>
  <c r="AB951" i="5"/>
  <c r="X154" i="5"/>
  <c r="AB154" i="5"/>
  <c r="X859" i="5"/>
  <c r="AB859" i="5"/>
  <c r="X795" i="5"/>
  <c r="AB795" i="5"/>
  <c r="X944" i="5"/>
  <c r="AB944" i="5"/>
  <c r="X929" i="5"/>
  <c r="AB929" i="5"/>
  <c r="X136" i="5"/>
  <c r="AB136" i="5"/>
  <c r="X851" i="5"/>
  <c r="AB851" i="5"/>
  <c r="X903" i="5"/>
  <c r="AB903" i="5"/>
  <c r="X957" i="5"/>
  <c r="AB957" i="5"/>
  <c r="X925" i="5"/>
  <c r="AB925" i="5"/>
  <c r="X290" i="5"/>
  <c r="AB290" i="5"/>
  <c r="X932" i="5"/>
  <c r="AB932" i="5"/>
  <c r="X703" i="5"/>
  <c r="AB703" i="5"/>
  <c r="X119" i="5"/>
  <c r="AB119" i="5"/>
  <c r="X274" i="5"/>
  <c r="AB274" i="5"/>
  <c r="X392" i="5"/>
  <c r="AB392" i="5"/>
  <c r="X512" i="5"/>
  <c r="AB512" i="5"/>
  <c r="X914" i="5"/>
  <c r="AB914" i="5"/>
  <c r="X804" i="5"/>
  <c r="AB804" i="5"/>
  <c r="X100" i="5"/>
  <c r="AB100" i="5"/>
  <c r="X482" i="5"/>
  <c r="AB482" i="5"/>
  <c r="X50" i="5"/>
  <c r="AB50" i="5"/>
  <c r="X942" i="5"/>
  <c r="AB942" i="5"/>
  <c r="X850" i="5"/>
  <c r="AB850" i="5"/>
  <c r="X949" i="5"/>
  <c r="AB949" i="5"/>
  <c r="X917" i="5"/>
  <c r="AB917" i="5"/>
  <c r="X915" i="5"/>
  <c r="AB915" i="5"/>
  <c r="X956" i="5"/>
  <c r="AB956" i="5"/>
  <c r="X675" i="5"/>
  <c r="AB675" i="5"/>
  <c r="X152" i="5"/>
  <c r="AB152" i="5"/>
  <c r="X255" i="5"/>
  <c r="AB255" i="5"/>
  <c r="X713" i="5"/>
  <c r="AB713" i="5"/>
  <c r="X927" i="5"/>
  <c r="AB927" i="5"/>
  <c r="X924" i="5"/>
  <c r="AB924" i="5"/>
  <c r="X860" i="5"/>
  <c r="AB860" i="5"/>
  <c r="X410" i="5"/>
  <c r="AB410" i="5"/>
  <c r="X498" i="5"/>
  <c r="AB498" i="5"/>
  <c r="X674" i="5"/>
  <c r="AB674" i="5"/>
  <c r="X705" i="5"/>
  <c r="AB705" i="5"/>
  <c r="X638" i="5"/>
  <c r="AB638" i="5"/>
  <c r="X921" i="5"/>
  <c r="AB921" i="5"/>
  <c r="X723" i="5"/>
  <c r="AB723" i="5"/>
  <c r="X612" i="5"/>
  <c r="AB612" i="5"/>
  <c r="X662" i="5"/>
  <c r="AB662" i="5"/>
  <c r="X923" i="5"/>
  <c r="AB923" i="5"/>
  <c r="X958" i="5"/>
  <c r="AB958" i="5"/>
  <c r="X909" i="5"/>
  <c r="AB909" i="5"/>
  <c r="X937" i="5"/>
  <c r="AB937" i="5"/>
  <c r="X948" i="5"/>
  <c r="AB948" i="5"/>
  <c r="X67" i="5"/>
  <c r="AB67" i="5"/>
  <c r="X614" i="5"/>
  <c r="AB614" i="5"/>
  <c r="X906" i="5"/>
  <c r="AB906" i="5"/>
  <c r="X750" i="5"/>
  <c r="AB750" i="5"/>
  <c r="X408" i="5"/>
  <c r="AB408" i="5"/>
  <c r="X759" i="5"/>
  <c r="AB759" i="5"/>
  <c r="X51" i="5"/>
  <c r="AB51" i="5"/>
  <c r="X120" i="5"/>
  <c r="AB120" i="5"/>
  <c r="X741" i="5"/>
  <c r="AB741" i="5"/>
  <c r="X935" i="5"/>
  <c r="AB935" i="5"/>
  <c r="X916" i="5"/>
  <c r="AB916" i="5"/>
  <c r="X135" i="5"/>
  <c r="AB135" i="5"/>
  <c r="X68" i="5"/>
  <c r="AB68" i="5"/>
  <c r="X722" i="5"/>
  <c r="AB722" i="5"/>
  <c r="X953" i="5"/>
  <c r="AB953" i="5"/>
  <c r="X376" i="5"/>
  <c r="AB376" i="5"/>
  <c r="X2" i="5"/>
  <c r="AB2" i="5"/>
  <c r="I569" i="5"/>
  <c r="Y569" i="5" s="1"/>
  <c r="X569" i="5"/>
  <c r="I815" i="5"/>
  <c r="Y815" i="5" s="1"/>
  <c r="X815" i="5"/>
  <c r="I491" i="5"/>
  <c r="Y491" i="5" s="1"/>
  <c r="X491" i="5"/>
  <c r="I679" i="5"/>
  <c r="Y679" i="5" s="1"/>
  <c r="X679" i="5"/>
  <c r="I660" i="5"/>
  <c r="Y660" i="5" s="1"/>
  <c r="X660" i="5"/>
  <c r="I16" i="5"/>
  <c r="Y16" i="5" s="1"/>
  <c r="X16" i="5"/>
  <c r="I225" i="5"/>
  <c r="Y225" i="5" s="1"/>
  <c r="X225" i="5"/>
  <c r="I987" i="5"/>
  <c r="Y987" i="5" s="1"/>
  <c r="X987" i="5"/>
  <c r="I971" i="5"/>
  <c r="Y971" i="5" s="1"/>
  <c r="X971" i="5"/>
  <c r="I997" i="5"/>
  <c r="Y997" i="5" s="1"/>
  <c r="X997" i="5"/>
  <c r="I981" i="5"/>
  <c r="Y981" i="5" s="1"/>
  <c r="X981" i="5"/>
  <c r="I965" i="5"/>
  <c r="Y965" i="5" s="1"/>
  <c r="X965" i="5"/>
  <c r="I990" i="5"/>
  <c r="Y990" i="5" s="1"/>
  <c r="X990" i="5"/>
  <c r="I974" i="5"/>
  <c r="Y974" i="5" s="1"/>
  <c r="X974" i="5"/>
  <c r="I992" i="5"/>
  <c r="Y992" i="5" s="1"/>
  <c r="X992" i="5"/>
  <c r="I1000" i="5"/>
  <c r="Y1000" i="5" s="1"/>
  <c r="X1000" i="5"/>
  <c r="I980" i="5"/>
  <c r="Y980" i="5" s="1"/>
  <c r="X980" i="5"/>
  <c r="I592" i="5"/>
  <c r="Y592" i="5" s="1"/>
  <c r="X592" i="5"/>
  <c r="I568" i="5"/>
  <c r="Y568" i="5" s="1"/>
  <c r="X568" i="5"/>
  <c r="I597" i="5"/>
  <c r="Y597" i="5" s="1"/>
  <c r="X597" i="5"/>
  <c r="I576" i="5"/>
  <c r="Y576" i="5" s="1"/>
  <c r="X576" i="5"/>
  <c r="I543" i="5"/>
  <c r="Y543" i="5" s="1"/>
  <c r="X543" i="5"/>
  <c r="I557" i="5"/>
  <c r="Y557" i="5" s="1"/>
  <c r="X557" i="5"/>
  <c r="I562" i="5"/>
  <c r="Y562" i="5" s="1"/>
  <c r="X562" i="5"/>
  <c r="I554" i="5"/>
  <c r="Y554" i="5" s="1"/>
  <c r="X554" i="5"/>
  <c r="I337" i="5"/>
  <c r="Y337" i="5" s="1"/>
  <c r="X337" i="5"/>
  <c r="I322" i="5"/>
  <c r="Y322" i="5" s="1"/>
  <c r="X322" i="5"/>
  <c r="I306" i="5"/>
  <c r="Y306" i="5" s="1"/>
  <c r="X306" i="5"/>
  <c r="I340" i="5"/>
  <c r="Y340" i="5" s="1"/>
  <c r="X340" i="5"/>
  <c r="I335" i="5"/>
  <c r="Y335" i="5" s="1"/>
  <c r="X335" i="5"/>
  <c r="I319" i="5"/>
  <c r="Y319" i="5" s="1"/>
  <c r="X319" i="5"/>
  <c r="I303" i="5"/>
  <c r="Y303" i="5" s="1"/>
  <c r="X303" i="5"/>
  <c r="I332" i="5"/>
  <c r="Y332" i="5" s="1"/>
  <c r="X332" i="5"/>
  <c r="I316" i="5"/>
  <c r="Y316" i="5" s="1"/>
  <c r="X316" i="5"/>
  <c r="I300" i="5"/>
  <c r="Y300" i="5" s="1"/>
  <c r="X300" i="5"/>
  <c r="I342" i="5"/>
  <c r="Y342" i="5" s="1"/>
  <c r="X342" i="5"/>
  <c r="I805" i="5"/>
  <c r="Y805" i="5" s="1"/>
  <c r="X805" i="5"/>
  <c r="I760" i="5"/>
  <c r="Y760" i="5" s="1"/>
  <c r="X760" i="5"/>
  <c r="I798" i="5"/>
  <c r="Y798" i="5" s="1"/>
  <c r="X798" i="5"/>
  <c r="I746" i="5"/>
  <c r="Y746" i="5" s="1"/>
  <c r="X746" i="5"/>
  <c r="I952" i="5"/>
  <c r="Y952" i="5" s="1"/>
  <c r="X952" i="5"/>
  <c r="I817" i="5"/>
  <c r="Y817" i="5" s="1"/>
  <c r="X817" i="5"/>
  <c r="I618" i="5"/>
  <c r="Y618" i="5" s="1"/>
  <c r="X618" i="5"/>
  <c r="I749" i="5"/>
  <c r="Y749" i="5" s="1"/>
  <c r="X749" i="5"/>
  <c r="I685" i="5"/>
  <c r="Y685" i="5" s="1"/>
  <c r="X685" i="5"/>
  <c r="I522" i="5"/>
  <c r="Y522" i="5" s="1"/>
  <c r="X522" i="5"/>
  <c r="I505" i="5"/>
  <c r="Y505" i="5" s="1"/>
  <c r="X505" i="5"/>
  <c r="I489" i="5"/>
  <c r="Y489" i="5" s="1"/>
  <c r="X489" i="5"/>
  <c r="I473" i="5"/>
  <c r="Y473" i="5" s="1"/>
  <c r="X473" i="5"/>
  <c r="I733" i="5"/>
  <c r="Y733" i="5" s="1"/>
  <c r="X733" i="5"/>
  <c r="I615" i="5"/>
  <c r="Y615" i="5" s="1"/>
  <c r="X615" i="5"/>
  <c r="I453" i="5"/>
  <c r="Y453" i="5" s="1"/>
  <c r="X453" i="5"/>
  <c r="I401" i="5"/>
  <c r="Y401" i="5" s="1"/>
  <c r="X401" i="5"/>
  <c r="I421" i="5"/>
  <c r="Y421" i="5" s="1"/>
  <c r="X421" i="5"/>
  <c r="I371" i="5"/>
  <c r="Y371" i="5" s="1"/>
  <c r="X371" i="5"/>
  <c r="I467" i="5"/>
  <c r="Y467" i="5" s="1"/>
  <c r="X467" i="5"/>
  <c r="I386" i="5"/>
  <c r="Y386" i="5" s="1"/>
  <c r="X386" i="5"/>
  <c r="I254" i="5"/>
  <c r="Y254" i="5" s="1"/>
  <c r="X254" i="5"/>
  <c r="I174" i="5"/>
  <c r="Y174" i="5" s="1"/>
  <c r="X174" i="5"/>
  <c r="I29" i="5"/>
  <c r="Y29" i="5" s="1"/>
  <c r="X29" i="5"/>
  <c r="I31" i="5"/>
  <c r="Y31" i="5" s="1"/>
  <c r="X31" i="5"/>
  <c r="I828" i="5"/>
  <c r="Y828" i="5" s="1"/>
  <c r="X828" i="5"/>
  <c r="I639" i="5"/>
  <c r="Y639" i="5" s="1"/>
  <c r="X639" i="5"/>
  <c r="I931" i="5"/>
  <c r="Y931" i="5" s="1"/>
  <c r="X931" i="5"/>
  <c r="I641" i="5"/>
  <c r="Y641" i="5" s="1"/>
  <c r="X641" i="5"/>
  <c r="I198" i="5"/>
  <c r="Y198" i="5" s="1"/>
  <c r="X198" i="5"/>
  <c r="I736" i="5"/>
  <c r="Y736" i="5" s="1"/>
  <c r="X736" i="5"/>
  <c r="I657" i="5"/>
  <c r="Y657" i="5" s="1"/>
  <c r="X657" i="5"/>
  <c r="I277" i="5"/>
  <c r="Y277" i="5" s="1"/>
  <c r="X277" i="5"/>
  <c r="I643" i="5"/>
  <c r="Y643" i="5" s="1"/>
  <c r="X643" i="5"/>
  <c r="I211" i="5"/>
  <c r="Y211" i="5" s="1"/>
  <c r="X211" i="5"/>
  <c r="I941" i="5"/>
  <c r="Y941" i="5" s="1"/>
  <c r="X941" i="5"/>
  <c r="I159" i="5"/>
  <c r="Y159" i="5" s="1"/>
  <c r="X159" i="5"/>
  <c r="I905" i="5"/>
  <c r="Y905" i="5" s="1"/>
  <c r="X905" i="5"/>
  <c r="I269" i="5"/>
  <c r="Y269" i="5" s="1"/>
  <c r="X269" i="5"/>
  <c r="I12" i="5"/>
  <c r="Y12" i="5" s="1"/>
  <c r="X12" i="5"/>
  <c r="I771" i="5"/>
  <c r="Y771" i="5" s="1"/>
  <c r="X771" i="5"/>
  <c r="I894" i="5"/>
  <c r="Y894" i="5" s="1"/>
  <c r="X894" i="5"/>
  <c r="I716" i="5"/>
  <c r="Y716" i="5" s="1"/>
  <c r="X716" i="5"/>
  <c r="I765" i="5"/>
  <c r="Y765" i="5" s="1"/>
  <c r="X765" i="5"/>
  <c r="I279" i="5"/>
  <c r="Y279" i="5" s="1"/>
  <c r="X279" i="5"/>
  <c r="I228" i="5"/>
  <c r="Y228" i="5" s="1"/>
  <c r="X228" i="5"/>
  <c r="I697" i="5"/>
  <c r="Y697" i="5" s="1"/>
  <c r="X697" i="5"/>
  <c r="I454" i="5"/>
  <c r="Y454" i="5" s="1"/>
  <c r="X454" i="5"/>
  <c r="I218" i="5"/>
  <c r="Y218" i="5" s="1"/>
  <c r="X218" i="5"/>
  <c r="I272" i="5"/>
  <c r="Y272" i="5" s="1"/>
  <c r="X272" i="5"/>
  <c r="I947" i="5"/>
  <c r="Y947" i="5" s="1"/>
  <c r="X947" i="5"/>
  <c r="I203" i="5"/>
  <c r="Y203" i="5" s="1"/>
  <c r="X203" i="5"/>
  <c r="I605" i="5"/>
  <c r="Y605" i="5" s="1"/>
  <c r="X605" i="5"/>
  <c r="I313" i="5"/>
  <c r="Y313" i="5" s="1"/>
  <c r="X313" i="5"/>
  <c r="I912" i="5"/>
  <c r="Y912" i="5" s="1"/>
  <c r="X912" i="5"/>
  <c r="I507" i="5"/>
  <c r="Y507" i="5" s="1"/>
  <c r="X507" i="5"/>
  <c r="I390" i="5"/>
  <c r="Y390" i="5" s="1"/>
  <c r="X390" i="5"/>
  <c r="I262" i="5"/>
  <c r="Y262" i="5" s="1"/>
  <c r="X262" i="5"/>
  <c r="I611" i="5"/>
  <c r="Y611" i="5" s="1"/>
  <c r="X611" i="5"/>
  <c r="I732" i="5"/>
  <c r="Y732" i="5" s="1"/>
  <c r="X732" i="5"/>
  <c r="I293" i="5"/>
  <c r="Y293" i="5" s="1"/>
  <c r="X293" i="5"/>
  <c r="I769" i="5"/>
  <c r="Y769" i="5" s="1"/>
  <c r="X769" i="5"/>
  <c r="I377" i="5"/>
  <c r="Y377" i="5" s="1"/>
  <c r="X377" i="5"/>
  <c r="I395" i="5"/>
  <c r="Y395" i="5" s="1"/>
  <c r="X395" i="5"/>
  <c r="I429" i="5"/>
  <c r="Y429" i="5" s="1"/>
  <c r="X429" i="5"/>
  <c r="I155" i="5"/>
  <c r="Y155" i="5" s="1"/>
  <c r="X155" i="5"/>
  <c r="I600" i="5"/>
  <c r="Y600" i="5" s="1"/>
  <c r="X600" i="5"/>
  <c r="I581" i="5"/>
  <c r="Y581" i="5" s="1"/>
  <c r="X581" i="5"/>
  <c r="I593" i="5"/>
  <c r="Y593" i="5" s="1"/>
  <c r="X593" i="5"/>
  <c r="I578" i="5"/>
  <c r="Y578" i="5" s="1"/>
  <c r="X578" i="5"/>
  <c r="I633" i="5"/>
  <c r="Y633" i="5" s="1"/>
  <c r="X633" i="5"/>
  <c r="I603" i="5"/>
  <c r="Y603" i="5" s="1"/>
  <c r="X603" i="5"/>
  <c r="I587" i="5"/>
  <c r="Y587" i="5" s="1"/>
  <c r="X587" i="5"/>
  <c r="I567" i="5"/>
  <c r="Y567" i="5" s="1"/>
  <c r="X567" i="5"/>
  <c r="I558" i="5"/>
  <c r="Y558" i="5" s="1"/>
  <c r="X558" i="5"/>
  <c r="I556" i="5"/>
  <c r="Y556" i="5" s="1"/>
  <c r="X556" i="5"/>
  <c r="I555" i="5"/>
  <c r="Y555" i="5" s="1"/>
  <c r="X555" i="5"/>
  <c r="I362" i="5"/>
  <c r="Y362" i="5" s="1"/>
  <c r="X362" i="5"/>
  <c r="I336" i="5"/>
  <c r="Y336" i="5" s="1"/>
  <c r="X336" i="5"/>
  <c r="I347" i="5"/>
  <c r="Y347" i="5" s="1"/>
  <c r="X347" i="5"/>
  <c r="I325" i="5"/>
  <c r="Y325" i="5" s="1"/>
  <c r="X325" i="5"/>
  <c r="I309" i="5"/>
  <c r="Y309" i="5" s="1"/>
  <c r="X309" i="5"/>
  <c r="I797" i="5"/>
  <c r="Y797" i="5" s="1"/>
  <c r="X797" i="5"/>
  <c r="I875" i="5"/>
  <c r="Y875" i="5" s="1"/>
  <c r="X875" i="5"/>
  <c r="I868" i="5"/>
  <c r="Y868" i="5" s="1"/>
  <c r="X868" i="5"/>
  <c r="I752" i="5"/>
  <c r="Y752" i="5" s="1"/>
  <c r="X752" i="5"/>
  <c r="I748" i="5"/>
  <c r="Y748" i="5" s="1"/>
  <c r="X748" i="5"/>
  <c r="I772" i="5"/>
  <c r="Y772" i="5" s="1"/>
  <c r="X772" i="5"/>
  <c r="I756" i="5"/>
  <c r="Y756" i="5" s="1"/>
  <c r="X756" i="5"/>
  <c r="I780" i="5"/>
  <c r="Y780" i="5" s="1"/>
  <c r="X780" i="5"/>
  <c r="I658" i="5"/>
  <c r="Y658" i="5" s="1"/>
  <c r="X658" i="5"/>
  <c r="I519" i="5"/>
  <c r="Y519" i="5" s="1"/>
  <c r="X519" i="5"/>
  <c r="I503" i="5"/>
  <c r="Y503" i="5" s="1"/>
  <c r="X503" i="5"/>
  <c r="I487" i="5"/>
  <c r="Y487" i="5" s="1"/>
  <c r="X487" i="5"/>
  <c r="I471" i="5"/>
  <c r="Y471" i="5" s="1"/>
  <c r="X471" i="5"/>
  <c r="I610" i="5"/>
  <c r="Y610" i="5" s="1"/>
  <c r="X610" i="5"/>
  <c r="I465" i="5"/>
  <c r="Y465" i="5" s="1"/>
  <c r="X465" i="5"/>
  <c r="I451" i="5"/>
  <c r="Y451" i="5" s="1"/>
  <c r="X451" i="5"/>
  <c r="I375" i="5"/>
  <c r="Y375" i="5" s="1"/>
  <c r="X375" i="5"/>
  <c r="I237" i="5"/>
  <c r="Y237" i="5" s="1"/>
  <c r="X237" i="5"/>
  <c r="I33" i="5"/>
  <c r="Y33" i="5" s="1"/>
  <c r="X33" i="5"/>
  <c r="I14" i="5"/>
  <c r="Y14" i="5" s="1"/>
  <c r="X14" i="5"/>
  <c r="I24" i="5"/>
  <c r="Y24" i="5" s="1"/>
  <c r="X24" i="5"/>
  <c r="I895" i="5"/>
  <c r="Y895" i="5" s="1"/>
  <c r="X895" i="5"/>
  <c r="I699" i="5"/>
  <c r="Y699" i="5" s="1"/>
  <c r="X699" i="5"/>
  <c r="I632" i="5"/>
  <c r="Y632" i="5" s="1"/>
  <c r="X632" i="5"/>
  <c r="I767" i="5"/>
  <c r="Y767" i="5" s="1"/>
  <c r="X767" i="5"/>
  <c r="I177" i="5"/>
  <c r="Y177" i="5" s="1"/>
  <c r="X177" i="5"/>
  <c r="I434" i="5"/>
  <c r="Y434" i="5" s="1"/>
  <c r="X434" i="5"/>
  <c r="I437" i="5"/>
  <c r="Y437" i="5" s="1"/>
  <c r="X437" i="5"/>
  <c r="I686" i="5"/>
  <c r="Y686" i="5" s="1"/>
  <c r="X686" i="5"/>
  <c r="I799" i="5"/>
  <c r="Y799" i="5" s="1"/>
  <c r="X799" i="5"/>
  <c r="I938" i="5"/>
  <c r="Y938" i="5" s="1"/>
  <c r="X938" i="5"/>
  <c r="I775" i="5"/>
  <c r="Y775" i="5" s="1"/>
  <c r="X775" i="5"/>
  <c r="I246" i="5"/>
  <c r="Y246" i="5" s="1"/>
  <c r="X246" i="5"/>
  <c r="I179" i="5"/>
  <c r="Y179" i="5" s="1"/>
  <c r="X179" i="5"/>
  <c r="I271" i="5"/>
  <c r="Y271" i="5" s="1"/>
  <c r="X271" i="5"/>
  <c r="I190" i="5"/>
  <c r="Y190" i="5" s="1"/>
  <c r="X190" i="5"/>
  <c r="I84" i="5"/>
  <c r="Y84" i="5" s="1"/>
  <c r="X84" i="5"/>
  <c r="I243" i="5"/>
  <c r="Y243" i="5" s="1"/>
  <c r="X243" i="5"/>
  <c r="I870" i="5"/>
  <c r="Y870" i="5" s="1"/>
  <c r="X870" i="5"/>
  <c r="I695" i="5"/>
  <c r="Y695" i="5" s="1"/>
  <c r="X695" i="5"/>
  <c r="I460" i="5"/>
  <c r="Y460" i="5" s="1"/>
  <c r="X460" i="5"/>
  <c r="I28" i="5"/>
  <c r="Y28" i="5" s="1"/>
  <c r="X28" i="5"/>
  <c r="I761" i="5"/>
  <c r="Y761" i="5" s="1"/>
  <c r="X761" i="5"/>
  <c r="I536" i="5"/>
  <c r="Y536" i="5" s="1"/>
  <c r="X536" i="5"/>
  <c r="I244" i="5"/>
  <c r="Y244" i="5" s="1"/>
  <c r="X244" i="5"/>
  <c r="I518" i="5"/>
  <c r="Y518" i="5" s="1"/>
  <c r="X518" i="5"/>
  <c r="I448" i="5"/>
  <c r="Y448" i="5" s="1"/>
  <c r="X448" i="5"/>
  <c r="I183" i="5"/>
  <c r="Y183" i="5" s="1"/>
  <c r="X183" i="5"/>
  <c r="I191" i="5"/>
  <c r="Y191" i="5" s="1"/>
  <c r="X191" i="5"/>
  <c r="I919" i="5"/>
  <c r="Y919" i="5" s="1"/>
  <c r="X919" i="5"/>
  <c r="I755" i="5"/>
  <c r="Y755" i="5" s="1"/>
  <c r="X755" i="5"/>
  <c r="I711" i="5"/>
  <c r="Y711" i="5" s="1"/>
  <c r="X711" i="5"/>
  <c r="I446" i="5"/>
  <c r="Y446" i="5" s="1"/>
  <c r="X446" i="5"/>
  <c r="I514" i="5"/>
  <c r="Y514" i="5" s="1"/>
  <c r="X514" i="5"/>
  <c r="I582" i="5"/>
  <c r="Y582" i="5" s="1"/>
  <c r="X582" i="5"/>
  <c r="I564" i="5"/>
  <c r="Y564" i="5" s="1"/>
  <c r="X564" i="5"/>
  <c r="I943" i="5"/>
  <c r="Y943" i="5" s="1"/>
  <c r="X943" i="5"/>
  <c r="I455" i="5"/>
  <c r="Y455" i="5" s="1"/>
  <c r="X455" i="5"/>
  <c r="I444" i="5"/>
  <c r="Y444" i="5" s="1"/>
  <c r="X444" i="5"/>
  <c r="I280" i="5"/>
  <c r="Y280" i="5" s="1"/>
  <c r="X280" i="5"/>
  <c r="I397" i="5"/>
  <c r="Y397" i="5" s="1"/>
  <c r="X397" i="5"/>
  <c r="I281" i="5"/>
  <c r="Y281" i="5" s="1"/>
  <c r="X281" i="5"/>
  <c r="I694" i="5"/>
  <c r="Y694" i="5" s="1"/>
  <c r="X694" i="5"/>
  <c r="I999" i="5"/>
  <c r="Y999" i="5" s="1"/>
  <c r="X999" i="5"/>
  <c r="I993" i="5"/>
  <c r="Y993" i="5" s="1"/>
  <c r="X993" i="5"/>
  <c r="I977" i="5"/>
  <c r="Y977" i="5" s="1"/>
  <c r="X977" i="5"/>
  <c r="I961" i="5"/>
  <c r="Y961" i="5" s="1"/>
  <c r="X961" i="5"/>
  <c r="I986" i="5"/>
  <c r="Y986" i="5" s="1"/>
  <c r="X986" i="5"/>
  <c r="I970" i="5"/>
  <c r="Y970" i="5" s="1"/>
  <c r="X970" i="5"/>
  <c r="I976" i="5"/>
  <c r="Y976" i="5" s="1"/>
  <c r="X976" i="5"/>
  <c r="I988" i="5"/>
  <c r="Y988" i="5" s="1"/>
  <c r="X988" i="5"/>
  <c r="I984" i="5"/>
  <c r="Y984" i="5" s="1"/>
  <c r="X984" i="5"/>
  <c r="I964" i="5"/>
  <c r="Y964" i="5" s="1"/>
  <c r="X964" i="5"/>
  <c r="I669" i="5"/>
  <c r="Y669" i="5" s="1"/>
  <c r="X669" i="5"/>
  <c r="I626" i="5"/>
  <c r="Y626" i="5" s="1"/>
  <c r="X626" i="5"/>
  <c r="I566" i="5"/>
  <c r="Y566" i="5" s="1"/>
  <c r="X566" i="5"/>
  <c r="I588" i="5"/>
  <c r="Y588" i="5" s="1"/>
  <c r="X588" i="5"/>
  <c r="I572" i="5"/>
  <c r="Y572" i="5" s="1"/>
  <c r="X572" i="5"/>
  <c r="I559" i="5"/>
  <c r="Y559" i="5" s="1"/>
  <c r="X559" i="5"/>
  <c r="I550" i="5"/>
  <c r="Y550" i="5" s="1"/>
  <c r="X550" i="5"/>
  <c r="I549" i="5"/>
  <c r="Y549" i="5" s="1"/>
  <c r="X549" i="5"/>
  <c r="I546" i="5"/>
  <c r="Y546" i="5" s="1"/>
  <c r="X546" i="5"/>
  <c r="I361" i="5"/>
  <c r="Y361" i="5" s="1"/>
  <c r="X361" i="5"/>
  <c r="I334" i="5"/>
  <c r="Y334" i="5" s="1"/>
  <c r="X334" i="5"/>
  <c r="I318" i="5"/>
  <c r="Y318" i="5" s="1"/>
  <c r="X318" i="5"/>
  <c r="I302" i="5"/>
  <c r="Y302" i="5" s="1"/>
  <c r="X302" i="5"/>
  <c r="I359" i="5"/>
  <c r="Y359" i="5" s="1"/>
  <c r="X359" i="5"/>
  <c r="I331" i="5"/>
  <c r="Y331" i="5" s="1"/>
  <c r="X331" i="5"/>
  <c r="I315" i="5"/>
  <c r="Y315" i="5" s="1"/>
  <c r="X315" i="5"/>
  <c r="I357" i="5"/>
  <c r="Y357" i="5" s="1"/>
  <c r="X357" i="5"/>
  <c r="I328" i="5"/>
  <c r="Y328" i="5" s="1"/>
  <c r="X328" i="5"/>
  <c r="I312" i="5"/>
  <c r="Y312" i="5" s="1"/>
  <c r="X312" i="5"/>
  <c r="I77" i="5"/>
  <c r="Y77" i="5" s="1"/>
  <c r="X77" i="5"/>
  <c r="I902" i="5"/>
  <c r="Y902" i="5" s="1"/>
  <c r="X902" i="5"/>
  <c r="I841" i="5"/>
  <c r="Y841" i="5" s="1"/>
  <c r="X841" i="5"/>
  <c r="I744" i="5"/>
  <c r="Y744" i="5" s="1"/>
  <c r="X744" i="5"/>
  <c r="I801" i="5"/>
  <c r="Y801" i="5" s="1"/>
  <c r="X801" i="5"/>
  <c r="I945" i="5"/>
  <c r="Y945" i="5" s="1"/>
  <c r="X945" i="5"/>
  <c r="I806" i="5"/>
  <c r="Y806" i="5" s="1"/>
  <c r="X806" i="5"/>
  <c r="I740" i="5"/>
  <c r="Y740" i="5" s="1"/>
  <c r="X740" i="5"/>
  <c r="I517" i="5"/>
  <c r="Y517" i="5" s="1"/>
  <c r="X517" i="5"/>
  <c r="I501" i="5"/>
  <c r="Y501" i="5" s="1"/>
  <c r="X501" i="5"/>
  <c r="I485" i="5"/>
  <c r="Y485" i="5" s="1"/>
  <c r="X485" i="5"/>
  <c r="I866" i="5"/>
  <c r="Y866" i="5" s="1"/>
  <c r="X866" i="5"/>
  <c r="I700" i="5"/>
  <c r="Y700" i="5" s="1"/>
  <c r="X700" i="5"/>
  <c r="I457" i="5"/>
  <c r="Y457" i="5" s="1"/>
  <c r="X457" i="5"/>
  <c r="I449" i="5"/>
  <c r="Y449" i="5" s="1"/>
  <c r="X449" i="5"/>
  <c r="I367" i="5"/>
  <c r="Y367" i="5" s="1"/>
  <c r="X367" i="5"/>
  <c r="I366" i="5"/>
  <c r="Y366" i="5" s="1"/>
  <c r="X366" i="5"/>
  <c r="I221" i="5"/>
  <c r="Y221" i="5" s="1"/>
  <c r="X221" i="5"/>
  <c r="I79" i="5"/>
  <c r="Y79" i="5" s="1"/>
  <c r="X79" i="5"/>
  <c r="I11" i="5"/>
  <c r="Y11" i="5" s="1"/>
  <c r="X11" i="5"/>
  <c r="I891" i="5"/>
  <c r="Y891" i="5" s="1"/>
  <c r="X891" i="5"/>
  <c r="I892" i="5"/>
  <c r="Y892" i="5" s="1"/>
  <c r="X892" i="5"/>
  <c r="I409" i="5"/>
  <c r="Y409" i="5" s="1"/>
  <c r="X409" i="5"/>
  <c r="I172" i="5"/>
  <c r="Y172" i="5" s="1"/>
  <c r="X172" i="5"/>
  <c r="I714" i="5"/>
  <c r="Y714" i="5" s="1"/>
  <c r="X714" i="5"/>
  <c r="I777" i="5"/>
  <c r="Y777" i="5" s="1"/>
  <c r="X777" i="5"/>
  <c r="I235" i="5"/>
  <c r="Y235" i="5" s="1"/>
  <c r="X235" i="5"/>
  <c r="I496" i="5"/>
  <c r="Y496" i="5" s="1"/>
  <c r="X496" i="5"/>
  <c r="I508" i="5"/>
  <c r="Y508" i="5" s="1"/>
  <c r="X508" i="5"/>
  <c r="I170" i="5"/>
  <c r="Y170" i="5" s="1"/>
  <c r="X170" i="5"/>
  <c r="I844" i="5"/>
  <c r="Y844" i="5" s="1"/>
  <c r="X844" i="5"/>
  <c r="I651" i="5"/>
  <c r="Y651" i="5" s="1"/>
  <c r="X651" i="5"/>
  <c r="I265" i="5"/>
  <c r="Y265" i="5" s="1"/>
  <c r="X265" i="5"/>
  <c r="I167" i="5"/>
  <c r="Y167" i="5" s="1"/>
  <c r="X167" i="5"/>
  <c r="I893" i="5"/>
  <c r="Y893" i="5" s="1"/>
  <c r="X893" i="5"/>
  <c r="I256" i="5"/>
  <c r="Y256" i="5" s="1"/>
  <c r="X256" i="5"/>
  <c r="I226" i="5"/>
  <c r="Y226" i="5" s="1"/>
  <c r="X226" i="5"/>
  <c r="I890" i="5"/>
  <c r="Y890" i="5" s="1"/>
  <c r="X890" i="5"/>
  <c r="I933" i="5"/>
  <c r="Y933" i="5" s="1"/>
  <c r="X933" i="5"/>
  <c r="I684" i="5"/>
  <c r="Y684" i="5" s="1"/>
  <c r="X684" i="5"/>
  <c r="I214" i="5"/>
  <c r="Y214" i="5" s="1"/>
  <c r="X214" i="5"/>
  <c r="I692" i="5"/>
  <c r="Y692" i="5" s="1"/>
  <c r="X692" i="5"/>
  <c r="I242" i="5"/>
  <c r="Y242" i="5" s="1"/>
  <c r="X242" i="5"/>
  <c r="I168" i="5"/>
  <c r="Y168" i="5" s="1"/>
  <c r="X168" i="5"/>
  <c r="I833" i="5"/>
  <c r="Y833" i="5" s="1"/>
  <c r="X833" i="5"/>
  <c r="I370" i="5"/>
  <c r="Y370" i="5" s="1"/>
  <c r="X370" i="5"/>
  <c r="I849" i="5"/>
  <c r="Y849" i="5" s="1"/>
  <c r="X849" i="5"/>
  <c r="I598" i="5"/>
  <c r="Y598" i="5" s="1"/>
  <c r="X598" i="5"/>
  <c r="I355" i="5"/>
  <c r="Y355" i="5" s="1"/>
  <c r="X355" i="5"/>
  <c r="I794" i="5"/>
  <c r="Y794" i="5" s="1"/>
  <c r="X794" i="5"/>
  <c r="I672" i="5"/>
  <c r="Y672" i="5" s="1"/>
  <c r="X672" i="5"/>
  <c r="I913" i="5"/>
  <c r="Y913" i="5" s="1"/>
  <c r="X913" i="5"/>
  <c r="I470" i="5"/>
  <c r="Y470" i="5" s="1"/>
  <c r="X470" i="5"/>
  <c r="I983" i="5"/>
  <c r="Y983" i="5" s="1"/>
  <c r="X983" i="5"/>
  <c r="I595" i="5"/>
  <c r="Y595" i="5" s="1"/>
  <c r="X595" i="5"/>
  <c r="I590" i="5"/>
  <c r="Y590" i="5" s="1"/>
  <c r="X590" i="5"/>
  <c r="I624" i="5"/>
  <c r="Y624" i="5" s="1"/>
  <c r="X624" i="5"/>
  <c r="I583" i="5"/>
  <c r="Y583" i="5" s="1"/>
  <c r="X583" i="5"/>
  <c r="I565" i="5"/>
  <c r="Y565" i="5" s="1"/>
  <c r="X565" i="5"/>
  <c r="I553" i="5"/>
  <c r="Y553" i="5" s="1"/>
  <c r="X553" i="5"/>
  <c r="I547" i="5"/>
  <c r="Y547" i="5" s="1"/>
  <c r="X547" i="5"/>
  <c r="I321" i="5"/>
  <c r="Y321" i="5" s="1"/>
  <c r="X321" i="5"/>
  <c r="I69" i="5"/>
  <c r="Y69" i="5" s="1"/>
  <c r="X69" i="5"/>
  <c r="I36" i="5"/>
  <c r="Y36" i="5" s="1"/>
  <c r="X36" i="5"/>
  <c r="I837" i="5"/>
  <c r="Y837" i="5" s="1"/>
  <c r="X837" i="5"/>
  <c r="I786" i="5"/>
  <c r="Y786" i="5" s="1"/>
  <c r="X786" i="5"/>
  <c r="I524" i="5"/>
  <c r="Y524" i="5" s="1"/>
  <c r="X524" i="5"/>
  <c r="I619" i="5"/>
  <c r="Y619" i="5" s="1"/>
  <c r="X619" i="5"/>
  <c r="I499" i="5"/>
  <c r="Y499" i="5" s="1"/>
  <c r="X499" i="5"/>
  <c r="I698" i="5"/>
  <c r="Y698" i="5" s="1"/>
  <c r="X698" i="5"/>
  <c r="I459" i="5"/>
  <c r="Y459" i="5" s="1"/>
  <c r="X459" i="5"/>
  <c r="I411" i="5"/>
  <c r="Y411" i="5" s="1"/>
  <c r="X411" i="5"/>
  <c r="I447" i="5"/>
  <c r="Y447" i="5" s="1"/>
  <c r="X447" i="5"/>
  <c r="I438" i="5"/>
  <c r="Y438" i="5" s="1"/>
  <c r="X438" i="5"/>
  <c r="I294" i="5"/>
  <c r="Y294" i="5" s="1"/>
  <c r="X294" i="5"/>
  <c r="I76" i="5"/>
  <c r="Y76" i="5" s="1"/>
  <c r="X76" i="5"/>
  <c r="I75" i="5"/>
  <c r="Y75" i="5" s="1"/>
  <c r="X75" i="5"/>
  <c r="I25" i="5"/>
  <c r="Y25" i="5" s="1"/>
  <c r="X25" i="5"/>
  <c r="I35" i="5"/>
  <c r="Y35" i="5" s="1"/>
  <c r="X35" i="5"/>
  <c r="I21" i="5"/>
  <c r="Y21" i="5" s="1"/>
  <c r="X21" i="5"/>
  <c r="I887" i="5"/>
  <c r="Y887" i="5" s="1"/>
  <c r="X887" i="5"/>
  <c r="I715" i="5"/>
  <c r="Y715" i="5" s="1"/>
  <c r="X715" i="5"/>
  <c r="I492" i="5"/>
  <c r="Y492" i="5" s="1"/>
  <c r="X492" i="5"/>
  <c r="I382" i="5"/>
  <c r="Y382" i="5" s="1"/>
  <c r="X382" i="5"/>
  <c r="I885" i="5"/>
  <c r="Y885" i="5" s="1"/>
  <c r="X885" i="5"/>
  <c r="I710" i="5"/>
  <c r="Y710" i="5" s="1"/>
  <c r="X710" i="5"/>
  <c r="I424" i="5"/>
  <c r="Y424" i="5" s="1"/>
  <c r="X424" i="5"/>
  <c r="I420" i="5"/>
  <c r="Y420" i="5" s="1"/>
  <c r="X420" i="5"/>
  <c r="I896" i="5"/>
  <c r="Y896" i="5" s="1"/>
  <c r="X896" i="5"/>
  <c r="I739" i="5"/>
  <c r="Y739" i="5" s="1"/>
  <c r="X739" i="5"/>
  <c r="I442" i="5"/>
  <c r="Y442" i="5" s="1"/>
  <c r="X442" i="5"/>
  <c r="I889" i="5"/>
  <c r="Y889" i="5" s="1"/>
  <c r="X889" i="5"/>
  <c r="I743" i="5"/>
  <c r="Y743" i="5" s="1"/>
  <c r="X743" i="5"/>
  <c r="I234" i="5"/>
  <c r="Y234" i="5" s="1"/>
  <c r="X234" i="5"/>
  <c r="I824" i="5"/>
  <c r="Y824" i="5" s="1"/>
  <c r="X824" i="5"/>
  <c r="I452" i="5"/>
  <c r="Y452" i="5" s="1"/>
  <c r="X452" i="5"/>
  <c r="I165" i="5"/>
  <c r="Y165" i="5" s="1"/>
  <c r="X165" i="5"/>
  <c r="I480" i="5"/>
  <c r="Y480" i="5" s="1"/>
  <c r="X480" i="5"/>
  <c r="I878" i="5"/>
  <c r="Y878" i="5" s="1"/>
  <c r="X878" i="5"/>
  <c r="I169" i="5"/>
  <c r="Y169" i="5" s="1"/>
  <c r="X169" i="5"/>
  <c r="I862" i="5"/>
  <c r="Y862" i="5" s="1"/>
  <c r="X862" i="5"/>
  <c r="I830" i="5"/>
  <c r="Y830" i="5" s="1"/>
  <c r="X830" i="5"/>
  <c r="I680" i="5"/>
  <c r="Y680" i="5" s="1"/>
  <c r="X680" i="5"/>
  <c r="I456" i="5"/>
  <c r="Y456" i="5" s="1"/>
  <c r="X456" i="5"/>
  <c r="I955" i="5"/>
  <c r="Y955" i="5" s="1"/>
  <c r="X955" i="5"/>
  <c r="I758" i="5"/>
  <c r="Y758" i="5" s="1"/>
  <c r="X758" i="5"/>
  <c r="I671" i="5"/>
  <c r="Y671" i="5" s="1"/>
  <c r="X671" i="5"/>
  <c r="I285" i="5"/>
  <c r="Y285" i="5" s="1"/>
  <c r="X285" i="5"/>
  <c r="I415" i="5"/>
  <c r="Y415" i="5" s="1"/>
  <c r="X415" i="5"/>
  <c r="I781" i="5"/>
  <c r="Y781" i="5" s="1"/>
  <c r="X781" i="5"/>
  <c r="I425" i="5"/>
  <c r="Y425" i="5" s="1"/>
  <c r="X425" i="5"/>
  <c r="I709" i="5"/>
  <c r="Y709" i="5" s="1"/>
  <c r="X709" i="5"/>
  <c r="I510" i="5"/>
  <c r="Y510" i="5" s="1"/>
  <c r="X510" i="5"/>
  <c r="I468" i="5"/>
  <c r="Y468" i="5" s="1"/>
  <c r="X468" i="5"/>
  <c r="I842" i="5"/>
  <c r="Y842" i="5" s="1"/>
  <c r="X842" i="5"/>
  <c r="I575" i="5"/>
  <c r="Y575" i="5" s="1"/>
  <c r="X575" i="5"/>
  <c r="I813" i="5"/>
  <c r="Y813" i="5" s="1"/>
  <c r="X813" i="5"/>
  <c r="I754" i="5"/>
  <c r="Y754" i="5" s="1"/>
  <c r="X754" i="5"/>
  <c r="I627" i="5"/>
  <c r="Y627" i="5" s="1"/>
  <c r="X627" i="5"/>
  <c r="I475" i="5"/>
  <c r="Y475" i="5" s="1"/>
  <c r="X475" i="5"/>
  <c r="I430" i="5"/>
  <c r="Y430" i="5" s="1"/>
  <c r="X430" i="5"/>
  <c r="I861" i="5"/>
  <c r="Y861" i="5" s="1"/>
  <c r="X861" i="5"/>
  <c r="I210" i="5"/>
  <c r="Y210" i="5" s="1"/>
  <c r="X210" i="5"/>
  <c r="I194" i="5"/>
  <c r="Y194" i="5" s="1"/>
  <c r="X194" i="5"/>
  <c r="I275" i="5"/>
  <c r="Y275" i="5" s="1"/>
  <c r="X275" i="5"/>
  <c r="I238" i="5"/>
  <c r="Y238" i="5" s="1"/>
  <c r="X238" i="5"/>
  <c r="I967" i="5"/>
  <c r="Y967" i="5" s="1"/>
  <c r="X967" i="5"/>
  <c r="I606" i="5"/>
  <c r="Y606" i="5" s="1"/>
  <c r="X606" i="5"/>
  <c r="I577" i="5"/>
  <c r="Y577" i="5" s="1"/>
  <c r="X577" i="5"/>
  <c r="I574" i="5"/>
  <c r="Y574" i="5" s="1"/>
  <c r="X574" i="5"/>
  <c r="I601" i="5"/>
  <c r="Y601" i="5" s="1"/>
  <c r="X601" i="5"/>
  <c r="I594" i="5"/>
  <c r="Y594" i="5" s="1"/>
  <c r="X594" i="5"/>
  <c r="I552" i="5"/>
  <c r="Y552" i="5" s="1"/>
  <c r="X552" i="5"/>
  <c r="I354" i="5"/>
  <c r="Y354" i="5" s="1"/>
  <c r="X354" i="5"/>
  <c r="I360" i="5"/>
  <c r="Y360" i="5" s="1"/>
  <c r="X360" i="5"/>
  <c r="I339" i="5"/>
  <c r="Y339" i="5" s="1"/>
  <c r="X339" i="5"/>
  <c r="I305" i="5"/>
  <c r="Y305" i="5" s="1"/>
  <c r="X305" i="5"/>
  <c r="I900" i="5"/>
  <c r="Y900" i="5" s="1"/>
  <c r="X900" i="5"/>
  <c r="I871" i="5"/>
  <c r="Y871" i="5" s="1"/>
  <c r="X871" i="5"/>
  <c r="I789" i="5"/>
  <c r="Y789" i="5" s="1"/>
  <c r="X789" i="5"/>
  <c r="I936" i="5"/>
  <c r="Y936" i="5" s="1"/>
  <c r="X936" i="5"/>
  <c r="I959" i="5"/>
  <c r="Y959" i="5" s="1"/>
  <c r="X959" i="5"/>
  <c r="I726" i="5"/>
  <c r="Y726" i="5" s="1"/>
  <c r="X726" i="5"/>
  <c r="I706" i="5"/>
  <c r="Y706" i="5" s="1"/>
  <c r="X706" i="5"/>
  <c r="I515" i="5"/>
  <c r="Y515" i="5" s="1"/>
  <c r="X515" i="5"/>
  <c r="I483" i="5"/>
  <c r="Y483" i="5" s="1"/>
  <c r="X483" i="5"/>
  <c r="I995" i="5"/>
  <c r="Y995" i="5" s="1"/>
  <c r="X995" i="5"/>
  <c r="I979" i="5"/>
  <c r="Y979" i="5" s="1"/>
  <c r="X979" i="5"/>
  <c r="I963" i="5"/>
  <c r="Y963" i="5" s="1"/>
  <c r="X963" i="5"/>
  <c r="I989" i="5"/>
  <c r="Y989" i="5" s="1"/>
  <c r="X989" i="5"/>
  <c r="I973" i="5"/>
  <c r="Y973" i="5" s="1"/>
  <c r="X973" i="5"/>
  <c r="I998" i="5"/>
  <c r="Y998" i="5" s="1"/>
  <c r="X998" i="5"/>
  <c r="I982" i="5"/>
  <c r="Y982" i="5" s="1"/>
  <c r="X982" i="5"/>
  <c r="I966" i="5"/>
  <c r="Y966" i="5" s="1"/>
  <c r="X966" i="5"/>
  <c r="I960" i="5"/>
  <c r="Y960" i="5" s="1"/>
  <c r="X960" i="5"/>
  <c r="I972" i="5"/>
  <c r="Y972" i="5" s="1"/>
  <c r="X972" i="5"/>
  <c r="I968" i="5"/>
  <c r="Y968" i="5" s="1"/>
  <c r="X968" i="5"/>
  <c r="I665" i="5"/>
  <c r="Y665" i="5" s="1"/>
  <c r="X665" i="5"/>
  <c r="I609" i="5"/>
  <c r="Y609" i="5" s="1"/>
  <c r="X609" i="5"/>
  <c r="I584" i="5"/>
  <c r="Y584" i="5" s="1"/>
  <c r="X584" i="5"/>
  <c r="I560" i="5"/>
  <c r="Y560" i="5" s="1"/>
  <c r="X560" i="5"/>
  <c r="I548" i="5"/>
  <c r="Y548" i="5" s="1"/>
  <c r="X548" i="5"/>
  <c r="I542" i="5"/>
  <c r="Y542" i="5" s="1"/>
  <c r="X542" i="5"/>
  <c r="I541" i="5"/>
  <c r="Y541" i="5" s="1"/>
  <c r="X541" i="5"/>
  <c r="I538" i="5"/>
  <c r="Y538" i="5" s="1"/>
  <c r="X538" i="5"/>
  <c r="I353" i="5"/>
  <c r="Y353" i="5" s="1"/>
  <c r="X353" i="5"/>
  <c r="I330" i="5"/>
  <c r="Y330" i="5" s="1"/>
  <c r="X330" i="5"/>
  <c r="I314" i="5"/>
  <c r="Y314" i="5" s="1"/>
  <c r="X314" i="5"/>
  <c r="I356" i="5"/>
  <c r="Y356" i="5" s="1"/>
  <c r="X356" i="5"/>
  <c r="I351" i="5"/>
  <c r="Y351" i="5" s="1"/>
  <c r="X351" i="5"/>
  <c r="I327" i="5"/>
  <c r="Y327" i="5" s="1"/>
  <c r="X327" i="5"/>
  <c r="I311" i="5"/>
  <c r="Y311" i="5" s="1"/>
  <c r="X311" i="5"/>
  <c r="I349" i="5"/>
  <c r="Y349" i="5" s="1"/>
  <c r="X349" i="5"/>
  <c r="I324" i="5"/>
  <c r="Y324" i="5" s="1"/>
  <c r="X324" i="5"/>
  <c r="I308" i="5"/>
  <c r="Y308" i="5" s="1"/>
  <c r="X308" i="5"/>
  <c r="I358" i="5"/>
  <c r="Y358" i="5" s="1"/>
  <c r="X358" i="5"/>
  <c r="I904" i="5"/>
  <c r="Y904" i="5" s="1"/>
  <c r="X904" i="5"/>
  <c r="I867" i="5"/>
  <c r="Y867" i="5" s="1"/>
  <c r="X867" i="5"/>
  <c r="I822" i="5"/>
  <c r="Y822" i="5" s="1"/>
  <c r="X822" i="5"/>
  <c r="I778" i="5"/>
  <c r="Y778" i="5" s="1"/>
  <c r="X778" i="5"/>
  <c r="I853" i="5"/>
  <c r="Y853" i="5" s="1"/>
  <c r="X853" i="5"/>
  <c r="I702" i="5"/>
  <c r="Y702" i="5" s="1"/>
  <c r="X702" i="5"/>
  <c r="I717" i="5"/>
  <c r="Y717" i="5" s="1"/>
  <c r="X717" i="5"/>
  <c r="I617" i="5"/>
  <c r="Y617" i="5" s="1"/>
  <c r="X617" i="5"/>
  <c r="I513" i="5"/>
  <c r="Y513" i="5" s="1"/>
  <c r="X513" i="5"/>
  <c r="I497" i="5"/>
  <c r="Y497" i="5" s="1"/>
  <c r="X497" i="5"/>
  <c r="I481" i="5"/>
  <c r="Y481" i="5" s="1"/>
  <c r="X481" i="5"/>
  <c r="I791" i="5"/>
  <c r="Y791" i="5" s="1"/>
  <c r="X791" i="5"/>
  <c r="I696" i="5"/>
  <c r="Y696" i="5" s="1"/>
  <c r="X696" i="5"/>
  <c r="I419" i="5"/>
  <c r="Y419" i="5" s="1"/>
  <c r="X419" i="5"/>
  <c r="I445" i="5"/>
  <c r="Y445" i="5" s="1"/>
  <c r="X445" i="5"/>
  <c r="I469" i="5"/>
  <c r="Y469" i="5" s="1"/>
  <c r="X469" i="5"/>
  <c r="I461" i="5"/>
  <c r="Y461" i="5" s="1"/>
  <c r="X461" i="5"/>
  <c r="I286" i="5"/>
  <c r="Y286" i="5" s="1"/>
  <c r="X286" i="5"/>
  <c r="I197" i="5"/>
  <c r="Y197" i="5" s="1"/>
  <c r="X197" i="5"/>
  <c r="I30" i="5"/>
  <c r="Y30" i="5" s="1"/>
  <c r="X30" i="5"/>
  <c r="I18" i="5"/>
  <c r="Y18" i="5" s="1"/>
  <c r="X18" i="5"/>
  <c r="I883" i="5"/>
  <c r="Y883" i="5" s="1"/>
  <c r="X883" i="5"/>
  <c r="I708" i="5"/>
  <c r="Y708" i="5" s="1"/>
  <c r="X708" i="5"/>
  <c r="I264" i="5"/>
  <c r="Y264" i="5" s="1"/>
  <c r="X264" i="5"/>
  <c r="I745" i="5"/>
  <c r="Y745" i="5" s="1"/>
  <c r="X745" i="5"/>
  <c r="I413" i="5"/>
  <c r="Y413" i="5" s="1"/>
  <c r="X413" i="5"/>
  <c r="I3" i="5"/>
  <c r="Y3" i="5" s="1"/>
  <c r="X3" i="5"/>
  <c r="I476" i="5"/>
  <c r="Y476" i="5" s="1"/>
  <c r="X476" i="5"/>
  <c r="I721" i="5"/>
  <c r="Y721" i="5" s="1"/>
  <c r="X721" i="5"/>
  <c r="I248" i="5"/>
  <c r="Y248" i="5" s="1"/>
  <c r="X248" i="5"/>
  <c r="I157" i="5"/>
  <c r="Y157" i="5" s="1"/>
  <c r="X157" i="5"/>
  <c r="I880" i="5"/>
  <c r="Y880" i="5" s="1"/>
  <c r="X880" i="5"/>
  <c r="I236" i="5"/>
  <c r="Y236" i="5" s="1"/>
  <c r="X236" i="5"/>
  <c r="I39" i="5"/>
  <c r="Y39" i="5" s="1"/>
  <c r="X39" i="5"/>
  <c r="I857" i="5"/>
  <c r="Y857" i="5" s="1"/>
  <c r="X857" i="5"/>
  <c r="I399" i="5"/>
  <c r="Y399" i="5" s="1"/>
  <c r="X399" i="5"/>
  <c r="I908" i="5"/>
  <c r="Y908" i="5" s="1"/>
  <c r="X908" i="5"/>
  <c r="I520" i="5"/>
  <c r="Y520" i="5" s="1"/>
  <c r="X520" i="5"/>
  <c r="I800" i="5"/>
  <c r="Y800" i="5" s="1"/>
  <c r="X800" i="5"/>
  <c r="I209" i="5"/>
  <c r="Y209" i="5" s="1"/>
  <c r="X209" i="5"/>
  <c r="I886" i="5"/>
  <c r="Y886" i="5" s="1"/>
  <c r="X886" i="5"/>
  <c r="I751" i="5"/>
  <c r="Y751" i="5" s="1"/>
  <c r="X751" i="5"/>
  <c r="I464" i="5"/>
  <c r="Y464" i="5" s="1"/>
  <c r="X464" i="5"/>
  <c r="I83" i="5"/>
  <c r="Y83" i="5" s="1"/>
  <c r="X83" i="5"/>
  <c r="I241" i="5"/>
  <c r="Y241" i="5" s="1"/>
  <c r="X241" i="5"/>
  <c r="I291" i="5"/>
  <c r="Y291" i="5" s="1"/>
  <c r="X291" i="5"/>
  <c r="I681" i="5"/>
  <c r="Y681" i="5" s="1"/>
  <c r="X681" i="5"/>
  <c r="I288" i="5"/>
  <c r="Y288" i="5" s="1"/>
  <c r="X288" i="5"/>
  <c r="I440" i="5"/>
  <c r="Y440" i="5" s="1"/>
  <c r="X440" i="5"/>
  <c r="I836" i="5"/>
  <c r="Y836" i="5" s="1"/>
  <c r="X836" i="5"/>
  <c r="I387" i="5"/>
  <c r="Y387" i="5" s="1"/>
  <c r="X387" i="5"/>
  <c r="I585" i="5"/>
  <c r="Y585" i="5" s="1"/>
  <c r="X585" i="5"/>
  <c r="I591" i="5"/>
  <c r="Y591" i="5" s="1"/>
  <c r="X591" i="5"/>
  <c r="I537" i="5"/>
  <c r="Y537" i="5" s="1"/>
  <c r="X537" i="5"/>
  <c r="I338" i="5"/>
  <c r="Y338" i="5" s="1"/>
  <c r="X338" i="5"/>
  <c r="I329" i="5"/>
  <c r="Y329" i="5" s="1"/>
  <c r="X329" i="5"/>
  <c r="I918" i="5"/>
  <c r="Y918" i="5" s="1"/>
  <c r="X918" i="5"/>
  <c r="I391" i="5"/>
  <c r="Y391" i="5" s="1"/>
  <c r="X391" i="5"/>
  <c r="I910" i="5"/>
  <c r="Y910" i="5" s="1"/>
  <c r="X910" i="5"/>
  <c r="I816" i="5"/>
  <c r="Y816" i="5" s="1"/>
  <c r="X816" i="5"/>
  <c r="I826" i="5"/>
  <c r="Y826" i="5" s="1"/>
  <c r="X826" i="5"/>
  <c r="I223" i="5"/>
  <c r="Y223" i="5" s="1"/>
  <c r="X223" i="5"/>
  <c r="I782" i="5"/>
  <c r="Y782" i="5" s="1"/>
  <c r="X782" i="5"/>
  <c r="I232" i="5"/>
  <c r="Y232" i="5" s="1"/>
  <c r="X232" i="5"/>
  <c r="I17" i="5"/>
  <c r="Y17" i="5" s="1"/>
  <c r="X17" i="5"/>
  <c r="I911" i="5"/>
  <c r="Y911" i="5" s="1"/>
  <c r="X911" i="5"/>
  <c r="I604" i="5"/>
  <c r="Y604" i="5" s="1"/>
  <c r="X604" i="5"/>
  <c r="I573" i="5"/>
  <c r="Y573" i="5" s="1"/>
  <c r="X573" i="5"/>
  <c r="I599" i="5"/>
  <c r="Y599" i="5" s="1"/>
  <c r="X599" i="5"/>
  <c r="I571" i="5"/>
  <c r="Y571" i="5" s="1"/>
  <c r="X571" i="5"/>
  <c r="I539" i="5"/>
  <c r="Y539" i="5" s="1"/>
  <c r="X539" i="5"/>
  <c r="I544" i="5"/>
  <c r="Y544" i="5" s="1"/>
  <c r="X544" i="5"/>
  <c r="I346" i="5"/>
  <c r="Y346" i="5" s="1"/>
  <c r="X346" i="5"/>
  <c r="I352" i="5"/>
  <c r="Y352" i="5" s="1"/>
  <c r="X352" i="5"/>
  <c r="I363" i="5"/>
  <c r="Y363" i="5" s="1"/>
  <c r="X363" i="5"/>
  <c r="I333" i="5"/>
  <c r="Y333" i="5" s="1"/>
  <c r="X333" i="5"/>
  <c r="I317" i="5"/>
  <c r="Y317" i="5" s="1"/>
  <c r="X317" i="5"/>
  <c r="I301" i="5"/>
  <c r="Y301" i="5" s="1"/>
  <c r="X301" i="5"/>
  <c r="I175" i="5"/>
  <c r="Y175" i="5" s="1"/>
  <c r="X175" i="5"/>
  <c r="I897" i="5"/>
  <c r="Y897" i="5" s="1"/>
  <c r="X897" i="5"/>
  <c r="I845" i="5"/>
  <c r="Y845" i="5" s="1"/>
  <c r="X845" i="5"/>
  <c r="I814" i="5"/>
  <c r="Y814" i="5" s="1"/>
  <c r="X814" i="5"/>
  <c r="I934" i="5"/>
  <c r="Y934" i="5" s="1"/>
  <c r="X934" i="5"/>
  <c r="I950" i="5"/>
  <c r="Y950" i="5" s="1"/>
  <c r="X950" i="5"/>
  <c r="I784" i="5"/>
  <c r="Y784" i="5" s="1"/>
  <c r="X784" i="5"/>
  <c r="I793" i="5"/>
  <c r="Y793" i="5" s="1"/>
  <c r="X793" i="5"/>
  <c r="I770" i="5"/>
  <c r="Y770" i="5" s="1"/>
  <c r="X770" i="5"/>
  <c r="I926" i="5"/>
  <c r="Y926" i="5" s="1"/>
  <c r="X926" i="5"/>
  <c r="I823" i="5"/>
  <c r="Y823" i="5" s="1"/>
  <c r="X823" i="5"/>
  <c r="I530" i="5"/>
  <c r="Y530" i="5" s="1"/>
  <c r="X530" i="5"/>
  <c r="I511" i="5"/>
  <c r="Y511" i="5" s="1"/>
  <c r="X511" i="5"/>
  <c r="I495" i="5"/>
  <c r="Y495" i="5" s="1"/>
  <c r="X495" i="5"/>
  <c r="I479" i="5"/>
  <c r="Y479" i="5" s="1"/>
  <c r="X479" i="5"/>
  <c r="I773" i="5"/>
  <c r="Y773" i="5" s="1"/>
  <c r="X773" i="5"/>
  <c r="I407" i="5"/>
  <c r="Y407" i="5" s="1"/>
  <c r="X407" i="5"/>
  <c r="I383" i="5"/>
  <c r="Y383" i="5" s="1"/>
  <c r="X383" i="5"/>
  <c r="I443" i="5"/>
  <c r="Y443" i="5" s="1"/>
  <c r="X443" i="5"/>
  <c r="I422" i="5"/>
  <c r="Y422" i="5" s="1"/>
  <c r="X422" i="5"/>
  <c r="I278" i="5"/>
  <c r="Y278" i="5" s="1"/>
  <c r="X278" i="5"/>
  <c r="I187" i="5"/>
  <c r="Y187" i="5" s="1"/>
  <c r="X187" i="5"/>
  <c r="I186" i="5"/>
  <c r="Y186" i="5" s="1"/>
  <c r="X186" i="5"/>
  <c r="I23" i="5"/>
  <c r="Y23" i="5" s="1"/>
  <c r="X23" i="5"/>
  <c r="I22" i="5"/>
  <c r="Y22" i="5" s="1"/>
  <c r="X22" i="5"/>
  <c r="I10" i="5"/>
  <c r="Y10" i="5" s="1"/>
  <c r="X10" i="5"/>
  <c r="I879" i="5"/>
  <c r="Y879" i="5" s="1"/>
  <c r="X879" i="5"/>
  <c r="I673" i="5"/>
  <c r="Y673" i="5" s="1"/>
  <c r="X673" i="5"/>
  <c r="I848" i="5"/>
  <c r="Y848" i="5" s="1"/>
  <c r="X848" i="5"/>
  <c r="I450" i="5"/>
  <c r="Y450" i="5" s="1"/>
  <c r="X450" i="5"/>
  <c r="I261" i="5"/>
  <c r="Y261" i="5" s="1"/>
  <c r="X261" i="5"/>
  <c r="I787" i="5"/>
  <c r="Y787" i="5" s="1"/>
  <c r="X787" i="5"/>
  <c r="I649" i="5"/>
  <c r="Y649" i="5" s="1"/>
  <c r="X649" i="5"/>
  <c r="I884" i="5"/>
  <c r="Y884" i="5" s="1"/>
  <c r="X884" i="5"/>
  <c r="I724" i="5"/>
  <c r="Y724" i="5" s="1"/>
  <c r="X724" i="5"/>
  <c r="I403" i="5"/>
  <c r="Y403" i="5" s="1"/>
  <c r="X403" i="5"/>
  <c r="I171" i="5"/>
  <c r="Y171" i="5" s="1"/>
  <c r="X171" i="5"/>
  <c r="I881" i="5"/>
  <c r="Y881" i="5" s="1"/>
  <c r="X881" i="5"/>
  <c r="I877" i="5"/>
  <c r="Y877" i="5" s="1"/>
  <c r="X877" i="5"/>
  <c r="I683" i="5"/>
  <c r="Y683" i="5" s="1"/>
  <c r="X683" i="5"/>
  <c r="I876" i="5"/>
  <c r="Y876" i="5" s="1"/>
  <c r="X876" i="5"/>
  <c r="I299" i="5"/>
  <c r="Y299" i="5" s="1"/>
  <c r="X299" i="5"/>
  <c r="I220" i="5"/>
  <c r="Y220" i="5" s="1"/>
  <c r="X220" i="5"/>
  <c r="I888" i="5"/>
  <c r="Y888" i="5" s="1"/>
  <c r="X888" i="5"/>
  <c r="I701" i="5"/>
  <c r="Y701" i="5" s="1"/>
  <c r="X701" i="5"/>
  <c r="I432" i="5"/>
  <c r="Y432" i="5" s="1"/>
  <c r="X432" i="5"/>
  <c r="I240" i="5"/>
  <c r="Y240" i="5" s="1"/>
  <c r="X240" i="5"/>
  <c r="I405" i="5"/>
  <c r="Y405" i="5" s="1"/>
  <c r="X405" i="5"/>
  <c r="I219" i="5"/>
  <c r="Y219" i="5" s="1"/>
  <c r="X219" i="5"/>
  <c r="I34" i="5"/>
  <c r="Y34" i="5" s="1"/>
  <c r="X34" i="5"/>
  <c r="I623" i="5"/>
  <c r="Y623" i="5" s="1"/>
  <c r="X623" i="5"/>
  <c r="I846" i="5"/>
  <c r="Y846" i="5" s="1"/>
  <c r="X846" i="5"/>
  <c r="I247" i="5"/>
  <c r="Y247" i="5" s="1"/>
  <c r="X247" i="5"/>
  <c r="I882" i="5"/>
  <c r="Y882" i="5" s="1"/>
  <c r="X882" i="5"/>
  <c r="I946" i="5"/>
  <c r="Y946" i="5" s="1"/>
  <c r="X946" i="5"/>
  <c r="I796" i="5"/>
  <c r="Y796" i="5" s="1"/>
  <c r="X796" i="5"/>
  <c r="I426" i="5"/>
  <c r="Y426" i="5" s="1"/>
  <c r="X426" i="5"/>
  <c r="I742" i="5"/>
  <c r="Y742" i="5" s="1"/>
  <c r="X742" i="5"/>
  <c r="I13" i="5"/>
  <c r="Y13" i="5" s="1"/>
  <c r="X13" i="5"/>
  <c r="I427" i="5"/>
  <c r="Y427" i="5" s="1"/>
  <c r="X427" i="5"/>
  <c r="I163" i="5"/>
  <c r="Y163" i="5" s="1"/>
  <c r="X163" i="5"/>
  <c r="I166" i="5"/>
  <c r="Y166" i="5" s="1"/>
  <c r="X166" i="5"/>
  <c r="I161" i="5"/>
  <c r="Y161" i="5" s="1"/>
  <c r="X161" i="5"/>
  <c r="I602" i="5"/>
  <c r="Y602" i="5" s="1"/>
  <c r="X602" i="5"/>
  <c r="I563" i="5"/>
  <c r="Y563" i="5" s="1"/>
  <c r="X563" i="5"/>
  <c r="I344" i="5"/>
  <c r="Y344" i="5" s="1"/>
  <c r="X344" i="5"/>
  <c r="I768" i="5"/>
  <c r="Y768" i="5" s="1"/>
  <c r="X768" i="5"/>
  <c r="I809" i="5"/>
  <c r="Y809" i="5" s="1"/>
  <c r="X809" i="5"/>
  <c r="I526" i="5"/>
  <c r="Y526" i="5" s="1"/>
  <c r="X526" i="5"/>
  <c r="I621" i="5"/>
  <c r="Y621" i="5" s="1"/>
  <c r="X621" i="5"/>
  <c r="I439" i="5"/>
  <c r="Y439" i="5" s="1"/>
  <c r="X439" i="5"/>
  <c r="I15" i="5"/>
  <c r="Y15" i="5" s="1"/>
  <c r="X15" i="5"/>
  <c r="I647" i="5"/>
  <c r="Y647" i="5" s="1"/>
  <c r="X647" i="5"/>
  <c r="I865" i="5"/>
  <c r="Y865" i="5" s="1"/>
  <c r="X865" i="5"/>
  <c r="I831" i="5"/>
  <c r="Y831" i="5" s="1"/>
  <c r="X831" i="5"/>
  <c r="I873" i="5"/>
  <c r="Y873" i="5" s="1"/>
  <c r="X873" i="5"/>
  <c r="I693" i="5"/>
  <c r="Y693" i="5" s="1"/>
  <c r="X693" i="5"/>
  <c r="I589" i="5"/>
  <c r="Y589" i="5" s="1"/>
  <c r="X589" i="5"/>
  <c r="I586" i="5"/>
  <c r="Y586" i="5" s="1"/>
  <c r="X586" i="5"/>
  <c r="I607" i="5"/>
  <c r="Y607" i="5" s="1"/>
  <c r="X607" i="5"/>
  <c r="I579" i="5"/>
  <c r="Y579" i="5" s="1"/>
  <c r="X579" i="5"/>
  <c r="I635" i="5"/>
  <c r="Y635" i="5" s="1"/>
  <c r="X635" i="5"/>
  <c r="I545" i="5"/>
  <c r="Y545" i="5" s="1"/>
  <c r="X545" i="5"/>
  <c r="I991" i="5"/>
  <c r="Y991" i="5" s="1"/>
  <c r="X991" i="5"/>
  <c r="I975" i="5"/>
  <c r="Y975" i="5" s="1"/>
  <c r="X975" i="5"/>
  <c r="I1001" i="5"/>
  <c r="Y1001" i="5" s="1"/>
  <c r="X1001" i="5"/>
  <c r="I985" i="5"/>
  <c r="Y985" i="5" s="1"/>
  <c r="X985" i="5"/>
  <c r="I969" i="5"/>
  <c r="Y969" i="5" s="1"/>
  <c r="X969" i="5"/>
  <c r="I994" i="5"/>
  <c r="Y994" i="5" s="1"/>
  <c r="X994" i="5"/>
  <c r="I978" i="5"/>
  <c r="Y978" i="5" s="1"/>
  <c r="X978" i="5"/>
  <c r="I962" i="5"/>
  <c r="Y962" i="5" s="1"/>
  <c r="X962" i="5"/>
  <c r="I996" i="5"/>
  <c r="Y996" i="5" s="1"/>
  <c r="X996" i="5"/>
  <c r="I661" i="5"/>
  <c r="Y661" i="5" s="1"/>
  <c r="X661" i="5"/>
  <c r="I596" i="5"/>
  <c r="Y596" i="5" s="1"/>
  <c r="X596" i="5"/>
  <c r="I570" i="5"/>
  <c r="Y570" i="5" s="1"/>
  <c r="X570" i="5"/>
  <c r="I628" i="5"/>
  <c r="Y628" i="5" s="1"/>
  <c r="X628" i="5"/>
  <c r="I580" i="5"/>
  <c r="Y580" i="5" s="1"/>
  <c r="X580" i="5"/>
  <c r="I551" i="5"/>
  <c r="Y551" i="5" s="1"/>
  <c r="X551" i="5"/>
  <c r="I540" i="5"/>
  <c r="Y540" i="5" s="1"/>
  <c r="X540" i="5"/>
  <c r="I561" i="5"/>
  <c r="Y561" i="5" s="1"/>
  <c r="X561" i="5"/>
  <c r="I345" i="5"/>
  <c r="Y345" i="5" s="1"/>
  <c r="X345" i="5"/>
  <c r="I326" i="5"/>
  <c r="Y326" i="5" s="1"/>
  <c r="X326" i="5"/>
  <c r="I310" i="5"/>
  <c r="Y310" i="5" s="1"/>
  <c r="X310" i="5"/>
  <c r="I348" i="5"/>
  <c r="Y348" i="5" s="1"/>
  <c r="X348" i="5"/>
  <c r="I343" i="5"/>
  <c r="Y343" i="5" s="1"/>
  <c r="X343" i="5"/>
  <c r="I323" i="5"/>
  <c r="Y323" i="5" s="1"/>
  <c r="X323" i="5"/>
  <c r="I307" i="5"/>
  <c r="Y307" i="5" s="1"/>
  <c r="X307" i="5"/>
  <c r="I341" i="5"/>
  <c r="Y341" i="5" s="1"/>
  <c r="X341" i="5"/>
  <c r="I320" i="5"/>
  <c r="Y320" i="5" s="1"/>
  <c r="X320" i="5"/>
  <c r="I304" i="5"/>
  <c r="Y304" i="5" s="1"/>
  <c r="X304" i="5"/>
  <c r="I350" i="5"/>
  <c r="Y350" i="5" s="1"/>
  <c r="X350" i="5"/>
  <c r="I821" i="5"/>
  <c r="Y821" i="5" s="1"/>
  <c r="X821" i="5"/>
  <c r="I776" i="5"/>
  <c r="Y776" i="5" s="1"/>
  <c r="X776" i="5"/>
  <c r="I762" i="5"/>
  <c r="Y762" i="5" s="1"/>
  <c r="X762" i="5"/>
  <c r="I825" i="5"/>
  <c r="Y825" i="5" s="1"/>
  <c r="X825" i="5"/>
  <c r="I690" i="5"/>
  <c r="Y690" i="5" s="1"/>
  <c r="X690" i="5"/>
  <c r="I613" i="5"/>
  <c r="Y613" i="5" s="1"/>
  <c r="X613" i="5"/>
  <c r="I704" i="5"/>
  <c r="Y704" i="5" s="1"/>
  <c r="X704" i="5"/>
  <c r="I528" i="5"/>
  <c r="Y528" i="5" s="1"/>
  <c r="X528" i="5"/>
  <c r="I509" i="5"/>
  <c r="Y509" i="5" s="1"/>
  <c r="X509" i="5"/>
  <c r="I493" i="5"/>
  <c r="Y493" i="5" s="1"/>
  <c r="X493" i="5"/>
  <c r="I477" i="5"/>
  <c r="Y477" i="5" s="1"/>
  <c r="X477" i="5"/>
  <c r="I764" i="5"/>
  <c r="Y764" i="5" s="1"/>
  <c r="X764" i="5"/>
  <c r="I688" i="5"/>
  <c r="Y688" i="5" s="1"/>
  <c r="X688" i="5"/>
  <c r="I463" i="5"/>
  <c r="Y463" i="5" s="1"/>
  <c r="X463" i="5"/>
  <c r="I441" i="5"/>
  <c r="Y441" i="5" s="1"/>
  <c r="X441" i="5"/>
  <c r="I394" i="5"/>
  <c r="Y394" i="5" s="1"/>
  <c r="X394" i="5"/>
  <c r="I374" i="5"/>
  <c r="Y374" i="5" s="1"/>
  <c r="X374" i="5"/>
  <c r="I393" i="5"/>
  <c r="Y393" i="5" s="1"/>
  <c r="X393" i="5"/>
  <c r="I270" i="5"/>
  <c r="Y270" i="5" s="1"/>
  <c r="X270" i="5"/>
  <c r="I27" i="5"/>
  <c r="Y27" i="5" s="1"/>
  <c r="X27" i="5"/>
  <c r="I32" i="5"/>
  <c r="Y32" i="5" s="1"/>
  <c r="X32" i="5"/>
  <c r="I19" i="5"/>
  <c r="Y19" i="5" s="1"/>
  <c r="X19" i="5"/>
  <c r="I869" i="5"/>
  <c r="Y869" i="5" s="1"/>
  <c r="X869" i="5"/>
  <c r="I834" i="5"/>
  <c r="Y834" i="5" s="1"/>
  <c r="X834" i="5"/>
  <c r="I655" i="5"/>
  <c r="Y655" i="5" s="1"/>
  <c r="X655" i="5"/>
  <c r="I818" i="5"/>
  <c r="Y818" i="5" s="1"/>
  <c r="X818" i="5"/>
  <c r="I227" i="5"/>
  <c r="Y227" i="5" s="1"/>
  <c r="X227" i="5"/>
  <c r="I712" i="5"/>
  <c r="Y712" i="5" s="1"/>
  <c r="X712" i="5"/>
  <c r="I296" i="5"/>
  <c r="Y296" i="5" s="1"/>
  <c r="X296" i="5"/>
  <c r="I195" i="5"/>
  <c r="Y195" i="5" s="1"/>
  <c r="X195" i="5"/>
  <c r="I731" i="5"/>
  <c r="Y731" i="5" s="1"/>
  <c r="X731" i="5"/>
  <c r="I287" i="5"/>
  <c r="Y287" i="5" s="1"/>
  <c r="X287" i="5"/>
  <c r="I207" i="5"/>
  <c r="Y207" i="5" s="1"/>
  <c r="X207" i="5"/>
  <c r="I26" i="5"/>
  <c r="Y26" i="5" s="1"/>
  <c r="X26" i="5"/>
  <c r="I20" i="5"/>
  <c r="Y20" i="5" s="1"/>
  <c r="X20" i="5"/>
  <c r="I738" i="5"/>
  <c r="Y738" i="5" s="1"/>
  <c r="X738" i="5"/>
  <c r="I532" i="5"/>
  <c r="Y532" i="5" s="1"/>
  <c r="X532" i="5"/>
  <c r="I379" i="5"/>
  <c r="Y379" i="5" s="1"/>
  <c r="X379" i="5"/>
  <c r="I199" i="5"/>
  <c r="Y199" i="5" s="1"/>
  <c r="X199" i="5"/>
  <c r="I417" i="5"/>
  <c r="Y417" i="5" s="1"/>
  <c r="X417" i="5"/>
  <c r="I630" i="5"/>
  <c r="Y630" i="5" s="1"/>
  <c r="X630" i="5"/>
  <c r="I423" i="5"/>
  <c r="Y423" i="5" s="1"/>
  <c r="X423" i="5"/>
  <c r="I852" i="5"/>
  <c r="Y852" i="5" s="1"/>
  <c r="X852" i="5"/>
  <c r="I297" i="5"/>
  <c r="Y297" i="5" s="1"/>
  <c r="X297" i="5"/>
  <c r="I472" i="5"/>
  <c r="Y472" i="5" s="1"/>
  <c r="X472" i="5"/>
</calcChain>
</file>

<file path=xl/sharedStrings.xml><?xml version="1.0" encoding="utf-8"?>
<sst xmlns="http://schemas.openxmlformats.org/spreadsheetml/2006/main" count="316" uniqueCount="221">
  <si>
    <t>Customer ID</t>
  </si>
  <si>
    <t>Customer Name</t>
  </si>
  <si>
    <t>Industry</t>
  </si>
  <si>
    <t>C001</t>
  </si>
  <si>
    <t>Nestlé India</t>
  </si>
  <si>
    <t>FMCG</t>
  </si>
  <si>
    <t>C002</t>
  </si>
  <si>
    <t>Hindustan Unilever</t>
  </si>
  <si>
    <t>C003</t>
  </si>
  <si>
    <t>ITC Ltd</t>
  </si>
  <si>
    <t>C004</t>
  </si>
  <si>
    <t>Asian Paints</t>
  </si>
  <si>
    <t>Manufacturing</t>
  </si>
  <si>
    <t>C005</t>
  </si>
  <si>
    <t>Tata Consumer</t>
  </si>
  <si>
    <t>C006</t>
  </si>
  <si>
    <t>Marico</t>
  </si>
  <si>
    <t>C007</t>
  </si>
  <si>
    <t>Britannia</t>
  </si>
  <si>
    <t>C008</t>
  </si>
  <si>
    <t>Dabur</t>
  </si>
  <si>
    <t>C009</t>
  </si>
  <si>
    <t>Reliance Retail</t>
  </si>
  <si>
    <t>Retail</t>
  </si>
  <si>
    <t>C010</t>
  </si>
  <si>
    <t>Flipkart</t>
  </si>
  <si>
    <t>E-Commerce</t>
  </si>
  <si>
    <t>C011</t>
  </si>
  <si>
    <t>Amazon India</t>
  </si>
  <si>
    <t>C012</t>
  </si>
  <si>
    <t>Blue Star</t>
  </si>
  <si>
    <t>C013</t>
  </si>
  <si>
    <t>Havells</t>
  </si>
  <si>
    <t>Electrical</t>
  </si>
  <si>
    <t>C014</t>
  </si>
  <si>
    <t>LG India</t>
  </si>
  <si>
    <t>Electronics</t>
  </si>
  <si>
    <t>C015</t>
  </si>
  <si>
    <t>Samsung India</t>
  </si>
  <si>
    <t>C016</t>
  </si>
  <si>
    <t>Hero MotoCorp</t>
  </si>
  <si>
    <t>Automotive</t>
  </si>
  <si>
    <t>C017</t>
  </si>
  <si>
    <t>Mahindra Logistics</t>
  </si>
  <si>
    <t>Logistics</t>
  </si>
  <si>
    <t>C018</t>
  </si>
  <si>
    <t>Adani Wilmar</t>
  </si>
  <si>
    <t>C019</t>
  </si>
  <si>
    <t>Pidilite</t>
  </si>
  <si>
    <t>Chemicals</t>
  </si>
  <si>
    <t>C020</t>
  </si>
  <si>
    <t>Cipla</t>
  </si>
  <si>
    <t>Pharma</t>
  </si>
  <si>
    <t>Vehicle ID</t>
  </si>
  <si>
    <t>Vehicle Type</t>
  </si>
  <si>
    <t>Capacity (Tons)</t>
  </si>
  <si>
    <t>Fuel Type</t>
  </si>
  <si>
    <t>V001</t>
  </si>
  <si>
    <t>Truck</t>
  </si>
  <si>
    <t>Diesel</t>
  </si>
  <si>
    <t>V002</t>
  </si>
  <si>
    <t>V003</t>
  </si>
  <si>
    <t>V004</t>
  </si>
  <si>
    <t>Trailer</t>
  </si>
  <si>
    <t>V005</t>
  </si>
  <si>
    <t>V006</t>
  </si>
  <si>
    <t>Container</t>
  </si>
  <si>
    <t>V007</t>
  </si>
  <si>
    <t>V008</t>
  </si>
  <si>
    <t>V009</t>
  </si>
  <si>
    <t>LCV</t>
  </si>
  <si>
    <t>V010</t>
  </si>
  <si>
    <t>V011</t>
  </si>
  <si>
    <t>CNG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</si>
  <si>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</si>
  <si>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</si>
  <si>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</si>
  <si>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</si>
  <si>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</si>
  <si>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</si>
  <si>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</si>
  <si>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</si>
  <si>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</si>
  <si>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Driver ID</t>
  </si>
  <si>
    <t>Driver Name</t>
  </si>
  <si>
    <t>Experience (Years)</t>
  </si>
  <si>
    <t>D001</t>
  </si>
  <si>
    <t>Rahul Sharma</t>
  </si>
  <si>
    <t>D002</t>
  </si>
  <si>
    <t>Amit Singh</t>
  </si>
  <si>
    <t>D003</t>
  </si>
  <si>
    <t>Rakesh Kumar</t>
  </si>
  <si>
    <t>D004</t>
  </si>
  <si>
    <t>Imran Khan</t>
  </si>
  <si>
    <t>D005</t>
  </si>
  <si>
    <t>Suresh Patel</t>
  </si>
  <si>
    <t>D006</t>
  </si>
  <si>
    <t>Vikram Yadav</t>
  </si>
  <si>
    <t>D007</t>
  </si>
  <si>
    <t>Manoj Verma</t>
  </si>
  <si>
    <t>D008</t>
  </si>
  <si>
    <t>Deepak Gupta</t>
  </si>
  <si>
    <t>D009</t>
  </si>
  <si>
    <t>Arjun Mehta</t>
  </si>
  <si>
    <t>D010</t>
  </si>
  <si>
    <t>Sunil Chauhan</t>
  </si>
  <si>
    <t>D011</t>
  </si>
  <si>
    <t>Karan Joshi</t>
  </si>
  <si>
    <t>D012</t>
  </si>
  <si>
    <t>Ravi Mishra</t>
  </si>
  <si>
    <t>D013</t>
  </si>
  <si>
    <t>Mohan Nair</t>
  </si>
  <si>
    <t>D014</t>
  </si>
  <si>
    <t>Prakash Rao</t>
  </si>
  <si>
    <t>D015</t>
  </si>
  <si>
    <t>Ashok Das</t>
  </si>
  <si>
    <t>D016</t>
  </si>
  <si>
    <t>Sameer Shaikh</t>
  </si>
  <si>
    <t>D017</t>
  </si>
  <si>
    <t>Vinod Jain</t>
  </si>
  <si>
    <t>D018</t>
  </si>
  <si>
    <t>Ajay Thakur</t>
  </si>
  <si>
    <t>D019</t>
  </si>
  <si>
    <t>Nitin Bansal</t>
  </si>
  <si>
    <t>D020</t>
  </si>
  <si>
    <t>Harish Reddy</t>
  </si>
  <si>
    <t>D021</t>
  </si>
  <si>
    <t>Yogesh Kumar</t>
  </si>
  <si>
    <t>D022</t>
  </si>
  <si>
    <t>Faisal Ali</t>
  </si>
  <si>
    <t>D023</t>
  </si>
  <si>
    <t>Gopal Sharma</t>
  </si>
  <si>
    <t>D024</t>
  </si>
  <si>
    <t>Rohit Saini</t>
  </si>
  <si>
    <t>D025</t>
  </si>
  <si>
    <t>Pawan Yadav</t>
  </si>
  <si>
    <t>D026</t>
  </si>
  <si>
    <t>Rajesh Pillai</t>
  </si>
  <si>
    <t>D027</t>
  </si>
  <si>
    <t>Vivek Singh</t>
  </si>
  <si>
    <t>D028</t>
  </si>
  <si>
    <t>Akash Verma</t>
  </si>
  <si>
    <t>D029</t>
  </si>
  <si>
    <t>Kunal Sharma</t>
  </si>
  <si>
    <t>D030</t>
  </si>
  <si>
    <t>Naveen Kumar</t>
  </si>
  <si>
    <t>Route ID</t>
  </si>
  <si>
    <t>Origin</t>
  </si>
  <si>
    <t>Destination</t>
  </si>
  <si>
    <t>Distance (KM)</t>
  </si>
  <si>
    <t>R001</t>
  </si>
  <si>
    <t>Mumbai</t>
  </si>
  <si>
    <t>Pune</t>
  </si>
  <si>
    <t>R002</t>
  </si>
  <si>
    <t>Ahmedabad</t>
  </si>
  <si>
    <t>R003</t>
  </si>
  <si>
    <t>Delhi</t>
  </si>
  <si>
    <t>R004</t>
  </si>
  <si>
    <t>Bengaluru</t>
  </si>
  <si>
    <t>R005</t>
  </si>
  <si>
    <t>Jaipur</t>
  </si>
  <si>
    <t>R006</t>
  </si>
  <si>
    <t>Lucknow</t>
  </si>
  <si>
    <t>R007</t>
  </si>
  <si>
    <t>Chandigarh</t>
  </si>
  <si>
    <t>R008</t>
  </si>
  <si>
    <t>Kolkata</t>
  </si>
  <si>
    <t>R009</t>
  </si>
  <si>
    <t>Chennai</t>
  </si>
  <si>
    <t>R010</t>
  </si>
  <si>
    <t>Hyderabad</t>
  </si>
  <si>
    <t>R011</t>
  </si>
  <si>
    <t>Kochi</t>
  </si>
  <si>
    <t>R012</t>
  </si>
  <si>
    <t>Coimbatore</t>
  </si>
  <si>
    <t>R013</t>
  </si>
  <si>
    <t>R014</t>
  </si>
  <si>
    <t>Nagpur</t>
  </si>
  <si>
    <t>R015</t>
  </si>
  <si>
    <t>R016</t>
  </si>
  <si>
    <t>Bhubaneswar</t>
  </si>
  <si>
    <t>R017</t>
  </si>
  <si>
    <t>Patna</t>
  </si>
  <si>
    <t>R018</t>
  </si>
  <si>
    <t>R019</t>
  </si>
  <si>
    <t>Indore</t>
  </si>
  <si>
    <t>R020</t>
  </si>
  <si>
    <t>R021</t>
  </si>
  <si>
    <t>Kanpur</t>
  </si>
  <si>
    <t>R022</t>
  </si>
  <si>
    <t>R023</t>
  </si>
  <si>
    <t>R024</t>
  </si>
  <si>
    <t>Surat</t>
  </si>
  <si>
    <t>R025</t>
  </si>
  <si>
    <t>Visakhapatnam</t>
  </si>
  <si>
    <t>R026</t>
  </si>
  <si>
    <t>Bhopal</t>
  </si>
  <si>
    <t>R027</t>
  </si>
  <si>
    <t>Ranchi</t>
  </si>
  <si>
    <t>R028</t>
  </si>
  <si>
    <t>R029</t>
  </si>
  <si>
    <t>R030</t>
  </si>
  <si>
    <t>Shipment ID</t>
  </si>
  <si>
    <t>Shipment Date</t>
  </si>
  <si>
    <t>Load (Tons)</t>
  </si>
  <si>
    <t>Freight Cost</t>
  </si>
  <si>
    <t>Fuel Cost</t>
  </si>
  <si>
    <t>Toll Cost</t>
  </si>
  <si>
    <t>Planned Transit (Hrs)</t>
  </si>
  <si>
    <t>Actual Transit (Hrs)</t>
  </si>
  <si>
    <t>Delay (Hrs)</t>
  </si>
  <si>
    <t>Delivery Status</t>
  </si>
  <si>
    <t>Priority</t>
  </si>
  <si>
    <t>Vehicle Utilization %</t>
  </si>
  <si>
    <t>Rate per Litre</t>
  </si>
  <si>
    <t>Fuel Rate</t>
  </si>
  <si>
    <t>Cost per KM</t>
  </si>
  <si>
    <t>Total Cost</t>
  </si>
  <si>
    <t>Month</t>
  </si>
  <si>
    <t>Quarter</t>
  </si>
  <si>
    <t>Route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</si>
</sst>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9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C21" totalsRowShown="0" headerRowDxfId="68" headerRowBorderDxfId="67" tableBorderDxfId="66" totalsRowBorderDxfId="65">
  <autoFilter ref="A1:C21"/>
  <tableColumns count="3">
    <tableColumn id="1" name="Customer ID" dataDxfId="64"/>
    <tableColumn id="2" name="Customer Name" dataDxfId="63"/>
    <tableColumn id="3" name="Industry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D21" totalsRowShown="0" headerRowDxfId="61" headerRowBorderDxfId="60" tableBorderDxfId="59" totalsRowBorderDxfId="58">
  <autoFilter ref="A1:D21"/>
  <tableColumns count="4">
    <tableColumn id="1" name="Vehicle ID" dataDxfId="57"/>
    <tableColumn id="2" name="Vehicle Type" dataDxfId="56"/>
    <tableColumn id="3" name="Capacity (Tons)" dataDxfId="55"/>
    <tableColumn id="4" name="Fuel Type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C31" totalsRowShown="0" headerRowDxfId="53" headerRowBorderDxfId="52" tableBorderDxfId="51" totalsRowBorderDxfId="50">
  <autoFilter ref="A1:C31"/>
  <tableColumns count="3">
    <tableColumn id="1" name="Driver ID" dataDxfId="49"/>
    <tableColumn id="2" name="Driver Name" dataDxfId="48"/>
    <tableColumn id="3" name="Experience (Years)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D31" totalsRowShown="0" headerRowDxfId="46" headerRowBorderDxfId="45" tableBorderDxfId="44" totalsRowBorderDxfId="43">
  <autoFilter ref="A1:D31"/>
  <tableColumns count="4">
    <tableColumn id="1" name="Route ID" dataDxfId="42"/>
    <tableColumn id="2" name="Origin" dataDxfId="41"/>
    <tableColumn id="3" name="Destination" dataDxfId="40"/>
    <tableColumn id="4" name="Distance (KM)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1:AB1001" totalsRowShown="0" headerRowDxfId="38" dataDxfId="36" headerRowBorderDxfId="37" tableBorderDxfId="35" totalsRowBorderDxfId="34">
  <autoFilter ref="A1:AB1001"/>
  <tableColumns count="28">
    <tableColumn id="1" name="Shipment ID" dataDxfId="33">
      <calculatedColumnFormula>"S"&amp;TEXT(ROW()-1,"0000")</calculatedColumnFormula>
    </tableColumn>
    <tableColumn id="2" name="Shipment Date" dataDxfId="32">
      <calculatedColumnFormula>DATE(2025,RANDBETWEEN(1,12),RANDBETWEEN(1,28))</calculatedColumnFormula>
    </tableColumn>
    <tableColumn id="3" name="Customer ID" dataDxfId="31">
      <calculatedColumnFormula>INDEX(Customers!$A$2:$A$21,RANDBETWEEN(1,20))</calculatedColumnFormula>
    </tableColumn>
    <tableColumn id="4" name="Route ID" dataDxfId="30">
      <calculatedColumnFormula>INDEX(Routes!$A$2:$A$31,RANDBETWEEN(1,30))</calculatedColumnFormula>
    </tableColumn>
    <tableColumn id="5" name="Vehicle ID" dataDxfId="29">
      <calculatedColumnFormula>INDEX(Vehicles!$A$2:$A$21,RANDBETWEEN(1,20))</calculatedColumnFormula>
    </tableColumn>
    <tableColumn id="6" name="Driver ID" dataDxfId="28">
      <calculatedColumnFormula>INDEX(Drivers!$A$2:$A$31,RANDBETWEEN(1,30))</calculatedColumnFormula>
    </tableColumn>
    <tableColumn id="7" name="Load (Tons)" dataDxfId="27">
      <calculatedColumnFormula>ROUND(RANDBETWEEN(20,300)/10,1)</calculatedColumnFormula>
    </tableColumn>
    <tableColumn id="8" name="Freight Cost" dataDxfId="26">
      <calculatedColumnFormula>ROUND((G2*1800)+RANDBETWEEN(3000,15000),0)</calculatedColumnFormula>
    </tableColumn>
    <tableColumn id="9" name="Fuel Cost" dataDxfId="25">
      <calculatedColumnFormula>ROUND(H2*0.28,0)</calculatedColumnFormula>
    </tableColumn>
    <tableColumn id="10" name="Toll Cost" dataDxfId="24">
      <calculatedColumnFormula>RANDBETWEEN(500,4000)</calculatedColumnFormula>
    </tableColumn>
    <tableColumn id="11" name="Planned Transit (Hrs)" dataDxfId="23">
      <calculatedColumnFormula>RANDBETWEEN(4,48)</calculatedColumnFormula>
    </tableColumn>
    <tableColumn id="12" name="Actual Transit (Hrs)" dataDxfId="22">
      <calculatedColumnFormula>K2+RANDBETWEEN(0,8)</calculatedColumnFormula>
    </tableColumn>
    <tableColumn id="13" name="Delay (Hrs)" dataDxfId="21">
      <calculatedColumnFormula>L2-K2</calculatedColumnFormula>
    </tableColumn>
    <tableColumn id="14" name="Delivery Status" dataDxfId="20">
      <calculatedColumnFormula>IF(M2&lt;=2,"On Time","Delayed")</calculatedColumnFormula>
    </tableColumn>
    <tableColumn id="15" name="Priority" dataDxfId="19">
      <calculatedColumnFormula>CHOOSE(RANDBETWEEN(1,3),"High","Medium","Low")</calculatedColumnFormula>
    </tableColumn>
    <tableColumn id="16" name="Vehicle Utilization %" dataDxfId="18">
      <calculatedColumnFormula>ROUND((G2/30)*100,1)</calculatedColumnFormula>
    </tableColumn>
    <tableColumn id="17" name="Origin" dataDxfId="17">
      <calculatedColumnFormula>VLOOKUP(D2,Routes!$A$2:$D$31,2,FALSE)</calculatedColumnFormula>
    </tableColumn>
    <tableColumn id="18" name="Destination" dataDxfId="16">
      <calculatedColumnFormula>VLOOKUP(D2,Routes!$A$2:$D$31,3,FALSE)</calculatedColumnFormula>
    </tableColumn>
    <tableColumn id="19" name="Distance (KM)" dataDxfId="15">
      <calculatedColumnFormula>VLOOKUP(D2,Routes!$A$2:$D$31,4,FALSE)</calculatedColumnFormula>
    </tableColumn>
    <tableColumn id="20" name="Vehicle Type" dataDxfId="14">
      <calculatedColumnFormula>VLOOKUP(E2,Vehicles!$A$2:$D$21,2,FALSE)</calculatedColumnFormula>
    </tableColumn>
    <tableColumn id="21" name="Capacity (Tons)" dataDxfId="13">
      <calculatedColumnFormula>VLOOKUP(E2,Vehicles!$A$2:$D$21,3,FALSE)</calculatedColumnFormula>
    </tableColumn>
    <tableColumn id="22" name="Fuel Type" dataDxfId="12">
      <calculatedColumnFormula>VLOOKUP(E2,Vehicles!$A$2:$D$21,4,FALSE)</calculatedColumnFormula>
    </tableColumn>
    <tableColumn id="23" name="Fuel Rate" dataDxfId="11">
      <calculatedColumnFormula>VLOOKUP(V2,Fuel_Rates!$A$2:$B$3,2,FALSE)</calculatedColumnFormula>
    </tableColumn>
    <tableColumn id="24" name="Cost per KM" dataDxfId="10">
      <calculatedColumnFormula>ROUND(H2/S2,2)</calculatedColumnFormula>
    </tableColumn>
    <tableColumn id="25" name="Total Cost" dataDxfId="9">
      <calculatedColumnFormula>H2+I2+J2</calculatedColumnFormula>
    </tableColumn>
    <tableColumn id="26" name="Month" dataDxfId="8">
      <calculatedColumnFormula>TEXT(B2,"mmm")</calculatedColumnFormula>
    </tableColumn>
    <tableColumn id="27" name="Quarter" dataDxfId="7">
      <calculatedColumnFormula>"Q"&amp;ROUNDUP(MONTH(B2)/3,0)</calculatedColumnFormula>
    </tableColumn>
    <tableColumn id="28" name="Route Type" dataDxfId="6">
      <calculatedColumnFormula>IF(S2&lt;300,"Short Haul",IF(S2&lt;800,"Medium Haul","Long Haul"))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B3" totalsRowShown="0" headerRowDxfId="5" headerRowBorderDxfId="4" tableBorderDxfId="3" totalsRowBorderDxfId="2">
  <autoFilter ref="A1:B3"/>
  <tableColumns count="2">
    <tableColumn id="1" name="Fuel Type" dataDxfId="1"/>
    <tableColumn id="2" name="Rate per Lit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30" sqref="C30"/>
    </sheetView>
  </sheetViews>
  <sheetFormatPr defaultRowHeight="14.4" x14ac:dyDescent="0.3"/>
  <cols>
    <col min="1" max="1" width="13.21875" customWidth="1"/>
    <col min="2" max="2" width="19.21875" customWidth="1"/>
    <col min="3" max="3" width="21.5546875" customWidth="1"/>
  </cols>
  <sheetData>
    <row r="1" spans="1:3" x14ac:dyDescent="0.3">
      <c r="A1" s="20" t="s">
        <v>0</v>
      </c>
      <c r="B1" s="21" t="s">
        <v>1</v>
      </c>
      <c r="C1" s="22" t="s">
        <v>2</v>
      </c>
    </row>
    <row r="2" spans="1:3" x14ac:dyDescent="0.3">
      <c r="A2" s="16" t="s">
        <v>3</v>
      </c>
      <c r="B2" s="1" t="s">
        <v>4</v>
      </c>
      <c r="C2" s="17" t="s">
        <v>5</v>
      </c>
    </row>
    <row r="3" spans="1:3" x14ac:dyDescent="0.3">
      <c r="A3" s="16" t="s">
        <v>6</v>
      </c>
      <c r="B3" s="1" t="s">
        <v>7</v>
      </c>
      <c r="C3" s="17" t="s">
        <v>5</v>
      </c>
    </row>
    <row r="4" spans="1:3" x14ac:dyDescent="0.3">
      <c r="A4" s="16" t="s">
        <v>8</v>
      </c>
      <c r="B4" s="1" t="s">
        <v>9</v>
      </c>
      <c r="C4" s="17" t="s">
        <v>5</v>
      </c>
    </row>
    <row r="5" spans="1:3" x14ac:dyDescent="0.3">
      <c r="A5" s="16" t="s">
        <v>10</v>
      </c>
      <c r="B5" s="1" t="s">
        <v>11</v>
      </c>
      <c r="C5" s="17" t="s">
        <v>12</v>
      </c>
    </row>
    <row r="6" spans="1:3" x14ac:dyDescent="0.3">
      <c r="A6" s="16" t="s">
        <v>13</v>
      </c>
      <c r="B6" s="1" t="s">
        <v>14</v>
      </c>
      <c r="C6" s="17" t="s">
        <v>5</v>
      </c>
    </row>
    <row r="7" spans="1:3" x14ac:dyDescent="0.3">
      <c r="A7" s="16" t="s">
        <v>15</v>
      </c>
      <c r="B7" s="1" t="s">
        <v>16</v>
      </c>
      <c r="C7" s="17" t="s">
        <v>5</v>
      </c>
    </row>
    <row r="8" spans="1:3" x14ac:dyDescent="0.3">
      <c r="A8" s="16" t="s">
        <v>17</v>
      </c>
      <c r="B8" s="1" t="s">
        <v>18</v>
      </c>
      <c r="C8" s="17" t="s">
        <v>5</v>
      </c>
    </row>
    <row r="9" spans="1:3" x14ac:dyDescent="0.3">
      <c r="A9" s="16" t="s">
        <v>19</v>
      </c>
      <c r="B9" s="1" t="s">
        <v>20</v>
      </c>
      <c r="C9" s="17" t="s">
        <v>5</v>
      </c>
    </row>
    <row r="10" spans="1:3" x14ac:dyDescent="0.3">
      <c r="A10" s="16" t="s">
        <v>21</v>
      </c>
      <c r="B10" s="1" t="s">
        <v>22</v>
      </c>
      <c r="C10" s="17" t="s">
        <v>23</v>
      </c>
    </row>
    <row r="11" spans="1:3" x14ac:dyDescent="0.3">
      <c r="A11" s="16" t="s">
        <v>24</v>
      </c>
      <c r="B11" s="1" t="s">
        <v>25</v>
      </c>
      <c r="C11" s="17" t="s">
        <v>26</v>
      </c>
    </row>
    <row r="12" spans="1:3" x14ac:dyDescent="0.3">
      <c r="A12" s="16" t="s">
        <v>27</v>
      </c>
      <c r="B12" s="1" t="s">
        <v>28</v>
      </c>
      <c r="C12" s="17" t="s">
        <v>26</v>
      </c>
    </row>
    <row r="13" spans="1:3" x14ac:dyDescent="0.3">
      <c r="A13" s="16" t="s">
        <v>29</v>
      </c>
      <c r="B13" s="1" t="s">
        <v>30</v>
      </c>
      <c r="C13" s="17" t="s">
        <v>12</v>
      </c>
    </row>
    <row r="14" spans="1:3" x14ac:dyDescent="0.3">
      <c r="A14" s="16" t="s">
        <v>31</v>
      </c>
      <c r="B14" s="1" t="s">
        <v>32</v>
      </c>
      <c r="C14" s="17" t="s">
        <v>33</v>
      </c>
    </row>
    <row r="15" spans="1:3" x14ac:dyDescent="0.3">
      <c r="A15" s="16" t="s">
        <v>34</v>
      </c>
      <c r="B15" s="1" t="s">
        <v>35</v>
      </c>
      <c r="C15" s="17" t="s">
        <v>36</v>
      </c>
    </row>
    <row r="16" spans="1:3" x14ac:dyDescent="0.3">
      <c r="A16" s="16" t="s">
        <v>37</v>
      </c>
      <c r="B16" s="1" t="s">
        <v>38</v>
      </c>
      <c r="C16" s="17" t="s">
        <v>36</v>
      </c>
    </row>
    <row r="17" spans="1:3" x14ac:dyDescent="0.3">
      <c r="A17" s="16" t="s">
        <v>39</v>
      </c>
      <c r="B17" s="1" t="s">
        <v>40</v>
      </c>
      <c r="C17" s="17" t="s">
        <v>41</v>
      </c>
    </row>
    <row r="18" spans="1:3" x14ac:dyDescent="0.3">
      <c r="A18" s="16" t="s">
        <v>42</v>
      </c>
      <c r="B18" s="1" t="s">
        <v>43</v>
      </c>
      <c r="C18" s="17" t="s">
        <v>44</v>
      </c>
    </row>
    <row r="19" spans="1:3" x14ac:dyDescent="0.3">
      <c r="A19" s="16" t="s">
        <v>45</v>
      </c>
      <c r="B19" s="1" t="s">
        <v>46</v>
      </c>
      <c r="C19" s="17" t="s">
        <v>5</v>
      </c>
    </row>
    <row r="20" spans="1:3" x14ac:dyDescent="0.3">
      <c r="A20" s="16" t="s">
        <v>47</v>
      </c>
      <c r="B20" s="1" t="s">
        <v>48</v>
      </c>
      <c r="C20" s="17" t="s">
        <v>49</v>
      </c>
    </row>
    <row r="21" spans="1:3" x14ac:dyDescent="0.3">
      <c r="A21" s="18" t="s">
        <v>50</v>
      </c>
      <c r="B21" s="11" t="s">
        <v>51</v>
      </c>
      <c r="C21" s="19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H11" sqref="H11"/>
    </sheetView>
  </sheetViews>
  <sheetFormatPr defaultRowHeight="14.4" x14ac:dyDescent="0.3"/>
  <cols>
    <col min="1" max="1" width="11.21875" style="2" customWidth="1"/>
    <col min="2" max="2" width="13.5546875" style="2" customWidth="1"/>
    <col min="3" max="3" width="15.88671875" style="2" customWidth="1"/>
    <col min="4" max="4" width="10.88671875" style="2" customWidth="1"/>
    <col min="5" max="5" width="8.88671875" style="2" customWidth="1"/>
    <col min="6" max="16384" width="8.88671875" style="2"/>
  </cols>
  <sheetData>
    <row r="1" spans="1:4" ht="28.8" customHeight="1" x14ac:dyDescent="0.3">
      <c r="A1" s="20" t="s">
        <v>53</v>
      </c>
      <c r="B1" s="21" t="s">
        <v>54</v>
      </c>
      <c r="C1" s="21" t="s">
        <v>55</v>
      </c>
      <c r="D1" s="22" t="s">
        <v>56</v>
      </c>
    </row>
    <row r="2" spans="1:4" x14ac:dyDescent="0.3">
      <c r="A2" s="16" t="s">
        <v>57</v>
      </c>
      <c r="B2" s="1" t="s">
        <v>58</v>
      </c>
      <c r="C2" s="1">
        <v>16</v>
      </c>
      <c r="D2" s="17" t="s">
        <v>59</v>
      </c>
    </row>
    <row r="3" spans="1:4" x14ac:dyDescent="0.3">
      <c r="A3" s="16" t="s">
        <v>60</v>
      </c>
      <c r="B3" s="1" t="s">
        <v>58</v>
      </c>
      <c r="C3" s="1">
        <v>20</v>
      </c>
      <c r="D3" s="17" t="s">
        <v>59</v>
      </c>
    </row>
    <row r="4" spans="1:4" x14ac:dyDescent="0.3">
      <c r="A4" s="16" t="s">
        <v>61</v>
      </c>
      <c r="B4" s="1" t="s">
        <v>58</v>
      </c>
      <c r="C4" s="1">
        <v>25</v>
      </c>
      <c r="D4" s="17" t="s">
        <v>59</v>
      </c>
    </row>
    <row r="5" spans="1:4" x14ac:dyDescent="0.3">
      <c r="A5" s="16" t="s">
        <v>62</v>
      </c>
      <c r="B5" s="1" t="s">
        <v>63</v>
      </c>
      <c r="C5" s="1">
        <v>28</v>
      </c>
      <c r="D5" s="17" t="s">
        <v>59</v>
      </c>
    </row>
    <row r="6" spans="1:4" x14ac:dyDescent="0.3">
      <c r="A6" s="16" t="s">
        <v>64</v>
      </c>
      <c r="B6" s="1" t="s">
        <v>63</v>
      </c>
      <c r="C6" s="1">
        <v>32</v>
      </c>
      <c r="D6" s="17" t="s">
        <v>59</v>
      </c>
    </row>
    <row r="7" spans="1:4" x14ac:dyDescent="0.3">
      <c r="A7" s="16" t="s">
        <v>65</v>
      </c>
      <c r="B7" s="1" t="s">
        <v>66</v>
      </c>
      <c r="C7" s="1">
        <v>18</v>
      </c>
      <c r="D7" s="17" t="s">
        <v>59</v>
      </c>
    </row>
    <row r="8" spans="1:4" x14ac:dyDescent="0.3">
      <c r="A8" s="16" t="s">
        <v>67</v>
      </c>
      <c r="B8" s="1" t="s">
        <v>66</v>
      </c>
      <c r="C8" s="1">
        <v>20</v>
      </c>
      <c r="D8" s="17" t="s">
        <v>59</v>
      </c>
    </row>
    <row r="9" spans="1:4" x14ac:dyDescent="0.3">
      <c r="A9" s="16" t="s">
        <v>68</v>
      </c>
      <c r="B9" s="1" t="s">
        <v>66</v>
      </c>
      <c r="C9" s="1">
        <v>25</v>
      </c>
      <c r="D9" s="17" t="s">
        <v>59</v>
      </c>
    </row>
    <row r="10" spans="1:4" x14ac:dyDescent="0.3">
      <c r="A10" s="16" t="s">
        <v>69</v>
      </c>
      <c r="B10" s="1" t="s">
        <v>70</v>
      </c>
      <c r="C10" s="1">
        <v>5</v>
      </c>
      <c r="D10" s="17" t="s">
        <v>59</v>
      </c>
    </row>
    <row r="11" spans="1:4" x14ac:dyDescent="0.3">
      <c r="A11" s="16" t="s">
        <v>71</v>
      </c>
      <c r="B11" s="1" t="s">
        <v>70</v>
      </c>
      <c r="C11" s="1">
        <v>7</v>
      </c>
      <c r="D11" s="17" t="s">
        <v>59</v>
      </c>
    </row>
    <row r="12" spans="1:4" x14ac:dyDescent="0.3">
      <c r="A12" s="16" t="s">
        <v>72</v>
      </c>
      <c r="B12" s="1" t="s">
        <v>58</v>
      </c>
      <c r="C12" s="1">
        <v>18</v>
      </c>
      <c r="D12" s="17" t="s">
        <v>73</v>
      </c>
    </row>
    <row r="13" spans="1:4" x14ac:dyDescent="0.3">
      <c r="A13" s="16" t="s">
        <v>74</v>
      </c>
      <c r="B13" s="1" t="s">
        <v>58</v>
      </c>
      <c r="C13" s="1">
        <v>20</v>
      </c>
      <c r="D13" s="17" t="s">
        <v>73</v>
      </c>
    </row>
    <row r="14" spans="1:4" x14ac:dyDescent="0.3">
      <c r="A14" s="16" t="s">
        <v>75</v>
      </c>
      <c r="B14" s="1" t="s">
        <v>70</v>
      </c>
      <c r="C14" s="1">
        <v>4</v>
      </c>
      <c r="D14" s="17" t="s">
        <v>73</v>
      </c>
    </row>
    <row r="15" spans="1:4" x14ac:dyDescent="0.3">
      <c r="A15" s="16" t="s">
        <v>76</v>
      </c>
      <c r="B15" s="1" t="s">
        <v>70</v>
      </c>
      <c r="C15" s="1">
        <v>6</v>
      </c>
      <c r="D15" s="17" t="s">
        <v>73</v>
      </c>
    </row>
    <row r="16" spans="1:4" x14ac:dyDescent="0.3">
      <c r="A16" s="16" t="s">
        <v>77</v>
      </c>
      <c r="B16" s="1" t="s">
        <v>63</v>
      </c>
      <c r="C16" s="1">
        <v>30</v>
      </c>
      <c r="D16" s="17" t="s">
        <v>59</v>
      </c>
    </row>
    <row r="17" spans="1:4" x14ac:dyDescent="0.3">
      <c r="A17" s="16" t="s">
        <v>78</v>
      </c>
      <c r="B17" s="1" t="s">
        <v>66</v>
      </c>
      <c r="C17" s="1">
        <v>22</v>
      </c>
      <c r="D17" s="17" t="s">
        <v>59</v>
      </c>
    </row>
    <row r="18" spans="1:4" x14ac:dyDescent="0.3">
      <c r="A18" s="16" t="s">
        <v>79</v>
      </c>
      <c r="B18" s="1" t="s">
        <v>58</v>
      </c>
      <c r="C18" s="1">
        <v>24</v>
      </c>
      <c r="D18" s="17" t="s">
        <v>59</v>
      </c>
    </row>
    <row r="19" spans="1:4" x14ac:dyDescent="0.3">
      <c r="A19" s="16" t="s">
        <v>80</v>
      </c>
      <c r="B19" s="1" t="s">
        <v>58</v>
      </c>
      <c r="C19" s="1">
        <v>26</v>
      </c>
      <c r="D19" s="17" t="s">
        <v>59</v>
      </c>
    </row>
    <row r="20" spans="1:4" x14ac:dyDescent="0.3">
      <c r="A20" s="16" t="s">
        <v>81</v>
      </c>
      <c r="B20" s="1" t="s">
        <v>63</v>
      </c>
      <c r="C20" s="1">
        <v>35</v>
      </c>
      <c r="D20" s="17" t="s">
        <v>59</v>
      </c>
    </row>
    <row r="21" spans="1:4" x14ac:dyDescent="0.3">
      <c r="A21" s="18" t="s">
        <v>82</v>
      </c>
      <c r="B21" s="11" t="s">
        <v>66</v>
      </c>
      <c r="C21" s="11">
        <v>28</v>
      </c>
      <c r="D21" s="19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G10" sqref="G10"/>
    </sheetView>
  </sheetViews>
  <sheetFormatPr defaultRowHeight="14.4" x14ac:dyDescent="0.3"/>
  <cols>
    <col min="1" max="1" width="10.109375" customWidth="1"/>
    <col min="2" max="2" width="13.33203125" customWidth="1"/>
    <col min="3" max="3" width="18.21875" customWidth="1"/>
  </cols>
  <sheetData>
    <row r="1" spans="1:3" x14ac:dyDescent="0.3">
      <c r="A1" s="20" t="s">
        <v>83</v>
      </c>
      <c r="B1" s="21" t="s">
        <v>84</v>
      </c>
      <c r="C1" s="22" t="s">
        <v>85</v>
      </c>
    </row>
    <row r="2" spans="1:3" ht="28.8" x14ac:dyDescent="0.3">
      <c r="A2" s="16" t="s">
        <v>86</v>
      </c>
      <c r="B2" s="1" t="s">
        <v>87</v>
      </c>
      <c r="C2" s="17">
        <v>12</v>
      </c>
    </row>
    <row r="3" spans="1:3" x14ac:dyDescent="0.3">
      <c r="A3" s="16" t="s">
        <v>88</v>
      </c>
      <c r="B3" s="1" t="s">
        <v>89</v>
      </c>
      <c r="C3" s="17">
        <v>8</v>
      </c>
    </row>
    <row r="4" spans="1:3" ht="28.8" x14ac:dyDescent="0.3">
      <c r="A4" s="16" t="s">
        <v>90</v>
      </c>
      <c r="B4" s="1" t="s">
        <v>91</v>
      </c>
      <c r="C4" s="17">
        <v>10</v>
      </c>
    </row>
    <row r="5" spans="1:3" x14ac:dyDescent="0.3">
      <c r="A5" s="16" t="s">
        <v>92</v>
      </c>
      <c r="B5" s="1" t="s">
        <v>93</v>
      </c>
      <c r="C5" s="17">
        <v>6</v>
      </c>
    </row>
    <row r="6" spans="1:3" ht="28.8" x14ac:dyDescent="0.3">
      <c r="A6" s="16" t="s">
        <v>94</v>
      </c>
      <c r="B6" s="1" t="s">
        <v>95</v>
      </c>
      <c r="C6" s="17">
        <v>15</v>
      </c>
    </row>
    <row r="7" spans="1:3" ht="28.8" x14ac:dyDescent="0.3">
      <c r="A7" s="16" t="s">
        <v>96</v>
      </c>
      <c r="B7" s="1" t="s">
        <v>97</v>
      </c>
      <c r="C7" s="17">
        <v>9</v>
      </c>
    </row>
    <row r="8" spans="1:3" ht="28.8" x14ac:dyDescent="0.3">
      <c r="A8" s="16" t="s">
        <v>98</v>
      </c>
      <c r="B8" s="1" t="s">
        <v>99</v>
      </c>
      <c r="C8" s="17">
        <v>11</v>
      </c>
    </row>
    <row r="9" spans="1:3" ht="28.8" x14ac:dyDescent="0.3">
      <c r="A9" s="16" t="s">
        <v>100</v>
      </c>
      <c r="B9" s="1" t="s">
        <v>101</v>
      </c>
      <c r="C9" s="17">
        <v>5</v>
      </c>
    </row>
    <row r="10" spans="1:3" ht="28.8" x14ac:dyDescent="0.3">
      <c r="A10" s="16" t="s">
        <v>102</v>
      </c>
      <c r="B10" s="1" t="s">
        <v>103</v>
      </c>
      <c r="C10" s="17">
        <v>14</v>
      </c>
    </row>
    <row r="11" spans="1:3" ht="28.8" x14ac:dyDescent="0.3">
      <c r="A11" s="16" t="s">
        <v>104</v>
      </c>
      <c r="B11" s="1" t="s">
        <v>105</v>
      </c>
      <c r="C11" s="17">
        <v>13</v>
      </c>
    </row>
    <row r="12" spans="1:3" x14ac:dyDescent="0.3">
      <c r="A12" s="16" t="s">
        <v>106</v>
      </c>
      <c r="B12" s="1" t="s">
        <v>107</v>
      </c>
      <c r="C12" s="17">
        <v>7</v>
      </c>
    </row>
    <row r="13" spans="1:3" x14ac:dyDescent="0.3">
      <c r="A13" s="16" t="s">
        <v>108</v>
      </c>
      <c r="B13" s="1" t="s">
        <v>109</v>
      </c>
      <c r="C13" s="17">
        <v>8</v>
      </c>
    </row>
    <row r="14" spans="1:3" x14ac:dyDescent="0.3">
      <c r="A14" s="16" t="s">
        <v>110</v>
      </c>
      <c r="B14" s="1" t="s">
        <v>111</v>
      </c>
      <c r="C14" s="17">
        <v>10</v>
      </c>
    </row>
    <row r="15" spans="1:3" ht="28.8" x14ac:dyDescent="0.3">
      <c r="A15" s="16" t="s">
        <v>112</v>
      </c>
      <c r="B15" s="1" t="s">
        <v>113</v>
      </c>
      <c r="C15" s="17">
        <v>9</v>
      </c>
    </row>
    <row r="16" spans="1:3" x14ac:dyDescent="0.3">
      <c r="A16" s="16" t="s">
        <v>114</v>
      </c>
      <c r="B16" s="1" t="s">
        <v>115</v>
      </c>
      <c r="C16" s="17">
        <v>16</v>
      </c>
    </row>
    <row r="17" spans="1:3" ht="28.8" x14ac:dyDescent="0.3">
      <c r="A17" s="16" t="s">
        <v>116</v>
      </c>
      <c r="B17" s="1" t="s">
        <v>117</v>
      </c>
      <c r="C17" s="17">
        <v>12</v>
      </c>
    </row>
    <row r="18" spans="1:3" x14ac:dyDescent="0.3">
      <c r="A18" s="16" t="s">
        <v>118</v>
      </c>
      <c r="B18" s="1" t="s">
        <v>119</v>
      </c>
      <c r="C18" s="17">
        <v>6</v>
      </c>
    </row>
    <row r="19" spans="1:3" x14ac:dyDescent="0.3">
      <c r="A19" s="16" t="s">
        <v>120</v>
      </c>
      <c r="B19" s="1" t="s">
        <v>121</v>
      </c>
      <c r="C19" s="17">
        <v>11</v>
      </c>
    </row>
    <row r="20" spans="1:3" x14ac:dyDescent="0.3">
      <c r="A20" s="16" t="s">
        <v>122</v>
      </c>
      <c r="B20" s="1" t="s">
        <v>123</v>
      </c>
      <c r="C20" s="17">
        <v>8</v>
      </c>
    </row>
    <row r="21" spans="1:3" x14ac:dyDescent="0.3">
      <c r="A21" s="16" t="s">
        <v>124</v>
      </c>
      <c r="B21" s="1" t="s">
        <v>125</v>
      </c>
      <c r="C21" s="17">
        <v>13</v>
      </c>
    </row>
    <row r="22" spans="1:3" x14ac:dyDescent="0.3">
      <c r="A22" s="16" t="s">
        <v>126</v>
      </c>
      <c r="B22" s="1" t="s">
        <v>127</v>
      </c>
      <c r="C22" s="17">
        <v>9</v>
      </c>
    </row>
    <row r="23" spans="1:3" x14ac:dyDescent="0.3">
      <c r="A23" s="16" t="s">
        <v>128</v>
      </c>
      <c r="B23" s="1" t="s">
        <v>129</v>
      </c>
      <c r="C23" s="17">
        <v>7</v>
      </c>
    </row>
    <row r="24" spans="1:3" x14ac:dyDescent="0.3">
      <c r="A24" s="16" t="s">
        <v>130</v>
      </c>
      <c r="B24" s="1" t="s">
        <v>131</v>
      </c>
      <c r="C24" s="17">
        <v>14</v>
      </c>
    </row>
    <row r="25" spans="1:3" x14ac:dyDescent="0.3">
      <c r="A25" s="16" t="s">
        <v>132</v>
      </c>
      <c r="B25" s="1" t="s">
        <v>133</v>
      </c>
      <c r="C25" s="17">
        <v>10</v>
      </c>
    </row>
    <row r="26" spans="1:3" x14ac:dyDescent="0.3">
      <c r="A26" s="16" t="s">
        <v>134</v>
      </c>
      <c r="B26" s="1" t="s">
        <v>135</v>
      </c>
      <c r="C26" s="17">
        <v>15</v>
      </c>
    </row>
    <row r="27" spans="1:3" x14ac:dyDescent="0.3">
      <c r="A27" s="16" t="s">
        <v>136</v>
      </c>
      <c r="B27" s="1" t="s">
        <v>137</v>
      </c>
      <c r="C27" s="17">
        <v>11</v>
      </c>
    </row>
    <row r="28" spans="1:3" x14ac:dyDescent="0.3">
      <c r="A28" s="16" t="s">
        <v>138</v>
      </c>
      <c r="B28" s="1" t="s">
        <v>139</v>
      </c>
      <c r="C28" s="17">
        <v>8</v>
      </c>
    </row>
    <row r="29" spans="1:3" x14ac:dyDescent="0.3">
      <c r="A29" s="16" t="s">
        <v>140</v>
      </c>
      <c r="B29" s="1" t="s">
        <v>141</v>
      </c>
      <c r="C29" s="17">
        <v>6</v>
      </c>
    </row>
    <row r="30" spans="1:3" x14ac:dyDescent="0.3">
      <c r="A30" s="16" t="s">
        <v>142</v>
      </c>
      <c r="B30" s="1" t="s">
        <v>143</v>
      </c>
      <c r="C30" s="17">
        <v>9</v>
      </c>
    </row>
    <row r="31" spans="1:3" x14ac:dyDescent="0.3">
      <c r="A31" s="18" t="s">
        <v>144</v>
      </c>
      <c r="B31" s="11" t="s">
        <v>145</v>
      </c>
      <c r="C31" s="19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H8" sqref="H8"/>
    </sheetView>
  </sheetViews>
  <sheetFormatPr defaultRowHeight="14.4" x14ac:dyDescent="0.3"/>
  <cols>
    <col min="1" max="1" width="10.109375" customWidth="1"/>
    <col min="2" max="2" width="13.5546875" customWidth="1"/>
    <col min="3" max="3" width="13.88671875" customWidth="1"/>
    <col min="4" max="4" width="14.6640625" customWidth="1"/>
  </cols>
  <sheetData>
    <row r="1" spans="1:4" ht="28.8" customHeight="1" x14ac:dyDescent="0.3">
      <c r="A1" s="20" t="s">
        <v>146</v>
      </c>
      <c r="B1" s="21" t="s">
        <v>147</v>
      </c>
      <c r="C1" s="21" t="s">
        <v>148</v>
      </c>
      <c r="D1" s="22" t="s">
        <v>149</v>
      </c>
    </row>
    <row r="2" spans="1:4" x14ac:dyDescent="0.3">
      <c r="A2" s="16" t="s">
        <v>150</v>
      </c>
      <c r="B2" s="1" t="s">
        <v>151</v>
      </c>
      <c r="C2" s="1" t="s">
        <v>152</v>
      </c>
      <c r="D2" s="17">
        <v>150</v>
      </c>
    </row>
    <row r="3" spans="1:4" ht="28.8" customHeight="1" x14ac:dyDescent="0.3">
      <c r="A3" s="16" t="s">
        <v>153</v>
      </c>
      <c r="B3" s="1" t="s">
        <v>151</v>
      </c>
      <c r="C3" s="1" t="s">
        <v>154</v>
      </c>
      <c r="D3" s="17">
        <v>530</v>
      </c>
    </row>
    <row r="4" spans="1:4" x14ac:dyDescent="0.3">
      <c r="A4" s="16" t="s">
        <v>155</v>
      </c>
      <c r="B4" s="1" t="s">
        <v>151</v>
      </c>
      <c r="C4" s="1" t="s">
        <v>156</v>
      </c>
      <c r="D4" s="17">
        <v>1450</v>
      </c>
    </row>
    <row r="5" spans="1:4" ht="28.8" customHeight="1" x14ac:dyDescent="0.3">
      <c r="A5" s="16" t="s">
        <v>157</v>
      </c>
      <c r="B5" s="1" t="s">
        <v>151</v>
      </c>
      <c r="C5" s="1" t="s">
        <v>158</v>
      </c>
      <c r="D5" s="17">
        <v>980</v>
      </c>
    </row>
    <row r="6" spans="1:4" x14ac:dyDescent="0.3">
      <c r="A6" s="16" t="s">
        <v>159</v>
      </c>
      <c r="B6" s="1" t="s">
        <v>156</v>
      </c>
      <c r="C6" s="1" t="s">
        <v>160</v>
      </c>
      <c r="D6" s="17">
        <v>280</v>
      </c>
    </row>
    <row r="7" spans="1:4" x14ac:dyDescent="0.3">
      <c r="A7" s="16" t="s">
        <v>161</v>
      </c>
      <c r="B7" s="1" t="s">
        <v>156</v>
      </c>
      <c r="C7" s="1" t="s">
        <v>162</v>
      </c>
      <c r="D7" s="17">
        <v>550</v>
      </c>
    </row>
    <row r="8" spans="1:4" ht="28.8" customHeight="1" x14ac:dyDescent="0.3">
      <c r="A8" s="16" t="s">
        <v>163</v>
      </c>
      <c r="B8" s="1" t="s">
        <v>156</v>
      </c>
      <c r="C8" s="1" t="s">
        <v>164</v>
      </c>
      <c r="D8" s="17">
        <v>250</v>
      </c>
    </row>
    <row r="9" spans="1:4" x14ac:dyDescent="0.3">
      <c r="A9" s="16" t="s">
        <v>165</v>
      </c>
      <c r="B9" s="1" t="s">
        <v>156</v>
      </c>
      <c r="C9" s="1" t="s">
        <v>166</v>
      </c>
      <c r="D9" s="17">
        <v>1500</v>
      </c>
    </row>
    <row r="10" spans="1:4" ht="28.8" customHeight="1" x14ac:dyDescent="0.3">
      <c r="A10" s="16" t="s">
        <v>167</v>
      </c>
      <c r="B10" s="1" t="s">
        <v>158</v>
      </c>
      <c r="C10" s="1" t="s">
        <v>168</v>
      </c>
      <c r="D10" s="17">
        <v>350</v>
      </c>
    </row>
    <row r="11" spans="1:4" ht="28.8" customHeight="1" x14ac:dyDescent="0.3">
      <c r="A11" s="16" t="s">
        <v>169</v>
      </c>
      <c r="B11" s="1" t="s">
        <v>158</v>
      </c>
      <c r="C11" s="1" t="s">
        <v>170</v>
      </c>
      <c r="D11" s="17">
        <v>570</v>
      </c>
    </row>
    <row r="12" spans="1:4" ht="28.8" customHeight="1" x14ac:dyDescent="0.3">
      <c r="A12" s="16" t="s">
        <v>171</v>
      </c>
      <c r="B12" s="1" t="s">
        <v>158</v>
      </c>
      <c r="C12" s="1" t="s">
        <v>172</v>
      </c>
      <c r="D12" s="17">
        <v>550</v>
      </c>
    </row>
    <row r="13" spans="1:4" ht="28.8" customHeight="1" x14ac:dyDescent="0.3">
      <c r="A13" s="16" t="s">
        <v>173</v>
      </c>
      <c r="B13" s="1" t="s">
        <v>168</v>
      </c>
      <c r="C13" s="1" t="s">
        <v>174</v>
      </c>
      <c r="D13" s="17">
        <v>500</v>
      </c>
    </row>
    <row r="14" spans="1:4" ht="28.8" customHeight="1" x14ac:dyDescent="0.3">
      <c r="A14" s="16" t="s">
        <v>175</v>
      </c>
      <c r="B14" s="1" t="s">
        <v>168</v>
      </c>
      <c r="C14" s="1" t="s">
        <v>170</v>
      </c>
      <c r="D14" s="17">
        <v>630</v>
      </c>
    </row>
    <row r="15" spans="1:4" ht="28.8" customHeight="1" x14ac:dyDescent="0.3">
      <c r="A15" s="16" t="s">
        <v>176</v>
      </c>
      <c r="B15" s="1" t="s">
        <v>170</v>
      </c>
      <c r="C15" s="1" t="s">
        <v>177</v>
      </c>
      <c r="D15" s="17">
        <v>500</v>
      </c>
    </row>
    <row r="16" spans="1:4" ht="28.8" customHeight="1" x14ac:dyDescent="0.3">
      <c r="A16" s="16" t="s">
        <v>178</v>
      </c>
      <c r="B16" s="1" t="s">
        <v>170</v>
      </c>
      <c r="C16" s="1" t="s">
        <v>152</v>
      </c>
      <c r="D16" s="17">
        <v>560</v>
      </c>
    </row>
    <row r="17" spans="1:4" ht="28.8" customHeight="1" x14ac:dyDescent="0.3">
      <c r="A17" s="16" t="s">
        <v>179</v>
      </c>
      <c r="B17" s="1" t="s">
        <v>166</v>
      </c>
      <c r="C17" s="1" t="s">
        <v>180</v>
      </c>
      <c r="D17" s="17">
        <v>440</v>
      </c>
    </row>
    <row r="18" spans="1:4" x14ac:dyDescent="0.3">
      <c r="A18" s="16" t="s">
        <v>181</v>
      </c>
      <c r="B18" s="1" t="s">
        <v>166</v>
      </c>
      <c r="C18" s="1" t="s">
        <v>182</v>
      </c>
      <c r="D18" s="17">
        <v>620</v>
      </c>
    </row>
    <row r="19" spans="1:4" ht="28.8" customHeight="1" x14ac:dyDescent="0.3">
      <c r="A19" s="16" t="s">
        <v>183</v>
      </c>
      <c r="B19" s="1" t="s">
        <v>154</v>
      </c>
      <c r="C19" s="1" t="s">
        <v>160</v>
      </c>
      <c r="D19" s="17">
        <v>670</v>
      </c>
    </row>
    <row r="20" spans="1:4" ht="28.8" customHeight="1" x14ac:dyDescent="0.3">
      <c r="A20" s="16" t="s">
        <v>184</v>
      </c>
      <c r="B20" s="1" t="s">
        <v>154</v>
      </c>
      <c r="C20" s="1" t="s">
        <v>185</v>
      </c>
      <c r="D20" s="17">
        <v>390</v>
      </c>
    </row>
    <row r="21" spans="1:4" x14ac:dyDescent="0.3">
      <c r="A21" s="16" t="s">
        <v>186</v>
      </c>
      <c r="B21" s="1" t="s">
        <v>152</v>
      </c>
      <c r="C21" s="1" t="s">
        <v>177</v>
      </c>
      <c r="D21" s="17">
        <v>720</v>
      </c>
    </row>
    <row r="22" spans="1:4" x14ac:dyDescent="0.3">
      <c r="A22" s="16" t="s">
        <v>187</v>
      </c>
      <c r="B22" s="1" t="s">
        <v>162</v>
      </c>
      <c r="C22" s="1" t="s">
        <v>188</v>
      </c>
      <c r="D22" s="17">
        <v>90</v>
      </c>
    </row>
    <row r="23" spans="1:4" x14ac:dyDescent="0.3">
      <c r="A23" s="16" t="s">
        <v>189</v>
      </c>
      <c r="B23" s="1" t="s">
        <v>160</v>
      </c>
      <c r="C23" s="1" t="s">
        <v>185</v>
      </c>
      <c r="D23" s="17">
        <v>600</v>
      </c>
    </row>
    <row r="24" spans="1:4" ht="28.8" customHeight="1" x14ac:dyDescent="0.3">
      <c r="A24" s="16" t="s">
        <v>190</v>
      </c>
      <c r="B24" s="1" t="s">
        <v>172</v>
      </c>
      <c r="C24" s="1" t="s">
        <v>158</v>
      </c>
      <c r="D24" s="17">
        <v>550</v>
      </c>
    </row>
    <row r="25" spans="1:4" x14ac:dyDescent="0.3">
      <c r="A25" s="16" t="s">
        <v>191</v>
      </c>
      <c r="B25" s="1" t="s">
        <v>192</v>
      </c>
      <c r="C25" s="1" t="s">
        <v>151</v>
      </c>
      <c r="D25" s="17">
        <v>280</v>
      </c>
    </row>
    <row r="26" spans="1:4" ht="28.8" customHeight="1" x14ac:dyDescent="0.3">
      <c r="A26" s="16" t="s">
        <v>193</v>
      </c>
      <c r="B26" s="1" t="s">
        <v>194</v>
      </c>
      <c r="C26" s="1" t="s">
        <v>170</v>
      </c>
      <c r="D26" s="17">
        <v>620</v>
      </c>
    </row>
    <row r="27" spans="1:4" x14ac:dyDescent="0.3">
      <c r="A27" s="16" t="s">
        <v>195</v>
      </c>
      <c r="B27" s="1" t="s">
        <v>177</v>
      </c>
      <c r="C27" s="1" t="s">
        <v>196</v>
      </c>
      <c r="D27" s="17">
        <v>350</v>
      </c>
    </row>
    <row r="28" spans="1:4" x14ac:dyDescent="0.3">
      <c r="A28" s="16" t="s">
        <v>197</v>
      </c>
      <c r="B28" s="1" t="s">
        <v>182</v>
      </c>
      <c r="C28" s="1" t="s">
        <v>198</v>
      </c>
      <c r="D28" s="17">
        <v>330</v>
      </c>
    </row>
    <row r="29" spans="1:4" x14ac:dyDescent="0.3">
      <c r="A29" s="16" t="s">
        <v>199</v>
      </c>
      <c r="B29" s="1" t="s">
        <v>185</v>
      </c>
      <c r="C29" s="1" t="s">
        <v>151</v>
      </c>
      <c r="D29" s="17">
        <v>590</v>
      </c>
    </row>
    <row r="30" spans="1:4" ht="28.8" customHeight="1" x14ac:dyDescent="0.3">
      <c r="A30" s="16" t="s">
        <v>200</v>
      </c>
      <c r="B30" s="1" t="s">
        <v>164</v>
      </c>
      <c r="C30" s="1" t="s">
        <v>156</v>
      </c>
      <c r="D30" s="17">
        <v>250</v>
      </c>
    </row>
    <row r="31" spans="1:4" ht="28.8" customHeight="1" x14ac:dyDescent="0.3">
      <c r="A31" s="18" t="s">
        <v>201</v>
      </c>
      <c r="B31" s="11" t="s">
        <v>180</v>
      </c>
      <c r="C31" s="11" t="s">
        <v>166</v>
      </c>
      <c r="D31" s="19">
        <v>440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2"/>
  <sheetViews>
    <sheetView tabSelected="1" workbookViewId="0">
      <selection activeCell="A9" sqref="A9"/>
    </sheetView>
  </sheetViews>
  <sheetFormatPr defaultRowHeight="14.4" x14ac:dyDescent="0.3"/>
  <cols>
    <col min="1" max="1" width="13.21875" style="3" customWidth="1"/>
    <col min="2" max="2" width="15.33203125" style="3" customWidth="1"/>
    <col min="3" max="3" width="13.21875" style="3" customWidth="1"/>
    <col min="4" max="4" width="10.109375" style="3" customWidth="1"/>
    <col min="5" max="5" width="11.21875" style="3" customWidth="1"/>
    <col min="6" max="6" width="10.109375" style="3" customWidth="1"/>
    <col min="7" max="8" width="12.77734375" style="3" customWidth="1"/>
    <col min="9" max="9" width="10.44140625" style="3" customWidth="1"/>
    <col min="10" max="10" width="10" style="3" customWidth="1"/>
    <col min="11" max="11" width="20.33203125" style="3" customWidth="1"/>
    <col min="12" max="12" width="18.77734375" style="3" customWidth="1"/>
    <col min="13" max="13" width="12" style="3" customWidth="1"/>
    <col min="14" max="14" width="15.33203125" style="3" customWidth="1"/>
    <col min="15" max="15" width="9" style="3" customWidth="1"/>
    <col min="16" max="16" width="19.77734375" style="4" customWidth="1"/>
    <col min="17" max="17" width="13.5546875" style="5" bestFit="1" customWidth="1"/>
    <col min="18" max="18" width="12.44140625" style="5" customWidth="1"/>
    <col min="19" max="19" width="14.6640625" style="5" customWidth="1"/>
    <col min="20" max="20" width="13.5546875" style="5" customWidth="1"/>
    <col min="21" max="21" width="15.88671875" style="5" customWidth="1"/>
    <col min="22" max="22" width="10.88671875" style="5" customWidth="1"/>
    <col min="23" max="23" width="10.5546875" style="5" customWidth="1"/>
    <col min="24" max="24" width="13.109375" style="5" customWidth="1"/>
    <col min="25" max="25" width="11.21875" style="5" customWidth="1"/>
    <col min="26" max="26" width="8.6640625" style="5" customWidth="1"/>
    <col min="27" max="27" width="9.33203125" style="5" customWidth="1"/>
    <col min="28" max="28" width="12.44140625" style="5" customWidth="1"/>
    <col min="29" max="16384" width="8.88671875" style="5"/>
  </cols>
  <sheetData>
    <row r="1" spans="1:28" x14ac:dyDescent="0.3">
      <c r="A1" s="13" t="s">
        <v>202</v>
      </c>
      <c r="B1" s="14" t="s">
        <v>203</v>
      </c>
      <c r="C1" s="14" t="s">
        <v>0</v>
      </c>
      <c r="D1" s="14" t="s">
        <v>146</v>
      </c>
      <c r="E1" s="14" t="s">
        <v>53</v>
      </c>
      <c r="F1" s="14" t="s">
        <v>83</v>
      </c>
      <c r="G1" s="14" t="s">
        <v>204</v>
      </c>
      <c r="H1" s="14" t="s">
        <v>205</v>
      </c>
      <c r="I1" s="14" t="s">
        <v>206</v>
      </c>
      <c r="J1" s="14" t="s">
        <v>207</v>
      </c>
      <c r="K1" s="14" t="s">
        <v>208</v>
      </c>
      <c r="L1" s="14" t="s">
        <v>209</v>
      </c>
      <c r="M1" s="14" t="s">
        <v>210</v>
      </c>
      <c r="N1" s="14" t="s">
        <v>211</v>
      </c>
      <c r="O1" s="14" t="s">
        <v>212</v>
      </c>
      <c r="P1" s="14" t="s">
        <v>213</v>
      </c>
      <c r="Q1" s="14" t="s">
        <v>147</v>
      </c>
      <c r="R1" s="14" t="s">
        <v>148</v>
      </c>
      <c r="S1" s="14" t="s">
        <v>149</v>
      </c>
      <c r="T1" s="14" t="s">
        <v>54</v>
      </c>
      <c r="U1" s="14" t="s">
        <v>55</v>
      </c>
      <c r="V1" s="14" t="s">
        <v>56</v>
      </c>
      <c r="W1" s="14" t="s">
        <v>215</v>
      </c>
      <c r="X1" s="14" t="s">
        <v>216</v>
      </c>
      <c r="Y1" s="14" t="s">
        <v>217</v>
      </c>
      <c r="Z1" s="14" t="s">
        <v>218</v>
      </c>
      <c r="AA1" s="14" t="s">
        <v>219</v>
      </c>
      <c r="AB1" s="15" t="s">
        <v>220</v>
      </c>
    </row>
    <row r="2" spans="1:28" ht="28.8" x14ac:dyDescent="0.3">
      <c r="A2" s="8" t="str">
        <f>"S"&amp;TEXT(ROW()-1,"0000")</f>
        <v>S0001</v>
      </c>
      <c r="B2" s="3">
        <f t="shared" ref="B2:B65" ca="1" si="0">DATE(2025,RANDBETWEEN(1,12),RANDBETWEEN(1,28))</f>
        <v>45873</v>
      </c>
      <c r="C2" s="3" t="str">
        <f ca="1">INDEX(Customers!$A$2:$A$21,RANDBETWEEN(1,20))</f>
        <v>C001</v>
      </c>
      <c r="D2" s="3" t="str">
        <f ca="1">INDEX(Routes!$A$2:$A$31,RANDBETWEEN(1,30))</f>
        <v>R012</v>
      </c>
      <c r="E2" s="3" t="str">
        <f ca="1">INDEX(Vehicles!$A$2:$A$21,RANDBETWEEN(1,20))</f>
        <v>V006</v>
      </c>
      <c r="F2" s="3" t="str">
        <f ca="1">INDEX(Drivers!$A$2:$A$31,RANDBETWEEN(1,30))</f>
        <v>D003</v>
      </c>
      <c r="G2" s="3">
        <f t="shared" ref="G2:G65" ca="1" si="1">ROUND(RANDBETWEEN(20,300)/10,1)</f>
        <v>25.5</v>
      </c>
      <c r="H2" s="3">
        <f t="shared" ref="H2:H65" ca="1" si="2">ROUND((G2*1800)+RANDBETWEEN(3000,15000),0)</f>
        <v>60737</v>
      </c>
      <c r="I2" s="3">
        <f t="shared" ref="I2:I65" ca="1" si="3">ROUND(H2*0.28,0)</f>
        <v>17006</v>
      </c>
      <c r="J2" s="3">
        <f t="shared" ref="J2:J65" ca="1" si="4">RANDBETWEEN(500,4000)</f>
        <v>2900</v>
      </c>
      <c r="K2" s="3">
        <f t="shared" ref="K2:K65" ca="1" si="5">RANDBETWEEN(4,48)</f>
        <v>13</v>
      </c>
      <c r="L2" s="3">
        <f t="shared" ref="L2:L65" ca="1" si="6">K2+RANDBETWEEN(0,8)</f>
        <v>19</v>
      </c>
      <c r="M2" s="3">
        <f t="shared" ref="M2:M65" ca="1" si="7">L2-K2</f>
        <v>6</v>
      </c>
      <c r="N2" s="3" t="str">
        <f t="shared" ref="N2:N65" ca="1" si="8">IF(M2&lt;=2,"On Time","Delayed")</f>
        <v>Delayed</v>
      </c>
      <c r="O2" s="3" t="str">
        <f t="shared" ref="O2:O65" ca="1" si="9">CHOOSE(RANDBETWEEN(1,3),"High","Medium","Low")</f>
        <v>Low</v>
      </c>
      <c r="P2" s="3">
        <f t="shared" ref="P2:P65" ca="1" si="10">ROUND((G2/30)*100,1)</f>
        <v>85</v>
      </c>
      <c r="Q2" s="1" t="str">
        <f ca="1">VLOOKUP(D2,Routes!$A$2:$D$31,2,FALSE)</f>
        <v>Chennai</v>
      </c>
      <c r="R2" s="1" t="str">
        <f ca="1">VLOOKUP(D2,Routes!$A$2:$D$31,3,FALSE)</f>
        <v>Coimbatore</v>
      </c>
      <c r="S2" s="3">
        <f ca="1">VLOOKUP(D2,Routes!$A$2:$D$31,4,FALSE)</f>
        <v>500</v>
      </c>
      <c r="T2" s="3" t="str">
        <f ca="1">VLOOKUP(E2,Vehicles!$A$2:$D$21,2,FALSE)</f>
        <v>Container</v>
      </c>
      <c r="U2" s="3">
        <f ca="1">VLOOKUP(E2,Vehicles!$A$2:$D$21,3,FALSE)</f>
        <v>18</v>
      </c>
      <c r="V2" s="3" t="str">
        <f ca="1">VLOOKUP(E2,Vehicles!$A$2:$D$21,4,FALSE)</f>
        <v>Diesel</v>
      </c>
      <c r="W2" s="3">
        <f ca="1">VLOOKUP(V2,Fuel_Rates!$A$2:$B$3,2,FALSE)</f>
        <v>95</v>
      </c>
      <c r="X2" s="3">
        <f ca="1">ROUND(H2/S2,2)</f>
        <v>121.47</v>
      </c>
      <c r="Y2" s="3">
        <f ca="1">H2+I2+J2</f>
        <v>80643</v>
      </c>
      <c r="Z2" s="3" t="str">
        <f ca="1">TEXT(B2,"mmm")</f>
        <v>Aug</v>
      </c>
      <c r="AA2" s="3" t="str">
        <f ca="1">"Q"&amp;ROUNDUP(MONTH(B2)/3,0)</f>
        <v>Q3</v>
      </c>
      <c r="AB2" s="4" t="str">
        <f ca="1">IF(S2&lt;300,"Short Haul",IF(S2&lt;800,"Medium Haul","Long Haul"))</f>
        <v>Medium Haul</v>
      </c>
    </row>
    <row r="3" spans="1:28" x14ac:dyDescent="0.3">
      <c r="A3" s="8" t="str">
        <f t="shared" ref="A3:A66" si="11">"S"&amp;TEXT(ROW()-1,"0000")</f>
        <v>S0002</v>
      </c>
      <c r="B3" s="3">
        <f t="shared" ca="1" si="0"/>
        <v>45893</v>
      </c>
      <c r="C3" s="3" t="str">
        <f ca="1">INDEX(Customers!$A$2:$A$21,RANDBETWEEN(1,20))</f>
        <v>C011</v>
      </c>
      <c r="D3" s="3" t="str">
        <f ca="1">INDEX(Routes!$A$2:$A$31,RANDBETWEEN(1,30))</f>
        <v>R023</v>
      </c>
      <c r="E3" s="3" t="str">
        <f ca="1">INDEX(Vehicles!$A$2:$A$21,RANDBETWEEN(1,20))</f>
        <v>V012</v>
      </c>
      <c r="F3" s="3" t="str">
        <f ca="1">INDEX(Drivers!$A$2:$A$31,RANDBETWEEN(1,30))</f>
        <v>D030</v>
      </c>
      <c r="G3" s="3">
        <f t="shared" ca="1" si="1"/>
        <v>3.3</v>
      </c>
      <c r="H3" s="3">
        <f t="shared" ca="1" si="2"/>
        <v>12900</v>
      </c>
      <c r="I3" s="3">
        <f t="shared" ca="1" si="3"/>
        <v>3612</v>
      </c>
      <c r="J3" s="3">
        <f t="shared" ca="1" si="4"/>
        <v>3823</v>
      </c>
      <c r="K3" s="3">
        <f t="shared" ca="1" si="5"/>
        <v>32</v>
      </c>
      <c r="L3" s="3">
        <f t="shared" ca="1" si="6"/>
        <v>37</v>
      </c>
      <c r="M3" s="3">
        <f t="shared" ca="1" si="7"/>
        <v>5</v>
      </c>
      <c r="N3" s="3" t="str">
        <f t="shared" ca="1" si="8"/>
        <v>Delayed</v>
      </c>
      <c r="O3" s="3" t="str">
        <f t="shared" ca="1" si="9"/>
        <v>High</v>
      </c>
      <c r="P3" s="3">
        <f ca="1">ROUND((G3/30)*100,1)</f>
        <v>11</v>
      </c>
      <c r="Q3" s="1" t="str">
        <f ca="1">VLOOKUP(D3,Routes!$A$2:$D$31,2,FALSE)</f>
        <v>Kochi</v>
      </c>
      <c r="R3" s="1" t="str">
        <f ca="1">VLOOKUP(D3,Routes!$A$2:$D$31,3,FALSE)</f>
        <v>Bengaluru</v>
      </c>
      <c r="S3" s="3">
        <f ca="1">VLOOKUP(D3,Routes!$A$2:$D$31,4,FALSE)</f>
        <v>550</v>
      </c>
      <c r="T3" s="3" t="str">
        <f ca="1">VLOOKUP(E3,Vehicles!$A$2:$D$21,2,FALSE)</f>
        <v>Truck</v>
      </c>
      <c r="U3" s="3">
        <f ca="1">VLOOKUP(E3,Vehicles!$A$2:$D$21,3,FALSE)</f>
        <v>20</v>
      </c>
      <c r="V3" s="3" t="str">
        <f ca="1">VLOOKUP(E3,Vehicles!$A$2:$D$21,4,FALSE)</f>
        <v>CNG</v>
      </c>
      <c r="W3" s="3">
        <f ca="1">VLOOKUP(V3,Fuel_Rates!$A$2:$B$3,2,FALSE)</f>
        <v>78</v>
      </c>
      <c r="X3" s="3">
        <f t="shared" ref="X3:X66" ca="1" si="12">ROUND(H3/S3,2)</f>
        <v>23.45</v>
      </c>
      <c r="Y3" s="3">
        <f t="shared" ref="Y3:Y66" ca="1" si="13">H3+I3+J3</f>
        <v>20335</v>
      </c>
      <c r="Z3" s="3" t="str">
        <f t="shared" ref="Z3:Z66" ca="1" si="14">TEXT(B3,"mmm")</f>
        <v>Aug</v>
      </c>
      <c r="AA3" s="3" t="str">
        <f t="shared" ref="AA3:AA66" ca="1" si="15">"Q"&amp;ROUNDUP(MONTH(B3)/3,0)</f>
        <v>Q3</v>
      </c>
      <c r="AB3" s="4" t="str">
        <f t="shared" ref="AB3:AB66" ca="1" si="16">IF(S3&lt;300,"Short Haul",IF(S3&lt;800,"Medium Haul","Long Haul"))</f>
        <v>Medium Haul</v>
      </c>
    </row>
    <row r="4" spans="1:28" x14ac:dyDescent="0.3">
      <c r="A4" s="8" t="str">
        <f t="shared" si="11"/>
        <v>S0003</v>
      </c>
      <c r="B4" s="3">
        <f t="shared" ca="1" si="0"/>
        <v>45715</v>
      </c>
      <c r="C4" s="3" t="str">
        <f ca="1">INDEX(Customers!$A$2:$A$21,RANDBETWEEN(1,20))</f>
        <v>C004</v>
      </c>
      <c r="D4" s="3" t="str">
        <f ca="1">INDEX(Routes!$A$2:$A$31,RANDBETWEEN(1,30))</f>
        <v>R010</v>
      </c>
      <c r="E4" s="3" t="str">
        <f ca="1">INDEX(Vehicles!$A$2:$A$21,RANDBETWEEN(1,20))</f>
        <v>V011</v>
      </c>
      <c r="F4" s="3" t="str">
        <f ca="1">INDEX(Drivers!$A$2:$A$31,RANDBETWEEN(1,30))</f>
        <v>D006</v>
      </c>
      <c r="G4" s="3">
        <f t="shared" ca="1" si="1"/>
        <v>19.899999999999999</v>
      </c>
      <c r="H4" s="3">
        <f t="shared" ca="1" si="2"/>
        <v>40210</v>
      </c>
      <c r="I4" s="3">
        <f t="shared" ca="1" si="3"/>
        <v>11259</v>
      </c>
      <c r="J4" s="3">
        <f t="shared" ca="1" si="4"/>
        <v>1461</v>
      </c>
      <c r="K4" s="3">
        <f t="shared" ca="1" si="5"/>
        <v>18</v>
      </c>
      <c r="L4" s="3">
        <f t="shared" ca="1" si="6"/>
        <v>26</v>
      </c>
      <c r="M4" s="3">
        <f t="shared" ca="1" si="7"/>
        <v>8</v>
      </c>
      <c r="N4" s="3" t="str">
        <f t="shared" ca="1" si="8"/>
        <v>Delayed</v>
      </c>
      <c r="O4" s="3" t="str">
        <f t="shared" ca="1" si="9"/>
        <v>Low</v>
      </c>
      <c r="P4" s="3">
        <f t="shared" ca="1" si="10"/>
        <v>66.3</v>
      </c>
      <c r="Q4" s="1" t="str">
        <f ca="1">VLOOKUP(D4,Routes!$A$2:$D$31,2,FALSE)</f>
        <v>Bengaluru</v>
      </c>
      <c r="R4" s="1" t="str">
        <f ca="1">VLOOKUP(D4,Routes!$A$2:$D$31,3,FALSE)</f>
        <v>Hyderabad</v>
      </c>
      <c r="S4" s="3">
        <f ca="1">VLOOKUP(D4,Routes!$A$2:$D$31,4,FALSE)</f>
        <v>570</v>
      </c>
      <c r="T4" s="3" t="str">
        <f ca="1">VLOOKUP(E4,Vehicles!$A$2:$D$21,2,FALSE)</f>
        <v>Truck</v>
      </c>
      <c r="U4" s="3">
        <f ca="1">VLOOKUP(E4,Vehicles!$A$2:$D$21,3,FALSE)</f>
        <v>18</v>
      </c>
      <c r="V4" s="3" t="str">
        <f ca="1">VLOOKUP(E4,Vehicles!$A$2:$D$21,4,FALSE)</f>
        <v>CNG</v>
      </c>
      <c r="W4" s="3">
        <f ca="1">VLOOKUP(V4,Fuel_Rates!$A$2:$B$3,2,FALSE)</f>
        <v>78</v>
      </c>
      <c r="X4" s="3">
        <f t="shared" ca="1" si="12"/>
        <v>70.540000000000006</v>
      </c>
      <c r="Y4" s="3">
        <f t="shared" ca="1" si="13"/>
        <v>52930</v>
      </c>
      <c r="Z4" s="3" t="str">
        <f t="shared" ca="1" si="14"/>
        <v>Feb</v>
      </c>
      <c r="AA4" s="3" t="str">
        <f t="shared" ca="1" si="15"/>
        <v>Q1</v>
      </c>
      <c r="AB4" s="4" t="str">
        <f t="shared" ca="1" si="16"/>
        <v>Medium Haul</v>
      </c>
    </row>
    <row r="5" spans="1:28" ht="28.8" x14ac:dyDescent="0.3">
      <c r="A5" s="8" t="str">
        <f t="shared" si="11"/>
        <v>S0004</v>
      </c>
      <c r="B5" s="3">
        <f t="shared" ca="1" si="0"/>
        <v>45978</v>
      </c>
      <c r="C5" s="3" t="str">
        <f ca="1">INDEX(Customers!$A$2:$A$21,RANDBETWEEN(1,20))</f>
        <v>C008</v>
      </c>
      <c r="D5" s="3" t="str">
        <f ca="1">INDEX(Routes!$A$2:$A$31,RANDBETWEEN(1,30))</f>
        <v>R024</v>
      </c>
      <c r="E5" s="3" t="str">
        <f ca="1">INDEX(Vehicles!$A$2:$A$21,RANDBETWEEN(1,20))</f>
        <v>V006</v>
      </c>
      <c r="F5" s="3" t="str">
        <f ca="1">INDEX(Drivers!$A$2:$A$31,RANDBETWEEN(1,30))</f>
        <v>D002</v>
      </c>
      <c r="G5" s="3">
        <f t="shared" ca="1" si="1"/>
        <v>20.9</v>
      </c>
      <c r="H5" s="3">
        <f t="shared" ca="1" si="2"/>
        <v>49644</v>
      </c>
      <c r="I5" s="3">
        <f t="shared" ca="1" si="3"/>
        <v>13900</v>
      </c>
      <c r="J5" s="3">
        <f t="shared" ca="1" si="4"/>
        <v>564</v>
      </c>
      <c r="K5" s="3">
        <f t="shared" ca="1" si="5"/>
        <v>30</v>
      </c>
      <c r="L5" s="3">
        <f t="shared" ca="1" si="6"/>
        <v>30</v>
      </c>
      <c r="M5" s="3">
        <f t="shared" ca="1" si="7"/>
        <v>0</v>
      </c>
      <c r="N5" s="3" t="str">
        <f t="shared" ca="1" si="8"/>
        <v>On Time</v>
      </c>
      <c r="O5" s="3" t="str">
        <f t="shared" ca="1" si="9"/>
        <v>Low</v>
      </c>
      <c r="P5" s="3">
        <f t="shared" ca="1" si="10"/>
        <v>69.7</v>
      </c>
      <c r="Q5" s="1" t="str">
        <f ca="1">VLOOKUP(D5,Routes!$A$2:$D$31,2,FALSE)</f>
        <v>Surat</v>
      </c>
      <c r="R5" s="1" t="str">
        <f ca="1">VLOOKUP(D5,Routes!$A$2:$D$31,3,FALSE)</f>
        <v>Mumbai</v>
      </c>
      <c r="S5" s="3">
        <f ca="1">VLOOKUP(D5,Routes!$A$2:$D$31,4,FALSE)</f>
        <v>280</v>
      </c>
      <c r="T5" s="3" t="str">
        <f ca="1">VLOOKUP(E5,Vehicles!$A$2:$D$21,2,FALSE)</f>
        <v>Container</v>
      </c>
      <c r="U5" s="3">
        <f ca="1">VLOOKUP(E5,Vehicles!$A$2:$D$21,3,FALSE)</f>
        <v>18</v>
      </c>
      <c r="V5" s="3" t="str">
        <f ca="1">VLOOKUP(E5,Vehicles!$A$2:$D$21,4,FALSE)</f>
        <v>Diesel</v>
      </c>
      <c r="W5" s="3">
        <f ca="1">VLOOKUP(V5,Fuel_Rates!$A$2:$B$3,2,FALSE)</f>
        <v>95</v>
      </c>
      <c r="X5" s="3">
        <f t="shared" ca="1" si="12"/>
        <v>177.3</v>
      </c>
      <c r="Y5" s="3">
        <f t="shared" ca="1" si="13"/>
        <v>64108</v>
      </c>
      <c r="Z5" s="3" t="str">
        <f t="shared" ca="1" si="14"/>
        <v>Nov</v>
      </c>
      <c r="AA5" s="3" t="str">
        <f t="shared" ca="1" si="15"/>
        <v>Q4</v>
      </c>
      <c r="AB5" s="4" t="str">
        <f t="shared" ca="1" si="16"/>
        <v>Short Haul</v>
      </c>
    </row>
    <row r="6" spans="1:28" ht="28.8" x14ac:dyDescent="0.3">
      <c r="A6" s="8" t="str">
        <f t="shared" si="11"/>
        <v>S0005</v>
      </c>
      <c r="B6" s="3">
        <f t="shared" ca="1" si="0"/>
        <v>45949</v>
      </c>
      <c r="C6" s="3" t="str">
        <f ca="1">INDEX(Customers!$A$2:$A$21,RANDBETWEEN(1,20))</f>
        <v>C007</v>
      </c>
      <c r="D6" s="3" t="str">
        <f ca="1">INDEX(Routes!$A$2:$A$31,RANDBETWEEN(1,30))</f>
        <v>R013</v>
      </c>
      <c r="E6" s="3" t="str">
        <f ca="1">INDEX(Vehicles!$A$2:$A$21,RANDBETWEEN(1,20))</f>
        <v>V013</v>
      </c>
      <c r="F6" s="3" t="str">
        <f ca="1">INDEX(Drivers!$A$2:$A$31,RANDBETWEEN(1,30))</f>
        <v>D012</v>
      </c>
      <c r="G6" s="3">
        <f t="shared" ca="1" si="1"/>
        <v>22.9</v>
      </c>
      <c r="H6" s="3">
        <f t="shared" ca="1" si="2"/>
        <v>52190</v>
      </c>
      <c r="I6" s="3">
        <f t="shared" ca="1" si="3"/>
        <v>14613</v>
      </c>
      <c r="J6" s="3">
        <f t="shared" ca="1" si="4"/>
        <v>3595</v>
      </c>
      <c r="K6" s="3">
        <f t="shared" ca="1" si="5"/>
        <v>23</v>
      </c>
      <c r="L6" s="3">
        <f t="shared" ca="1" si="6"/>
        <v>31</v>
      </c>
      <c r="M6" s="3">
        <f t="shared" ca="1" si="7"/>
        <v>8</v>
      </c>
      <c r="N6" s="3" t="str">
        <f t="shared" ca="1" si="8"/>
        <v>Delayed</v>
      </c>
      <c r="O6" s="3" t="str">
        <f t="shared" ca="1" si="9"/>
        <v>High</v>
      </c>
      <c r="P6" s="3">
        <f t="shared" ca="1" si="10"/>
        <v>76.3</v>
      </c>
      <c r="Q6" s="1" t="str">
        <f ca="1">VLOOKUP(D6,Routes!$A$2:$D$31,2,FALSE)</f>
        <v>Chennai</v>
      </c>
      <c r="R6" s="1" t="str">
        <f ca="1">VLOOKUP(D6,Routes!$A$2:$D$31,3,FALSE)</f>
        <v>Hyderabad</v>
      </c>
      <c r="S6" s="3">
        <f ca="1">VLOOKUP(D6,Routes!$A$2:$D$31,4,FALSE)</f>
        <v>630</v>
      </c>
      <c r="T6" s="3" t="str">
        <f ca="1">VLOOKUP(E6,Vehicles!$A$2:$D$21,2,FALSE)</f>
        <v>LCV</v>
      </c>
      <c r="U6" s="3">
        <f ca="1">VLOOKUP(E6,Vehicles!$A$2:$D$21,3,FALSE)</f>
        <v>4</v>
      </c>
      <c r="V6" s="3" t="str">
        <f ca="1">VLOOKUP(E6,Vehicles!$A$2:$D$21,4,FALSE)</f>
        <v>CNG</v>
      </c>
      <c r="W6" s="3">
        <f ca="1">VLOOKUP(V6,Fuel_Rates!$A$2:$B$3,2,FALSE)</f>
        <v>78</v>
      </c>
      <c r="X6" s="3">
        <f t="shared" ca="1" si="12"/>
        <v>82.84</v>
      </c>
      <c r="Y6" s="3">
        <f t="shared" ca="1" si="13"/>
        <v>70398</v>
      </c>
      <c r="Z6" s="3" t="str">
        <f t="shared" ca="1" si="14"/>
        <v>Oct</v>
      </c>
      <c r="AA6" s="3" t="str">
        <f t="shared" ca="1" si="15"/>
        <v>Q4</v>
      </c>
      <c r="AB6" s="4" t="str">
        <f t="shared" ca="1" si="16"/>
        <v>Medium Haul</v>
      </c>
    </row>
    <row r="7" spans="1:28" ht="28.8" x14ac:dyDescent="0.3">
      <c r="A7" s="8" t="str">
        <f t="shared" si="11"/>
        <v>S0006</v>
      </c>
      <c r="B7" s="3">
        <f t="shared" ca="1" si="0"/>
        <v>45909</v>
      </c>
      <c r="C7" s="3" t="str">
        <f ca="1">INDEX(Customers!$A$2:$A$21,RANDBETWEEN(1,20))</f>
        <v>C008</v>
      </c>
      <c r="D7" s="3" t="str">
        <f ca="1">INDEX(Routes!$A$2:$A$31,RANDBETWEEN(1,30))</f>
        <v>R022</v>
      </c>
      <c r="E7" s="3" t="str">
        <f ca="1">INDEX(Vehicles!$A$2:$A$21,RANDBETWEEN(1,20))</f>
        <v>V004</v>
      </c>
      <c r="F7" s="3" t="str">
        <f ca="1">INDEX(Drivers!$A$2:$A$31,RANDBETWEEN(1,30))</f>
        <v>D005</v>
      </c>
      <c r="G7" s="3">
        <f t="shared" ca="1" si="1"/>
        <v>29.9</v>
      </c>
      <c r="H7" s="3">
        <f t="shared" ca="1" si="2"/>
        <v>68200</v>
      </c>
      <c r="I7" s="3">
        <f t="shared" ca="1" si="3"/>
        <v>19096</v>
      </c>
      <c r="J7" s="3">
        <f t="shared" ca="1" si="4"/>
        <v>3765</v>
      </c>
      <c r="K7" s="3">
        <f t="shared" ca="1" si="5"/>
        <v>5</v>
      </c>
      <c r="L7" s="3">
        <f t="shared" ca="1" si="6"/>
        <v>12</v>
      </c>
      <c r="M7" s="3">
        <f t="shared" ca="1" si="7"/>
        <v>7</v>
      </c>
      <c r="N7" s="3" t="str">
        <f t="shared" ca="1" si="8"/>
        <v>Delayed</v>
      </c>
      <c r="O7" s="3" t="str">
        <f t="shared" ca="1" si="9"/>
        <v>High</v>
      </c>
      <c r="P7" s="3">
        <f t="shared" ca="1" si="10"/>
        <v>99.7</v>
      </c>
      <c r="Q7" s="1" t="str">
        <f ca="1">VLOOKUP(D7,Routes!$A$2:$D$31,2,FALSE)</f>
        <v>Jaipur</v>
      </c>
      <c r="R7" s="1" t="str">
        <f ca="1">VLOOKUP(D7,Routes!$A$2:$D$31,3,FALSE)</f>
        <v>Indore</v>
      </c>
      <c r="S7" s="3">
        <f ca="1">VLOOKUP(D7,Routes!$A$2:$D$31,4,FALSE)</f>
        <v>600</v>
      </c>
      <c r="T7" s="3" t="str">
        <f ca="1">VLOOKUP(E7,Vehicles!$A$2:$D$21,2,FALSE)</f>
        <v>Trailer</v>
      </c>
      <c r="U7" s="3">
        <f ca="1">VLOOKUP(E7,Vehicles!$A$2:$D$21,3,FALSE)</f>
        <v>28</v>
      </c>
      <c r="V7" s="3" t="str">
        <f ca="1">VLOOKUP(E7,Vehicles!$A$2:$D$21,4,FALSE)</f>
        <v>Diesel</v>
      </c>
      <c r="W7" s="3">
        <f ca="1">VLOOKUP(V7,Fuel_Rates!$A$2:$B$3,2,FALSE)</f>
        <v>95</v>
      </c>
      <c r="X7" s="3">
        <f t="shared" ca="1" si="12"/>
        <v>113.67</v>
      </c>
      <c r="Y7" s="3">
        <f t="shared" ca="1" si="13"/>
        <v>91061</v>
      </c>
      <c r="Z7" s="3" t="str">
        <f t="shared" ca="1" si="14"/>
        <v>Sep</v>
      </c>
      <c r="AA7" s="3" t="str">
        <f t="shared" ca="1" si="15"/>
        <v>Q3</v>
      </c>
      <c r="AB7" s="4" t="str">
        <f t="shared" ca="1" si="16"/>
        <v>Medium Haul</v>
      </c>
    </row>
    <row r="8" spans="1:28" ht="28.8" x14ac:dyDescent="0.3">
      <c r="A8" s="8" t="str">
        <f t="shared" si="11"/>
        <v>S0007</v>
      </c>
      <c r="B8" s="3">
        <f t="shared" ca="1" si="0"/>
        <v>45904</v>
      </c>
      <c r="C8" s="3" t="str">
        <f ca="1">INDEX(Customers!$A$2:$A$21,RANDBETWEEN(1,20))</f>
        <v>C001</v>
      </c>
      <c r="D8" s="3" t="str">
        <f ca="1">INDEX(Routes!$A$2:$A$31,RANDBETWEEN(1,30))</f>
        <v>R014</v>
      </c>
      <c r="E8" s="3" t="str">
        <f ca="1">INDEX(Vehicles!$A$2:$A$21,RANDBETWEEN(1,20))</f>
        <v>V008</v>
      </c>
      <c r="F8" s="3" t="str">
        <f ca="1">INDEX(Drivers!$A$2:$A$31,RANDBETWEEN(1,30))</f>
        <v>D015</v>
      </c>
      <c r="G8" s="3">
        <f t="shared" ca="1" si="1"/>
        <v>27.7</v>
      </c>
      <c r="H8" s="3">
        <f t="shared" ca="1" si="2"/>
        <v>60546</v>
      </c>
      <c r="I8" s="3">
        <f t="shared" ca="1" si="3"/>
        <v>16953</v>
      </c>
      <c r="J8" s="3">
        <f t="shared" ca="1" si="4"/>
        <v>1885</v>
      </c>
      <c r="K8" s="3">
        <f t="shared" ca="1" si="5"/>
        <v>28</v>
      </c>
      <c r="L8" s="3">
        <f t="shared" ca="1" si="6"/>
        <v>32</v>
      </c>
      <c r="M8" s="3">
        <f t="shared" ca="1" si="7"/>
        <v>4</v>
      </c>
      <c r="N8" s="3" t="str">
        <f t="shared" ca="1" si="8"/>
        <v>Delayed</v>
      </c>
      <c r="O8" s="3" t="str">
        <f t="shared" ca="1" si="9"/>
        <v>Low</v>
      </c>
      <c r="P8" s="3">
        <f t="shared" ca="1" si="10"/>
        <v>92.3</v>
      </c>
      <c r="Q8" s="1" t="str">
        <f ca="1">VLOOKUP(D8,Routes!$A$2:$D$31,2,FALSE)</f>
        <v>Hyderabad</v>
      </c>
      <c r="R8" s="1" t="str">
        <f ca="1">VLOOKUP(D8,Routes!$A$2:$D$31,3,FALSE)</f>
        <v>Nagpur</v>
      </c>
      <c r="S8" s="3">
        <f ca="1">VLOOKUP(D8,Routes!$A$2:$D$31,4,FALSE)</f>
        <v>500</v>
      </c>
      <c r="T8" s="3" t="str">
        <f ca="1">VLOOKUP(E8,Vehicles!$A$2:$D$21,2,FALSE)</f>
        <v>Container</v>
      </c>
      <c r="U8" s="3">
        <f ca="1">VLOOKUP(E8,Vehicles!$A$2:$D$21,3,FALSE)</f>
        <v>25</v>
      </c>
      <c r="V8" s="3" t="str">
        <f ca="1">VLOOKUP(E8,Vehicles!$A$2:$D$21,4,FALSE)</f>
        <v>Diesel</v>
      </c>
      <c r="W8" s="3">
        <f ca="1">VLOOKUP(V8,Fuel_Rates!$A$2:$B$3,2,FALSE)</f>
        <v>95</v>
      </c>
      <c r="X8" s="3">
        <f t="shared" ca="1" si="12"/>
        <v>121.09</v>
      </c>
      <c r="Y8" s="3">
        <f t="shared" ca="1" si="13"/>
        <v>79384</v>
      </c>
      <c r="Z8" s="3" t="str">
        <f t="shared" ca="1" si="14"/>
        <v>Sep</v>
      </c>
      <c r="AA8" s="3" t="str">
        <f t="shared" ca="1" si="15"/>
        <v>Q3</v>
      </c>
      <c r="AB8" s="4" t="str">
        <f t="shared" ca="1" si="16"/>
        <v>Medium Haul</v>
      </c>
    </row>
    <row r="9" spans="1:28" ht="28.8" x14ac:dyDescent="0.3">
      <c r="A9" s="8" t="str">
        <f t="shared" si="11"/>
        <v>S0008</v>
      </c>
      <c r="B9" s="3">
        <f t="shared" ca="1" si="0"/>
        <v>45709</v>
      </c>
      <c r="C9" s="3" t="str">
        <f ca="1">INDEX(Customers!$A$2:$A$21,RANDBETWEEN(1,20))</f>
        <v>C005</v>
      </c>
      <c r="D9" s="3" t="str">
        <f ca="1">INDEX(Routes!$A$2:$A$31,RANDBETWEEN(1,30))</f>
        <v>R024</v>
      </c>
      <c r="E9" s="3" t="str">
        <f ca="1">INDEX(Vehicles!$A$2:$A$21,RANDBETWEEN(1,20))</f>
        <v>V014</v>
      </c>
      <c r="F9" s="3" t="str">
        <f ca="1">INDEX(Drivers!$A$2:$A$31,RANDBETWEEN(1,30))</f>
        <v>D009</v>
      </c>
      <c r="G9" s="3">
        <f t="shared" ca="1" si="1"/>
        <v>13.2</v>
      </c>
      <c r="H9" s="3">
        <f t="shared" ca="1" si="2"/>
        <v>34543</v>
      </c>
      <c r="I9" s="3">
        <f t="shared" ca="1" si="3"/>
        <v>9672</v>
      </c>
      <c r="J9" s="3">
        <f t="shared" ca="1" si="4"/>
        <v>1791</v>
      </c>
      <c r="K9" s="3">
        <f t="shared" ca="1" si="5"/>
        <v>14</v>
      </c>
      <c r="L9" s="3">
        <f t="shared" ca="1" si="6"/>
        <v>14</v>
      </c>
      <c r="M9" s="3">
        <f t="shared" ca="1" si="7"/>
        <v>0</v>
      </c>
      <c r="N9" s="3" t="str">
        <f t="shared" ca="1" si="8"/>
        <v>On Time</v>
      </c>
      <c r="O9" s="3" t="str">
        <f t="shared" ca="1" si="9"/>
        <v>Low</v>
      </c>
      <c r="P9" s="3">
        <f t="shared" ca="1" si="10"/>
        <v>44</v>
      </c>
      <c r="Q9" s="1" t="str">
        <f ca="1">VLOOKUP(D9,Routes!$A$2:$D$31,2,FALSE)</f>
        <v>Surat</v>
      </c>
      <c r="R9" s="1" t="str">
        <f ca="1">VLOOKUP(D9,Routes!$A$2:$D$31,3,FALSE)</f>
        <v>Mumbai</v>
      </c>
      <c r="S9" s="3">
        <f ca="1">VLOOKUP(D9,Routes!$A$2:$D$31,4,FALSE)</f>
        <v>280</v>
      </c>
      <c r="T9" s="3" t="str">
        <f ca="1">VLOOKUP(E9,Vehicles!$A$2:$D$21,2,FALSE)</f>
        <v>LCV</v>
      </c>
      <c r="U9" s="3">
        <f ca="1">VLOOKUP(E9,Vehicles!$A$2:$D$21,3,FALSE)</f>
        <v>6</v>
      </c>
      <c r="V9" s="3" t="str">
        <f ca="1">VLOOKUP(E9,Vehicles!$A$2:$D$21,4,FALSE)</f>
        <v>CNG</v>
      </c>
      <c r="W9" s="3">
        <f ca="1">VLOOKUP(V9,Fuel_Rates!$A$2:$B$3,2,FALSE)</f>
        <v>78</v>
      </c>
      <c r="X9" s="3">
        <f t="shared" ca="1" si="12"/>
        <v>123.37</v>
      </c>
      <c r="Y9" s="3">
        <f t="shared" ca="1" si="13"/>
        <v>46006</v>
      </c>
      <c r="Z9" s="3" t="str">
        <f t="shared" ca="1" si="14"/>
        <v>Feb</v>
      </c>
      <c r="AA9" s="3" t="str">
        <f t="shared" ca="1" si="15"/>
        <v>Q1</v>
      </c>
      <c r="AB9" s="4" t="str">
        <f t="shared" ca="1" si="16"/>
        <v>Short Haul</v>
      </c>
    </row>
    <row r="10" spans="1:28" ht="28.8" x14ac:dyDescent="0.3">
      <c r="A10" s="8" t="str">
        <f t="shared" si="11"/>
        <v>S0009</v>
      </c>
      <c r="B10" s="3">
        <f t="shared" ca="1" si="0"/>
        <v>45821</v>
      </c>
      <c r="C10" s="3" t="str">
        <f ca="1">INDEX(Customers!$A$2:$A$21,RANDBETWEEN(1,20))</f>
        <v>C008</v>
      </c>
      <c r="D10" s="3" t="str">
        <f ca="1">INDEX(Routes!$A$2:$A$31,RANDBETWEEN(1,30))</f>
        <v>R022</v>
      </c>
      <c r="E10" s="3" t="str">
        <f ca="1">INDEX(Vehicles!$A$2:$A$21,RANDBETWEEN(1,20))</f>
        <v>V014</v>
      </c>
      <c r="F10" s="3" t="str">
        <f ca="1">INDEX(Drivers!$A$2:$A$31,RANDBETWEEN(1,30))</f>
        <v>D017</v>
      </c>
      <c r="G10" s="3">
        <f t="shared" ca="1" si="1"/>
        <v>23.2</v>
      </c>
      <c r="H10" s="3">
        <f t="shared" ca="1" si="2"/>
        <v>47001</v>
      </c>
      <c r="I10" s="3">
        <f t="shared" ca="1" si="3"/>
        <v>13160</v>
      </c>
      <c r="J10" s="3">
        <f t="shared" ca="1" si="4"/>
        <v>2335</v>
      </c>
      <c r="K10" s="3">
        <f t="shared" ca="1" si="5"/>
        <v>12</v>
      </c>
      <c r="L10" s="3">
        <f t="shared" ca="1" si="6"/>
        <v>19</v>
      </c>
      <c r="M10" s="3">
        <f t="shared" ca="1" si="7"/>
        <v>7</v>
      </c>
      <c r="N10" s="3" t="str">
        <f t="shared" ca="1" si="8"/>
        <v>Delayed</v>
      </c>
      <c r="O10" s="3" t="str">
        <f t="shared" ca="1" si="9"/>
        <v>Low</v>
      </c>
      <c r="P10" s="3">
        <f t="shared" ca="1" si="10"/>
        <v>77.3</v>
      </c>
      <c r="Q10" s="1" t="str">
        <f ca="1">VLOOKUP(D10,Routes!$A$2:$D$31,2,FALSE)</f>
        <v>Jaipur</v>
      </c>
      <c r="R10" s="1" t="str">
        <f ca="1">VLOOKUP(D10,Routes!$A$2:$D$31,3,FALSE)</f>
        <v>Indore</v>
      </c>
      <c r="S10" s="3">
        <f ca="1">VLOOKUP(D10,Routes!$A$2:$D$31,4,FALSE)</f>
        <v>600</v>
      </c>
      <c r="T10" s="3" t="str">
        <f ca="1">VLOOKUP(E10,Vehicles!$A$2:$D$21,2,FALSE)</f>
        <v>LCV</v>
      </c>
      <c r="U10" s="3">
        <f ca="1">VLOOKUP(E10,Vehicles!$A$2:$D$21,3,FALSE)</f>
        <v>6</v>
      </c>
      <c r="V10" s="3" t="str">
        <f ca="1">VLOOKUP(E10,Vehicles!$A$2:$D$21,4,FALSE)</f>
        <v>CNG</v>
      </c>
      <c r="W10" s="3">
        <f ca="1">VLOOKUP(V10,Fuel_Rates!$A$2:$B$3,2,FALSE)</f>
        <v>78</v>
      </c>
      <c r="X10" s="3">
        <f t="shared" ca="1" si="12"/>
        <v>78.34</v>
      </c>
      <c r="Y10" s="3">
        <f t="shared" ca="1" si="13"/>
        <v>62496</v>
      </c>
      <c r="Z10" s="3" t="str">
        <f t="shared" ca="1" si="14"/>
        <v>Jun</v>
      </c>
      <c r="AA10" s="3" t="str">
        <f t="shared" ca="1" si="15"/>
        <v>Q2</v>
      </c>
      <c r="AB10" s="4" t="str">
        <f t="shared" ca="1" si="16"/>
        <v>Medium Haul</v>
      </c>
    </row>
    <row r="11" spans="1:28" ht="28.8" x14ac:dyDescent="0.3">
      <c r="A11" s="8" t="str">
        <f t="shared" si="11"/>
        <v>S0010</v>
      </c>
      <c r="B11" s="3">
        <f t="shared" ca="1" si="0"/>
        <v>45975</v>
      </c>
      <c r="C11" s="3" t="str">
        <f ca="1">INDEX(Customers!$A$2:$A$21,RANDBETWEEN(1,20))</f>
        <v>C003</v>
      </c>
      <c r="D11" s="3" t="str">
        <f ca="1">INDEX(Routes!$A$2:$A$31,RANDBETWEEN(1,30))</f>
        <v>R003</v>
      </c>
      <c r="E11" s="3" t="str">
        <f ca="1">INDEX(Vehicles!$A$2:$A$21,RANDBETWEEN(1,20))</f>
        <v>V014</v>
      </c>
      <c r="F11" s="3" t="str">
        <f ca="1">INDEX(Drivers!$A$2:$A$31,RANDBETWEEN(1,30))</f>
        <v>D003</v>
      </c>
      <c r="G11" s="3">
        <f t="shared" ca="1" si="1"/>
        <v>23</v>
      </c>
      <c r="H11" s="3">
        <f t="shared" ca="1" si="2"/>
        <v>45386</v>
      </c>
      <c r="I11" s="3">
        <f t="shared" ca="1" si="3"/>
        <v>12708</v>
      </c>
      <c r="J11" s="3">
        <f t="shared" ca="1" si="4"/>
        <v>2452</v>
      </c>
      <c r="K11" s="3">
        <f t="shared" ca="1" si="5"/>
        <v>48</v>
      </c>
      <c r="L11" s="3">
        <f t="shared" ca="1" si="6"/>
        <v>54</v>
      </c>
      <c r="M11" s="3">
        <f t="shared" ca="1" si="7"/>
        <v>6</v>
      </c>
      <c r="N11" s="3" t="str">
        <f t="shared" ca="1" si="8"/>
        <v>Delayed</v>
      </c>
      <c r="O11" s="3" t="str">
        <f t="shared" ca="1" si="9"/>
        <v>Low</v>
      </c>
      <c r="P11" s="3">
        <f t="shared" ca="1" si="10"/>
        <v>76.7</v>
      </c>
      <c r="Q11" s="1" t="str">
        <f ca="1">VLOOKUP(D11,Routes!$A$2:$D$31,2,FALSE)</f>
        <v>Mumbai</v>
      </c>
      <c r="R11" s="1" t="str">
        <f ca="1">VLOOKUP(D11,Routes!$A$2:$D$31,3,FALSE)</f>
        <v>Delhi</v>
      </c>
      <c r="S11" s="3">
        <f ca="1">VLOOKUP(D11,Routes!$A$2:$D$31,4,FALSE)</f>
        <v>1450</v>
      </c>
      <c r="T11" s="3" t="str">
        <f ca="1">VLOOKUP(E11,Vehicles!$A$2:$D$21,2,FALSE)</f>
        <v>LCV</v>
      </c>
      <c r="U11" s="3">
        <f ca="1">VLOOKUP(E11,Vehicles!$A$2:$D$21,3,FALSE)</f>
        <v>6</v>
      </c>
      <c r="V11" s="3" t="str">
        <f ca="1">VLOOKUP(E11,Vehicles!$A$2:$D$21,4,FALSE)</f>
        <v>CNG</v>
      </c>
      <c r="W11" s="3">
        <f ca="1">VLOOKUP(V11,Fuel_Rates!$A$2:$B$3,2,FALSE)</f>
        <v>78</v>
      </c>
      <c r="X11" s="3">
        <f t="shared" ca="1" si="12"/>
        <v>31.3</v>
      </c>
      <c r="Y11" s="3">
        <f t="shared" ca="1" si="13"/>
        <v>60546</v>
      </c>
      <c r="Z11" s="3" t="str">
        <f t="shared" ca="1" si="14"/>
        <v>Nov</v>
      </c>
      <c r="AA11" s="3" t="str">
        <f t="shared" ca="1" si="15"/>
        <v>Q4</v>
      </c>
      <c r="AB11" s="4" t="str">
        <f t="shared" ca="1" si="16"/>
        <v>Long Haul</v>
      </c>
    </row>
    <row r="12" spans="1:28" ht="28.8" x14ac:dyDescent="0.3">
      <c r="A12" s="8" t="str">
        <f t="shared" si="11"/>
        <v>S0011</v>
      </c>
      <c r="B12" s="3">
        <f t="shared" ca="1" si="0"/>
        <v>45770</v>
      </c>
      <c r="C12" s="3" t="str">
        <f ca="1">INDEX(Customers!$A$2:$A$21,RANDBETWEEN(1,20))</f>
        <v>C007</v>
      </c>
      <c r="D12" s="3" t="str">
        <f ca="1">INDEX(Routes!$A$2:$A$31,RANDBETWEEN(1,30))</f>
        <v>R021</v>
      </c>
      <c r="E12" s="3" t="str">
        <f ca="1">INDEX(Vehicles!$A$2:$A$21,RANDBETWEEN(1,20))</f>
        <v>V015</v>
      </c>
      <c r="F12" s="3" t="str">
        <f ca="1">INDEX(Drivers!$A$2:$A$31,RANDBETWEEN(1,30))</f>
        <v>D010</v>
      </c>
      <c r="G12" s="3">
        <f t="shared" ca="1" si="1"/>
        <v>20.100000000000001</v>
      </c>
      <c r="H12" s="3">
        <f t="shared" ca="1" si="2"/>
        <v>45734</v>
      </c>
      <c r="I12" s="3">
        <f t="shared" ca="1" si="3"/>
        <v>12806</v>
      </c>
      <c r="J12" s="3">
        <f t="shared" ca="1" si="4"/>
        <v>774</v>
      </c>
      <c r="K12" s="3">
        <f t="shared" ca="1" si="5"/>
        <v>39</v>
      </c>
      <c r="L12" s="3">
        <f t="shared" ca="1" si="6"/>
        <v>45</v>
      </c>
      <c r="M12" s="3">
        <f t="shared" ca="1" si="7"/>
        <v>6</v>
      </c>
      <c r="N12" s="3" t="str">
        <f t="shared" ca="1" si="8"/>
        <v>Delayed</v>
      </c>
      <c r="O12" s="3" t="str">
        <f t="shared" ca="1" si="9"/>
        <v>Low</v>
      </c>
      <c r="P12" s="3">
        <f t="shared" ca="1" si="10"/>
        <v>67</v>
      </c>
      <c r="Q12" s="1" t="str">
        <f ca="1">VLOOKUP(D12,Routes!$A$2:$D$31,2,FALSE)</f>
        <v>Lucknow</v>
      </c>
      <c r="R12" s="1" t="str">
        <f ca="1">VLOOKUP(D12,Routes!$A$2:$D$31,3,FALSE)</f>
        <v>Kanpur</v>
      </c>
      <c r="S12" s="3">
        <f ca="1">VLOOKUP(D12,Routes!$A$2:$D$31,4,FALSE)</f>
        <v>90</v>
      </c>
      <c r="T12" s="3" t="str">
        <f ca="1">VLOOKUP(E12,Vehicles!$A$2:$D$21,2,FALSE)</f>
        <v>Trailer</v>
      </c>
      <c r="U12" s="3">
        <f ca="1">VLOOKUP(E12,Vehicles!$A$2:$D$21,3,FALSE)</f>
        <v>30</v>
      </c>
      <c r="V12" s="3" t="str">
        <f ca="1">VLOOKUP(E12,Vehicles!$A$2:$D$21,4,FALSE)</f>
        <v>Diesel</v>
      </c>
      <c r="W12" s="3">
        <f ca="1">VLOOKUP(V12,Fuel_Rates!$A$2:$B$3,2,FALSE)</f>
        <v>95</v>
      </c>
      <c r="X12" s="3">
        <f t="shared" ca="1" si="12"/>
        <v>508.16</v>
      </c>
      <c r="Y12" s="3">
        <f t="shared" ca="1" si="13"/>
        <v>59314</v>
      </c>
      <c r="Z12" s="3" t="str">
        <f t="shared" ca="1" si="14"/>
        <v>Apr</v>
      </c>
      <c r="AA12" s="3" t="str">
        <f t="shared" ca="1" si="15"/>
        <v>Q2</v>
      </c>
      <c r="AB12" s="4" t="str">
        <f t="shared" ca="1" si="16"/>
        <v>Short Haul</v>
      </c>
    </row>
    <row r="13" spans="1:28" ht="28.8" x14ac:dyDescent="0.3">
      <c r="A13" s="8" t="str">
        <f t="shared" si="11"/>
        <v>S0012</v>
      </c>
      <c r="B13" s="3">
        <f t="shared" ca="1" si="0"/>
        <v>45793</v>
      </c>
      <c r="C13" s="3" t="str">
        <f ca="1">INDEX(Customers!$A$2:$A$21,RANDBETWEEN(1,20))</f>
        <v>C010</v>
      </c>
      <c r="D13" s="3" t="str">
        <f ca="1">INDEX(Routes!$A$2:$A$31,RANDBETWEEN(1,30))</f>
        <v>R023</v>
      </c>
      <c r="E13" s="3" t="str">
        <f ca="1">INDEX(Vehicles!$A$2:$A$21,RANDBETWEEN(1,20))</f>
        <v>V012</v>
      </c>
      <c r="F13" s="3" t="str">
        <f ca="1">INDEX(Drivers!$A$2:$A$31,RANDBETWEEN(1,30))</f>
        <v>D016</v>
      </c>
      <c r="G13" s="3">
        <f t="shared" ca="1" si="1"/>
        <v>13.7</v>
      </c>
      <c r="H13" s="3">
        <f t="shared" ca="1" si="2"/>
        <v>28664</v>
      </c>
      <c r="I13" s="3">
        <f t="shared" ca="1" si="3"/>
        <v>8026</v>
      </c>
      <c r="J13" s="3">
        <f t="shared" ca="1" si="4"/>
        <v>2734</v>
      </c>
      <c r="K13" s="3">
        <f t="shared" ca="1" si="5"/>
        <v>41</v>
      </c>
      <c r="L13" s="3">
        <f t="shared" ca="1" si="6"/>
        <v>43</v>
      </c>
      <c r="M13" s="3">
        <f t="shared" ca="1" si="7"/>
        <v>2</v>
      </c>
      <c r="N13" s="3" t="str">
        <f t="shared" ca="1" si="8"/>
        <v>On Time</v>
      </c>
      <c r="O13" s="3" t="str">
        <f t="shared" ca="1" si="9"/>
        <v>Low</v>
      </c>
      <c r="P13" s="3">
        <f t="shared" ca="1" si="10"/>
        <v>45.7</v>
      </c>
      <c r="Q13" s="1" t="str">
        <f ca="1">VLOOKUP(D13,Routes!$A$2:$D$31,2,FALSE)</f>
        <v>Kochi</v>
      </c>
      <c r="R13" s="1" t="str">
        <f ca="1">VLOOKUP(D13,Routes!$A$2:$D$31,3,FALSE)</f>
        <v>Bengaluru</v>
      </c>
      <c r="S13" s="3">
        <f ca="1">VLOOKUP(D13,Routes!$A$2:$D$31,4,FALSE)</f>
        <v>550</v>
      </c>
      <c r="T13" s="3" t="str">
        <f ca="1">VLOOKUP(E13,Vehicles!$A$2:$D$21,2,FALSE)</f>
        <v>Truck</v>
      </c>
      <c r="U13" s="3">
        <f ca="1">VLOOKUP(E13,Vehicles!$A$2:$D$21,3,FALSE)</f>
        <v>20</v>
      </c>
      <c r="V13" s="3" t="str">
        <f ca="1">VLOOKUP(E13,Vehicles!$A$2:$D$21,4,FALSE)</f>
        <v>CNG</v>
      </c>
      <c r="W13" s="3">
        <f ca="1">VLOOKUP(V13,Fuel_Rates!$A$2:$B$3,2,FALSE)</f>
        <v>78</v>
      </c>
      <c r="X13" s="3">
        <f t="shared" ca="1" si="12"/>
        <v>52.12</v>
      </c>
      <c r="Y13" s="3">
        <f t="shared" ca="1" si="13"/>
        <v>39424</v>
      </c>
      <c r="Z13" s="3" t="str">
        <f t="shared" ca="1" si="14"/>
        <v>May</v>
      </c>
      <c r="AA13" s="3" t="str">
        <f t="shared" ca="1" si="15"/>
        <v>Q2</v>
      </c>
      <c r="AB13" s="4" t="str">
        <f t="shared" ca="1" si="16"/>
        <v>Medium Haul</v>
      </c>
    </row>
    <row r="14" spans="1:28" ht="28.8" x14ac:dyDescent="0.3">
      <c r="A14" s="8" t="str">
        <f t="shared" si="11"/>
        <v>S0013</v>
      </c>
      <c r="B14" s="3">
        <f t="shared" ca="1" si="0"/>
        <v>45895</v>
      </c>
      <c r="C14" s="3" t="str">
        <f ca="1">INDEX(Customers!$A$2:$A$21,RANDBETWEEN(1,20))</f>
        <v>C011</v>
      </c>
      <c r="D14" s="3" t="str">
        <f ca="1">INDEX(Routes!$A$2:$A$31,RANDBETWEEN(1,30))</f>
        <v>R021</v>
      </c>
      <c r="E14" s="3" t="str">
        <f ca="1">INDEX(Vehicles!$A$2:$A$21,RANDBETWEEN(1,20))</f>
        <v>V005</v>
      </c>
      <c r="F14" s="3" t="str">
        <f ca="1">INDEX(Drivers!$A$2:$A$31,RANDBETWEEN(1,30))</f>
        <v>D009</v>
      </c>
      <c r="G14" s="3">
        <f t="shared" ca="1" si="1"/>
        <v>18.600000000000001</v>
      </c>
      <c r="H14" s="3">
        <f t="shared" ca="1" si="2"/>
        <v>43951</v>
      </c>
      <c r="I14" s="3">
        <f t="shared" ca="1" si="3"/>
        <v>12306</v>
      </c>
      <c r="J14" s="3">
        <f t="shared" ca="1" si="4"/>
        <v>1557</v>
      </c>
      <c r="K14" s="3">
        <f t="shared" ca="1" si="5"/>
        <v>27</v>
      </c>
      <c r="L14" s="3">
        <f t="shared" ca="1" si="6"/>
        <v>32</v>
      </c>
      <c r="M14" s="3">
        <f t="shared" ca="1" si="7"/>
        <v>5</v>
      </c>
      <c r="N14" s="3" t="str">
        <f t="shared" ca="1" si="8"/>
        <v>Delayed</v>
      </c>
      <c r="O14" s="3" t="str">
        <f t="shared" ca="1" si="9"/>
        <v>Medium</v>
      </c>
      <c r="P14" s="3">
        <f t="shared" ca="1" si="10"/>
        <v>62</v>
      </c>
      <c r="Q14" s="1" t="str">
        <f ca="1">VLOOKUP(D14,Routes!$A$2:$D$31,2,FALSE)</f>
        <v>Lucknow</v>
      </c>
      <c r="R14" s="1" t="str">
        <f ca="1">VLOOKUP(D14,Routes!$A$2:$D$31,3,FALSE)</f>
        <v>Kanpur</v>
      </c>
      <c r="S14" s="3">
        <f ca="1">VLOOKUP(D14,Routes!$A$2:$D$31,4,FALSE)</f>
        <v>90</v>
      </c>
      <c r="T14" s="3" t="str">
        <f ca="1">VLOOKUP(E14,Vehicles!$A$2:$D$21,2,FALSE)</f>
        <v>Trailer</v>
      </c>
      <c r="U14" s="3">
        <f ca="1">VLOOKUP(E14,Vehicles!$A$2:$D$21,3,FALSE)</f>
        <v>32</v>
      </c>
      <c r="V14" s="3" t="str">
        <f ca="1">VLOOKUP(E14,Vehicles!$A$2:$D$21,4,FALSE)</f>
        <v>Diesel</v>
      </c>
      <c r="W14" s="3">
        <f ca="1">VLOOKUP(V14,Fuel_Rates!$A$2:$B$3,2,FALSE)</f>
        <v>95</v>
      </c>
      <c r="X14" s="3">
        <f t="shared" ca="1" si="12"/>
        <v>488.34</v>
      </c>
      <c r="Y14" s="3">
        <f t="shared" ca="1" si="13"/>
        <v>57814</v>
      </c>
      <c r="Z14" s="3" t="str">
        <f t="shared" ca="1" si="14"/>
        <v>Aug</v>
      </c>
      <c r="AA14" s="3" t="str">
        <f t="shared" ca="1" si="15"/>
        <v>Q3</v>
      </c>
      <c r="AB14" s="4" t="str">
        <f t="shared" ca="1" si="16"/>
        <v>Short Haul</v>
      </c>
    </row>
    <row r="15" spans="1:28" ht="28.8" x14ac:dyDescent="0.3">
      <c r="A15" s="8" t="str">
        <f t="shared" si="11"/>
        <v>S0014</v>
      </c>
      <c r="B15" s="3">
        <f t="shared" ca="1" si="0"/>
        <v>45692</v>
      </c>
      <c r="C15" s="3" t="str">
        <f ca="1">INDEX(Customers!$A$2:$A$21,RANDBETWEEN(1,20))</f>
        <v>C014</v>
      </c>
      <c r="D15" s="3" t="str">
        <f ca="1">INDEX(Routes!$A$2:$A$31,RANDBETWEEN(1,30))</f>
        <v>R010</v>
      </c>
      <c r="E15" s="3" t="str">
        <f ca="1">INDEX(Vehicles!$A$2:$A$21,RANDBETWEEN(1,20))</f>
        <v>V018</v>
      </c>
      <c r="F15" s="3" t="str">
        <f ca="1">INDEX(Drivers!$A$2:$A$31,RANDBETWEEN(1,30))</f>
        <v>D005</v>
      </c>
      <c r="G15" s="3">
        <f t="shared" ca="1" si="1"/>
        <v>3</v>
      </c>
      <c r="H15" s="3">
        <f t="shared" ca="1" si="2"/>
        <v>16155</v>
      </c>
      <c r="I15" s="3">
        <f t="shared" ca="1" si="3"/>
        <v>4523</v>
      </c>
      <c r="J15" s="3">
        <f t="shared" ca="1" si="4"/>
        <v>2386</v>
      </c>
      <c r="K15" s="3">
        <f t="shared" ca="1" si="5"/>
        <v>5</v>
      </c>
      <c r="L15" s="3">
        <f t="shared" ca="1" si="6"/>
        <v>12</v>
      </c>
      <c r="M15" s="3">
        <f t="shared" ca="1" si="7"/>
        <v>7</v>
      </c>
      <c r="N15" s="3" t="str">
        <f t="shared" ca="1" si="8"/>
        <v>Delayed</v>
      </c>
      <c r="O15" s="3" t="str">
        <f t="shared" ca="1" si="9"/>
        <v>Medium</v>
      </c>
      <c r="P15" s="3">
        <f t="shared" ca="1" si="10"/>
        <v>10</v>
      </c>
      <c r="Q15" s="1" t="str">
        <f ca="1">VLOOKUP(D15,Routes!$A$2:$D$31,2,FALSE)</f>
        <v>Bengaluru</v>
      </c>
      <c r="R15" s="1" t="str">
        <f ca="1">VLOOKUP(D15,Routes!$A$2:$D$31,3,FALSE)</f>
        <v>Hyderabad</v>
      </c>
      <c r="S15" s="3">
        <f ca="1">VLOOKUP(D15,Routes!$A$2:$D$31,4,FALSE)</f>
        <v>570</v>
      </c>
      <c r="T15" s="3" t="str">
        <f ca="1">VLOOKUP(E15,Vehicles!$A$2:$D$21,2,FALSE)</f>
        <v>Truck</v>
      </c>
      <c r="U15" s="3">
        <f ca="1">VLOOKUP(E15,Vehicles!$A$2:$D$21,3,FALSE)</f>
        <v>26</v>
      </c>
      <c r="V15" s="3" t="str">
        <f ca="1">VLOOKUP(E15,Vehicles!$A$2:$D$21,4,FALSE)</f>
        <v>Diesel</v>
      </c>
      <c r="W15" s="3">
        <f ca="1">VLOOKUP(V15,Fuel_Rates!$A$2:$B$3,2,FALSE)</f>
        <v>95</v>
      </c>
      <c r="X15" s="3">
        <f t="shared" ca="1" si="12"/>
        <v>28.34</v>
      </c>
      <c r="Y15" s="3">
        <f t="shared" ca="1" si="13"/>
        <v>23064</v>
      </c>
      <c r="Z15" s="3" t="str">
        <f t="shared" ca="1" si="14"/>
        <v>Feb</v>
      </c>
      <c r="AA15" s="3" t="str">
        <f t="shared" ca="1" si="15"/>
        <v>Q1</v>
      </c>
      <c r="AB15" s="4" t="str">
        <f t="shared" ca="1" si="16"/>
        <v>Medium Haul</v>
      </c>
    </row>
    <row r="16" spans="1:28" ht="28.8" x14ac:dyDescent="0.3">
      <c r="A16" s="8" t="str">
        <f t="shared" si="11"/>
        <v>S0015</v>
      </c>
      <c r="B16" s="3">
        <f t="shared" ca="1" si="0"/>
        <v>46001</v>
      </c>
      <c r="C16" s="3" t="str">
        <f ca="1">INDEX(Customers!$A$2:$A$21,RANDBETWEEN(1,20))</f>
        <v>C016</v>
      </c>
      <c r="D16" s="3" t="str">
        <f ca="1">INDEX(Routes!$A$2:$A$31,RANDBETWEEN(1,30))</f>
        <v>R017</v>
      </c>
      <c r="E16" s="3" t="str">
        <f ca="1">INDEX(Vehicles!$A$2:$A$21,RANDBETWEEN(1,20))</f>
        <v>V017</v>
      </c>
      <c r="F16" s="3" t="str">
        <f ca="1">INDEX(Drivers!$A$2:$A$31,RANDBETWEEN(1,30))</f>
        <v>D004</v>
      </c>
      <c r="G16" s="3">
        <f t="shared" ca="1" si="1"/>
        <v>6.7</v>
      </c>
      <c r="H16" s="3">
        <f t="shared" ca="1" si="2"/>
        <v>20998</v>
      </c>
      <c r="I16" s="3">
        <f t="shared" ca="1" si="3"/>
        <v>5879</v>
      </c>
      <c r="J16" s="3">
        <f t="shared" ca="1" si="4"/>
        <v>3245</v>
      </c>
      <c r="K16" s="3">
        <f t="shared" ca="1" si="5"/>
        <v>32</v>
      </c>
      <c r="L16" s="3">
        <f t="shared" ca="1" si="6"/>
        <v>39</v>
      </c>
      <c r="M16" s="3">
        <f t="shared" ca="1" si="7"/>
        <v>7</v>
      </c>
      <c r="N16" s="3" t="str">
        <f t="shared" ca="1" si="8"/>
        <v>Delayed</v>
      </c>
      <c r="O16" s="3" t="str">
        <f t="shared" ca="1" si="9"/>
        <v>Medium</v>
      </c>
      <c r="P16" s="3">
        <f t="shared" ca="1" si="10"/>
        <v>22.3</v>
      </c>
      <c r="Q16" s="1" t="str">
        <f ca="1">VLOOKUP(D16,Routes!$A$2:$D$31,2,FALSE)</f>
        <v>Kolkata</v>
      </c>
      <c r="R16" s="1" t="str">
        <f ca="1">VLOOKUP(D16,Routes!$A$2:$D$31,3,FALSE)</f>
        <v>Patna</v>
      </c>
      <c r="S16" s="3">
        <f ca="1">VLOOKUP(D16,Routes!$A$2:$D$31,4,FALSE)</f>
        <v>620</v>
      </c>
      <c r="T16" s="3" t="str">
        <f ca="1">VLOOKUP(E16,Vehicles!$A$2:$D$21,2,FALSE)</f>
        <v>Truck</v>
      </c>
      <c r="U16" s="3">
        <f ca="1">VLOOKUP(E16,Vehicles!$A$2:$D$21,3,FALSE)</f>
        <v>24</v>
      </c>
      <c r="V16" s="3" t="str">
        <f ca="1">VLOOKUP(E16,Vehicles!$A$2:$D$21,4,FALSE)</f>
        <v>Diesel</v>
      </c>
      <c r="W16" s="3">
        <f ca="1">VLOOKUP(V16,Fuel_Rates!$A$2:$B$3,2,FALSE)</f>
        <v>95</v>
      </c>
      <c r="X16" s="3">
        <f t="shared" ca="1" si="12"/>
        <v>33.869999999999997</v>
      </c>
      <c r="Y16" s="3">
        <f t="shared" ca="1" si="13"/>
        <v>30122</v>
      </c>
      <c r="Z16" s="3" t="str">
        <f t="shared" ca="1" si="14"/>
        <v>Dec</v>
      </c>
      <c r="AA16" s="3" t="str">
        <f t="shared" ca="1" si="15"/>
        <v>Q4</v>
      </c>
      <c r="AB16" s="4" t="str">
        <f t="shared" ca="1" si="16"/>
        <v>Medium Haul</v>
      </c>
    </row>
    <row r="17" spans="1:28" ht="28.8" x14ac:dyDescent="0.3">
      <c r="A17" s="8" t="str">
        <f t="shared" si="11"/>
        <v>S0016</v>
      </c>
      <c r="B17" s="3">
        <f t="shared" ca="1" si="0"/>
        <v>45910</v>
      </c>
      <c r="C17" s="3" t="str">
        <f ca="1">INDEX(Customers!$A$2:$A$21,RANDBETWEEN(1,20))</f>
        <v>C016</v>
      </c>
      <c r="D17" s="3" t="str">
        <f ca="1">INDEX(Routes!$A$2:$A$31,RANDBETWEEN(1,30))</f>
        <v>R017</v>
      </c>
      <c r="E17" s="3" t="str">
        <f ca="1">INDEX(Vehicles!$A$2:$A$21,RANDBETWEEN(1,20))</f>
        <v>V015</v>
      </c>
      <c r="F17" s="3" t="str">
        <f ca="1">INDEX(Drivers!$A$2:$A$31,RANDBETWEEN(1,30))</f>
        <v>D006</v>
      </c>
      <c r="G17" s="3">
        <f t="shared" ca="1" si="1"/>
        <v>24.7</v>
      </c>
      <c r="H17" s="3">
        <f t="shared" ca="1" si="2"/>
        <v>52500</v>
      </c>
      <c r="I17" s="3">
        <f t="shared" ca="1" si="3"/>
        <v>14700</v>
      </c>
      <c r="J17" s="3">
        <f t="shared" ca="1" si="4"/>
        <v>3933</v>
      </c>
      <c r="K17" s="3">
        <f t="shared" ca="1" si="5"/>
        <v>41</v>
      </c>
      <c r="L17" s="3">
        <f t="shared" ca="1" si="6"/>
        <v>49</v>
      </c>
      <c r="M17" s="3">
        <f t="shared" ca="1" si="7"/>
        <v>8</v>
      </c>
      <c r="N17" s="3" t="str">
        <f t="shared" ca="1" si="8"/>
        <v>Delayed</v>
      </c>
      <c r="O17" s="3" t="str">
        <f t="shared" ca="1" si="9"/>
        <v>Medium</v>
      </c>
      <c r="P17" s="3">
        <f t="shared" ca="1" si="10"/>
        <v>82.3</v>
      </c>
      <c r="Q17" s="1" t="str">
        <f ca="1">VLOOKUP(D17,Routes!$A$2:$D$31,2,FALSE)</f>
        <v>Kolkata</v>
      </c>
      <c r="R17" s="1" t="str">
        <f ca="1">VLOOKUP(D17,Routes!$A$2:$D$31,3,FALSE)</f>
        <v>Patna</v>
      </c>
      <c r="S17" s="3">
        <f ca="1">VLOOKUP(D17,Routes!$A$2:$D$31,4,FALSE)</f>
        <v>620</v>
      </c>
      <c r="T17" s="3" t="str">
        <f ca="1">VLOOKUP(E17,Vehicles!$A$2:$D$21,2,FALSE)</f>
        <v>Trailer</v>
      </c>
      <c r="U17" s="3">
        <f ca="1">VLOOKUP(E17,Vehicles!$A$2:$D$21,3,FALSE)</f>
        <v>30</v>
      </c>
      <c r="V17" s="3" t="str">
        <f ca="1">VLOOKUP(E17,Vehicles!$A$2:$D$21,4,FALSE)</f>
        <v>Diesel</v>
      </c>
      <c r="W17" s="3">
        <f ca="1">VLOOKUP(V17,Fuel_Rates!$A$2:$B$3,2,FALSE)</f>
        <v>95</v>
      </c>
      <c r="X17" s="3">
        <f t="shared" ca="1" si="12"/>
        <v>84.68</v>
      </c>
      <c r="Y17" s="3">
        <f t="shared" ca="1" si="13"/>
        <v>71133</v>
      </c>
      <c r="Z17" s="3" t="str">
        <f t="shared" ca="1" si="14"/>
        <v>Sep</v>
      </c>
      <c r="AA17" s="3" t="str">
        <f t="shared" ca="1" si="15"/>
        <v>Q3</v>
      </c>
      <c r="AB17" s="4" t="str">
        <f t="shared" ca="1" si="16"/>
        <v>Medium Haul</v>
      </c>
    </row>
    <row r="18" spans="1:28" x14ac:dyDescent="0.3">
      <c r="A18" s="8" t="str">
        <f t="shared" si="11"/>
        <v>S0017</v>
      </c>
      <c r="B18" s="3">
        <f t="shared" ca="1" si="0"/>
        <v>45716</v>
      </c>
      <c r="C18" s="3" t="str">
        <f ca="1">INDEX(Customers!$A$2:$A$21,RANDBETWEEN(1,20))</f>
        <v>C017</v>
      </c>
      <c r="D18" s="3" t="str">
        <f ca="1">INDEX(Routes!$A$2:$A$31,RANDBETWEEN(1,30))</f>
        <v>R016</v>
      </c>
      <c r="E18" s="3" t="str">
        <f ca="1">INDEX(Vehicles!$A$2:$A$21,RANDBETWEEN(1,20))</f>
        <v>V009</v>
      </c>
      <c r="F18" s="3" t="str">
        <f ca="1">INDEX(Drivers!$A$2:$A$31,RANDBETWEEN(1,30))</f>
        <v>D011</v>
      </c>
      <c r="G18" s="3">
        <f t="shared" ca="1" si="1"/>
        <v>4</v>
      </c>
      <c r="H18" s="3">
        <f t="shared" ca="1" si="2"/>
        <v>13436</v>
      </c>
      <c r="I18" s="3">
        <f t="shared" ca="1" si="3"/>
        <v>3762</v>
      </c>
      <c r="J18" s="3">
        <f t="shared" ca="1" si="4"/>
        <v>572</v>
      </c>
      <c r="K18" s="3">
        <f t="shared" ca="1" si="5"/>
        <v>42</v>
      </c>
      <c r="L18" s="3">
        <f t="shared" ca="1" si="6"/>
        <v>49</v>
      </c>
      <c r="M18" s="3">
        <f t="shared" ca="1" si="7"/>
        <v>7</v>
      </c>
      <c r="N18" s="3" t="str">
        <f t="shared" ca="1" si="8"/>
        <v>Delayed</v>
      </c>
      <c r="O18" s="3" t="str">
        <f t="shared" ca="1" si="9"/>
        <v>Medium</v>
      </c>
      <c r="P18" s="3">
        <f t="shared" ca="1" si="10"/>
        <v>13.3</v>
      </c>
      <c r="Q18" s="1" t="str">
        <f ca="1">VLOOKUP(D18,Routes!$A$2:$D$31,2,FALSE)</f>
        <v>Kolkata</v>
      </c>
      <c r="R18" s="1" t="str">
        <f ca="1">VLOOKUP(D18,Routes!$A$2:$D$31,3,FALSE)</f>
        <v>Bhubaneswar</v>
      </c>
      <c r="S18" s="3">
        <f ca="1">VLOOKUP(D18,Routes!$A$2:$D$31,4,FALSE)</f>
        <v>440</v>
      </c>
      <c r="T18" s="3" t="str">
        <f ca="1">VLOOKUP(E18,Vehicles!$A$2:$D$21,2,FALSE)</f>
        <v>LCV</v>
      </c>
      <c r="U18" s="3">
        <f ca="1">VLOOKUP(E18,Vehicles!$A$2:$D$21,3,FALSE)</f>
        <v>5</v>
      </c>
      <c r="V18" s="3" t="str">
        <f ca="1">VLOOKUP(E18,Vehicles!$A$2:$D$21,4,FALSE)</f>
        <v>Diesel</v>
      </c>
      <c r="W18" s="3">
        <f ca="1">VLOOKUP(V18,Fuel_Rates!$A$2:$B$3,2,FALSE)</f>
        <v>95</v>
      </c>
      <c r="X18" s="3">
        <f t="shared" ca="1" si="12"/>
        <v>30.54</v>
      </c>
      <c r="Y18" s="3">
        <f t="shared" ca="1" si="13"/>
        <v>17770</v>
      </c>
      <c r="Z18" s="3" t="str">
        <f t="shared" ca="1" si="14"/>
        <v>Feb</v>
      </c>
      <c r="AA18" s="3" t="str">
        <f t="shared" ca="1" si="15"/>
        <v>Q1</v>
      </c>
      <c r="AB18" s="4" t="str">
        <f t="shared" ca="1" si="16"/>
        <v>Medium Haul</v>
      </c>
    </row>
    <row r="19" spans="1:28" x14ac:dyDescent="0.3">
      <c r="A19" s="8" t="str">
        <f t="shared" si="11"/>
        <v>S0018</v>
      </c>
      <c r="B19" s="3">
        <f t="shared" ca="1" si="0"/>
        <v>45874</v>
      </c>
      <c r="C19" s="3" t="str">
        <f ca="1">INDEX(Customers!$A$2:$A$21,RANDBETWEEN(1,20))</f>
        <v>C007</v>
      </c>
      <c r="D19" s="3" t="str">
        <f ca="1">INDEX(Routes!$A$2:$A$31,RANDBETWEEN(1,30))</f>
        <v>R016</v>
      </c>
      <c r="E19" s="3" t="str">
        <f ca="1">INDEX(Vehicles!$A$2:$A$21,RANDBETWEEN(1,20))</f>
        <v>V006</v>
      </c>
      <c r="F19" s="3" t="str">
        <f ca="1">INDEX(Drivers!$A$2:$A$31,RANDBETWEEN(1,30))</f>
        <v>D015</v>
      </c>
      <c r="G19" s="3">
        <f t="shared" ca="1" si="1"/>
        <v>4.9000000000000004</v>
      </c>
      <c r="H19" s="3">
        <f t="shared" ca="1" si="2"/>
        <v>19191</v>
      </c>
      <c r="I19" s="3">
        <f t="shared" ca="1" si="3"/>
        <v>5373</v>
      </c>
      <c r="J19" s="3">
        <f t="shared" ca="1" si="4"/>
        <v>2023</v>
      </c>
      <c r="K19" s="3">
        <f t="shared" ca="1" si="5"/>
        <v>34</v>
      </c>
      <c r="L19" s="3">
        <f t="shared" ca="1" si="6"/>
        <v>42</v>
      </c>
      <c r="M19" s="3">
        <f t="shared" ca="1" si="7"/>
        <v>8</v>
      </c>
      <c r="N19" s="3" t="str">
        <f t="shared" ca="1" si="8"/>
        <v>Delayed</v>
      </c>
      <c r="O19" s="3" t="str">
        <f t="shared" ca="1" si="9"/>
        <v>Medium</v>
      </c>
      <c r="P19" s="3">
        <f t="shared" ca="1" si="10"/>
        <v>16.3</v>
      </c>
      <c r="Q19" s="1" t="str">
        <f ca="1">VLOOKUP(D19,Routes!$A$2:$D$31,2,FALSE)</f>
        <v>Kolkata</v>
      </c>
      <c r="R19" s="1" t="str">
        <f ca="1">VLOOKUP(D19,Routes!$A$2:$D$31,3,FALSE)</f>
        <v>Bhubaneswar</v>
      </c>
      <c r="S19" s="3">
        <f ca="1">VLOOKUP(D19,Routes!$A$2:$D$31,4,FALSE)</f>
        <v>440</v>
      </c>
      <c r="T19" s="3" t="str">
        <f ca="1">VLOOKUP(E19,Vehicles!$A$2:$D$21,2,FALSE)</f>
        <v>Container</v>
      </c>
      <c r="U19" s="3">
        <f ca="1">VLOOKUP(E19,Vehicles!$A$2:$D$21,3,FALSE)</f>
        <v>18</v>
      </c>
      <c r="V19" s="3" t="str">
        <f ca="1">VLOOKUP(E19,Vehicles!$A$2:$D$21,4,FALSE)</f>
        <v>Diesel</v>
      </c>
      <c r="W19" s="3">
        <f ca="1">VLOOKUP(V19,Fuel_Rates!$A$2:$B$3,2,FALSE)</f>
        <v>95</v>
      </c>
      <c r="X19" s="3">
        <f t="shared" ca="1" si="12"/>
        <v>43.62</v>
      </c>
      <c r="Y19" s="3">
        <f t="shared" ca="1" si="13"/>
        <v>26587</v>
      </c>
      <c r="Z19" s="3" t="str">
        <f t="shared" ca="1" si="14"/>
        <v>Aug</v>
      </c>
      <c r="AA19" s="3" t="str">
        <f t="shared" ca="1" si="15"/>
        <v>Q3</v>
      </c>
      <c r="AB19" s="4" t="str">
        <f t="shared" ca="1" si="16"/>
        <v>Medium Haul</v>
      </c>
    </row>
    <row r="20" spans="1:28" x14ac:dyDescent="0.3">
      <c r="A20" s="8" t="str">
        <f t="shared" si="11"/>
        <v>S0019</v>
      </c>
      <c r="B20" s="3">
        <f t="shared" ca="1" si="0"/>
        <v>45802</v>
      </c>
      <c r="C20" s="3" t="str">
        <f ca="1">INDEX(Customers!$A$2:$A$21,RANDBETWEEN(1,20))</f>
        <v>C014</v>
      </c>
      <c r="D20" s="3" t="str">
        <f ca="1">INDEX(Routes!$A$2:$A$31,RANDBETWEEN(1,30))</f>
        <v>R025</v>
      </c>
      <c r="E20" s="3" t="str">
        <f ca="1">INDEX(Vehicles!$A$2:$A$21,RANDBETWEEN(1,20))</f>
        <v>V014</v>
      </c>
      <c r="F20" s="3" t="str">
        <f ca="1">INDEX(Drivers!$A$2:$A$31,RANDBETWEEN(1,30))</f>
        <v>D019</v>
      </c>
      <c r="G20" s="3">
        <f t="shared" ca="1" si="1"/>
        <v>6.4</v>
      </c>
      <c r="H20" s="3">
        <f t="shared" ca="1" si="2"/>
        <v>18734</v>
      </c>
      <c r="I20" s="3">
        <f t="shared" ca="1" si="3"/>
        <v>5246</v>
      </c>
      <c r="J20" s="3">
        <f t="shared" ca="1" si="4"/>
        <v>1414</v>
      </c>
      <c r="K20" s="3">
        <f t="shared" ca="1" si="5"/>
        <v>31</v>
      </c>
      <c r="L20" s="3">
        <f t="shared" ca="1" si="6"/>
        <v>31</v>
      </c>
      <c r="M20" s="3">
        <f t="shared" ca="1" si="7"/>
        <v>0</v>
      </c>
      <c r="N20" s="3" t="str">
        <f t="shared" ca="1" si="8"/>
        <v>On Time</v>
      </c>
      <c r="O20" s="3" t="str">
        <f t="shared" ca="1" si="9"/>
        <v>High</v>
      </c>
      <c r="P20" s="3">
        <f t="shared" ca="1" si="10"/>
        <v>21.3</v>
      </c>
      <c r="Q20" s="1" t="str">
        <f ca="1">VLOOKUP(D20,Routes!$A$2:$D$31,2,FALSE)</f>
        <v>Visakhapatnam</v>
      </c>
      <c r="R20" s="1" t="str">
        <f ca="1">VLOOKUP(D20,Routes!$A$2:$D$31,3,FALSE)</f>
        <v>Hyderabad</v>
      </c>
      <c r="S20" s="3">
        <f ca="1">VLOOKUP(D20,Routes!$A$2:$D$31,4,FALSE)</f>
        <v>620</v>
      </c>
      <c r="T20" s="3" t="str">
        <f ca="1">VLOOKUP(E20,Vehicles!$A$2:$D$21,2,FALSE)</f>
        <v>LCV</v>
      </c>
      <c r="U20" s="3">
        <f ca="1">VLOOKUP(E20,Vehicles!$A$2:$D$21,3,FALSE)</f>
        <v>6</v>
      </c>
      <c r="V20" s="3" t="str">
        <f ca="1">VLOOKUP(E20,Vehicles!$A$2:$D$21,4,FALSE)</f>
        <v>CNG</v>
      </c>
      <c r="W20" s="3">
        <f ca="1">VLOOKUP(V20,Fuel_Rates!$A$2:$B$3,2,FALSE)</f>
        <v>78</v>
      </c>
      <c r="X20" s="3">
        <f t="shared" ca="1" si="12"/>
        <v>30.22</v>
      </c>
      <c r="Y20" s="3">
        <f t="shared" ca="1" si="13"/>
        <v>25394</v>
      </c>
      <c r="Z20" s="3" t="str">
        <f t="shared" ca="1" si="14"/>
        <v>May</v>
      </c>
      <c r="AA20" s="3" t="str">
        <f t="shared" ca="1" si="15"/>
        <v>Q2</v>
      </c>
      <c r="AB20" s="4" t="str">
        <f t="shared" ca="1" si="16"/>
        <v>Medium Haul</v>
      </c>
    </row>
    <row r="21" spans="1:28" x14ac:dyDescent="0.3">
      <c r="A21" s="8" t="str">
        <f t="shared" si="11"/>
        <v>S0020</v>
      </c>
      <c r="B21" s="3">
        <f t="shared" ca="1" si="0"/>
        <v>46009</v>
      </c>
      <c r="C21" s="3" t="str">
        <f ca="1">INDEX(Customers!$A$2:$A$21,RANDBETWEEN(1,20))</f>
        <v>C012</v>
      </c>
      <c r="D21" s="3" t="str">
        <f ca="1">INDEX(Routes!$A$2:$A$31,RANDBETWEEN(1,30))</f>
        <v>R017</v>
      </c>
      <c r="E21" s="3" t="str">
        <f ca="1">INDEX(Vehicles!$A$2:$A$21,RANDBETWEEN(1,20))</f>
        <v>V004</v>
      </c>
      <c r="F21" s="3" t="str">
        <f ca="1">INDEX(Drivers!$A$2:$A$31,RANDBETWEEN(1,30))</f>
        <v>D001</v>
      </c>
      <c r="G21" s="3">
        <f t="shared" ca="1" si="1"/>
        <v>13.3</v>
      </c>
      <c r="H21" s="3">
        <f t="shared" ca="1" si="2"/>
        <v>30704</v>
      </c>
      <c r="I21" s="3">
        <f t="shared" ca="1" si="3"/>
        <v>8597</v>
      </c>
      <c r="J21" s="3">
        <f t="shared" ca="1" si="4"/>
        <v>1621</v>
      </c>
      <c r="K21" s="3">
        <f t="shared" ca="1" si="5"/>
        <v>19</v>
      </c>
      <c r="L21" s="3">
        <f t="shared" ca="1" si="6"/>
        <v>24</v>
      </c>
      <c r="M21" s="3">
        <f t="shared" ca="1" si="7"/>
        <v>5</v>
      </c>
      <c r="N21" s="3" t="str">
        <f t="shared" ca="1" si="8"/>
        <v>Delayed</v>
      </c>
      <c r="O21" s="3" t="str">
        <f t="shared" ca="1" si="9"/>
        <v>High</v>
      </c>
      <c r="P21" s="3">
        <f t="shared" ca="1" si="10"/>
        <v>44.3</v>
      </c>
      <c r="Q21" s="1" t="str">
        <f ca="1">VLOOKUP(D21,Routes!$A$2:$D$31,2,FALSE)</f>
        <v>Kolkata</v>
      </c>
      <c r="R21" s="1" t="str">
        <f ca="1">VLOOKUP(D21,Routes!$A$2:$D$31,3,FALSE)</f>
        <v>Patna</v>
      </c>
      <c r="S21" s="3">
        <f ca="1">VLOOKUP(D21,Routes!$A$2:$D$31,4,FALSE)</f>
        <v>620</v>
      </c>
      <c r="T21" s="3" t="str">
        <f ca="1">VLOOKUP(E21,Vehicles!$A$2:$D$21,2,FALSE)</f>
        <v>Trailer</v>
      </c>
      <c r="U21" s="3">
        <f ca="1">VLOOKUP(E21,Vehicles!$A$2:$D$21,3,FALSE)</f>
        <v>28</v>
      </c>
      <c r="V21" s="3" t="str">
        <f ca="1">VLOOKUP(E21,Vehicles!$A$2:$D$21,4,FALSE)</f>
        <v>Diesel</v>
      </c>
      <c r="W21" s="3">
        <f ca="1">VLOOKUP(V21,Fuel_Rates!$A$2:$B$3,2,FALSE)</f>
        <v>95</v>
      </c>
      <c r="X21" s="3">
        <f t="shared" ca="1" si="12"/>
        <v>49.52</v>
      </c>
      <c r="Y21" s="3">
        <f t="shared" ca="1" si="13"/>
        <v>40922</v>
      </c>
      <c r="Z21" s="3" t="str">
        <f t="shared" ca="1" si="14"/>
        <v>Dec</v>
      </c>
      <c r="AA21" s="3" t="str">
        <f t="shared" ca="1" si="15"/>
        <v>Q4</v>
      </c>
      <c r="AB21" s="4" t="str">
        <f t="shared" ca="1" si="16"/>
        <v>Medium Haul</v>
      </c>
    </row>
    <row r="22" spans="1:28" x14ac:dyDescent="0.3">
      <c r="A22" s="8" t="str">
        <f t="shared" si="11"/>
        <v>S0021</v>
      </c>
      <c r="B22" s="3">
        <f t="shared" ca="1" si="0"/>
        <v>45922</v>
      </c>
      <c r="C22" s="3" t="str">
        <f ca="1">INDEX(Customers!$A$2:$A$21,RANDBETWEEN(1,20))</f>
        <v>C002</v>
      </c>
      <c r="D22" s="3" t="str">
        <f ca="1">INDEX(Routes!$A$2:$A$31,RANDBETWEEN(1,30))</f>
        <v>R027</v>
      </c>
      <c r="E22" s="3" t="str">
        <f ca="1">INDEX(Vehicles!$A$2:$A$21,RANDBETWEEN(1,20))</f>
        <v>V010</v>
      </c>
      <c r="F22" s="3" t="str">
        <f ca="1">INDEX(Drivers!$A$2:$A$31,RANDBETWEEN(1,30))</f>
        <v>D013</v>
      </c>
      <c r="G22" s="3">
        <f t="shared" ca="1" si="1"/>
        <v>12.8</v>
      </c>
      <c r="H22" s="3">
        <f t="shared" ca="1" si="2"/>
        <v>32087</v>
      </c>
      <c r="I22" s="3">
        <f t="shared" ca="1" si="3"/>
        <v>8984</v>
      </c>
      <c r="J22" s="3">
        <f t="shared" ca="1" si="4"/>
        <v>3914</v>
      </c>
      <c r="K22" s="3">
        <f t="shared" ca="1" si="5"/>
        <v>9</v>
      </c>
      <c r="L22" s="3">
        <f t="shared" ca="1" si="6"/>
        <v>14</v>
      </c>
      <c r="M22" s="3">
        <f t="shared" ca="1" si="7"/>
        <v>5</v>
      </c>
      <c r="N22" s="3" t="str">
        <f t="shared" ca="1" si="8"/>
        <v>Delayed</v>
      </c>
      <c r="O22" s="3" t="str">
        <f t="shared" ca="1" si="9"/>
        <v>Medium</v>
      </c>
      <c r="P22" s="3">
        <f t="shared" ca="1" si="10"/>
        <v>42.7</v>
      </c>
      <c r="Q22" s="1" t="str">
        <f ca="1">VLOOKUP(D22,Routes!$A$2:$D$31,2,FALSE)</f>
        <v>Patna</v>
      </c>
      <c r="R22" s="1" t="str">
        <f ca="1">VLOOKUP(D22,Routes!$A$2:$D$31,3,FALSE)</f>
        <v>Ranchi</v>
      </c>
      <c r="S22" s="3">
        <f ca="1">VLOOKUP(D22,Routes!$A$2:$D$31,4,FALSE)</f>
        <v>330</v>
      </c>
      <c r="T22" s="3" t="str">
        <f ca="1">VLOOKUP(E22,Vehicles!$A$2:$D$21,2,FALSE)</f>
        <v>LCV</v>
      </c>
      <c r="U22" s="3">
        <f ca="1">VLOOKUP(E22,Vehicles!$A$2:$D$21,3,FALSE)</f>
        <v>7</v>
      </c>
      <c r="V22" s="3" t="str">
        <f ca="1">VLOOKUP(E22,Vehicles!$A$2:$D$21,4,FALSE)</f>
        <v>Diesel</v>
      </c>
      <c r="W22" s="3">
        <f ca="1">VLOOKUP(V22,Fuel_Rates!$A$2:$B$3,2,FALSE)</f>
        <v>95</v>
      </c>
      <c r="X22" s="3">
        <f t="shared" ca="1" si="12"/>
        <v>97.23</v>
      </c>
      <c r="Y22" s="3">
        <f t="shared" ca="1" si="13"/>
        <v>44985</v>
      </c>
      <c r="Z22" s="3" t="str">
        <f t="shared" ca="1" si="14"/>
        <v>Sep</v>
      </c>
      <c r="AA22" s="3" t="str">
        <f t="shared" ca="1" si="15"/>
        <v>Q3</v>
      </c>
      <c r="AB22" s="4" t="str">
        <f t="shared" ca="1" si="16"/>
        <v>Medium Haul</v>
      </c>
    </row>
    <row r="23" spans="1:28" x14ac:dyDescent="0.3">
      <c r="A23" s="8" t="str">
        <f t="shared" si="11"/>
        <v>S0022</v>
      </c>
      <c r="B23" s="3">
        <f t="shared" ca="1" si="0"/>
        <v>45729</v>
      </c>
      <c r="C23" s="3" t="str">
        <f ca="1">INDEX(Customers!$A$2:$A$21,RANDBETWEEN(1,20))</f>
        <v>C002</v>
      </c>
      <c r="D23" s="3" t="str">
        <f ca="1">INDEX(Routes!$A$2:$A$31,RANDBETWEEN(1,30))</f>
        <v>R023</v>
      </c>
      <c r="E23" s="3" t="str">
        <f ca="1">INDEX(Vehicles!$A$2:$A$21,RANDBETWEEN(1,20))</f>
        <v>V017</v>
      </c>
      <c r="F23" s="3" t="str">
        <f ca="1">INDEX(Drivers!$A$2:$A$31,RANDBETWEEN(1,30))</f>
        <v>D015</v>
      </c>
      <c r="G23" s="3">
        <f t="shared" ca="1" si="1"/>
        <v>9</v>
      </c>
      <c r="H23" s="3">
        <f t="shared" ca="1" si="2"/>
        <v>23905</v>
      </c>
      <c r="I23" s="3">
        <f t="shared" ca="1" si="3"/>
        <v>6693</v>
      </c>
      <c r="J23" s="3">
        <f t="shared" ca="1" si="4"/>
        <v>3898</v>
      </c>
      <c r="K23" s="3">
        <f t="shared" ca="1" si="5"/>
        <v>44</v>
      </c>
      <c r="L23" s="3">
        <f t="shared" ca="1" si="6"/>
        <v>49</v>
      </c>
      <c r="M23" s="3">
        <f t="shared" ca="1" si="7"/>
        <v>5</v>
      </c>
      <c r="N23" s="3" t="str">
        <f t="shared" ca="1" si="8"/>
        <v>Delayed</v>
      </c>
      <c r="O23" s="3" t="str">
        <f t="shared" ca="1" si="9"/>
        <v>Medium</v>
      </c>
      <c r="P23" s="3">
        <f t="shared" ca="1" si="10"/>
        <v>30</v>
      </c>
      <c r="Q23" s="1" t="str">
        <f ca="1">VLOOKUP(D23,Routes!$A$2:$D$31,2,FALSE)</f>
        <v>Kochi</v>
      </c>
      <c r="R23" s="1" t="str">
        <f ca="1">VLOOKUP(D23,Routes!$A$2:$D$31,3,FALSE)</f>
        <v>Bengaluru</v>
      </c>
      <c r="S23" s="3">
        <f ca="1">VLOOKUP(D23,Routes!$A$2:$D$31,4,FALSE)</f>
        <v>550</v>
      </c>
      <c r="T23" s="3" t="str">
        <f ca="1">VLOOKUP(E23,Vehicles!$A$2:$D$21,2,FALSE)</f>
        <v>Truck</v>
      </c>
      <c r="U23" s="3">
        <f ca="1">VLOOKUP(E23,Vehicles!$A$2:$D$21,3,FALSE)</f>
        <v>24</v>
      </c>
      <c r="V23" s="3" t="str">
        <f ca="1">VLOOKUP(E23,Vehicles!$A$2:$D$21,4,FALSE)</f>
        <v>Diesel</v>
      </c>
      <c r="W23" s="3">
        <f ca="1">VLOOKUP(V23,Fuel_Rates!$A$2:$B$3,2,FALSE)</f>
        <v>95</v>
      </c>
      <c r="X23" s="3">
        <f t="shared" ca="1" si="12"/>
        <v>43.46</v>
      </c>
      <c r="Y23" s="3">
        <f t="shared" ca="1" si="13"/>
        <v>34496</v>
      </c>
      <c r="Z23" s="3" t="str">
        <f t="shared" ca="1" si="14"/>
        <v>Mar</v>
      </c>
      <c r="AA23" s="3" t="str">
        <f t="shared" ca="1" si="15"/>
        <v>Q1</v>
      </c>
      <c r="AB23" s="4" t="str">
        <f t="shared" ca="1" si="16"/>
        <v>Medium Haul</v>
      </c>
    </row>
    <row r="24" spans="1:28" x14ac:dyDescent="0.3">
      <c r="A24" s="8" t="str">
        <f t="shared" si="11"/>
        <v>S0023</v>
      </c>
      <c r="B24" s="3">
        <f t="shared" ca="1" si="0"/>
        <v>46014</v>
      </c>
      <c r="C24" s="3" t="str">
        <f ca="1">INDEX(Customers!$A$2:$A$21,RANDBETWEEN(1,20))</f>
        <v>C009</v>
      </c>
      <c r="D24" s="3" t="str">
        <f ca="1">INDEX(Routes!$A$2:$A$31,RANDBETWEEN(1,30))</f>
        <v>R027</v>
      </c>
      <c r="E24" s="3" t="str">
        <f ca="1">INDEX(Vehicles!$A$2:$A$21,RANDBETWEEN(1,20))</f>
        <v>V010</v>
      </c>
      <c r="F24" s="3" t="str">
        <f ca="1">INDEX(Drivers!$A$2:$A$31,RANDBETWEEN(1,30))</f>
        <v>D028</v>
      </c>
      <c r="G24" s="3">
        <f t="shared" ca="1" si="1"/>
        <v>11.2</v>
      </c>
      <c r="H24" s="3">
        <f t="shared" ca="1" si="2"/>
        <v>25765</v>
      </c>
      <c r="I24" s="3">
        <f t="shared" ca="1" si="3"/>
        <v>7214</v>
      </c>
      <c r="J24" s="3">
        <f t="shared" ca="1" si="4"/>
        <v>3544</v>
      </c>
      <c r="K24" s="3">
        <f t="shared" ca="1" si="5"/>
        <v>26</v>
      </c>
      <c r="L24" s="3">
        <f t="shared" ca="1" si="6"/>
        <v>31</v>
      </c>
      <c r="M24" s="3">
        <f t="shared" ca="1" si="7"/>
        <v>5</v>
      </c>
      <c r="N24" s="3" t="str">
        <f t="shared" ca="1" si="8"/>
        <v>Delayed</v>
      </c>
      <c r="O24" s="3" t="str">
        <f t="shared" ca="1" si="9"/>
        <v>Medium</v>
      </c>
      <c r="P24" s="3">
        <f t="shared" ca="1" si="10"/>
        <v>37.299999999999997</v>
      </c>
      <c r="Q24" s="1" t="str">
        <f ca="1">VLOOKUP(D24,Routes!$A$2:$D$31,2,FALSE)</f>
        <v>Patna</v>
      </c>
      <c r="R24" s="1" t="str">
        <f ca="1">VLOOKUP(D24,Routes!$A$2:$D$31,3,FALSE)</f>
        <v>Ranchi</v>
      </c>
      <c r="S24" s="3">
        <f ca="1">VLOOKUP(D24,Routes!$A$2:$D$31,4,FALSE)</f>
        <v>330</v>
      </c>
      <c r="T24" s="3" t="str">
        <f ca="1">VLOOKUP(E24,Vehicles!$A$2:$D$21,2,FALSE)</f>
        <v>LCV</v>
      </c>
      <c r="U24" s="3">
        <f ca="1">VLOOKUP(E24,Vehicles!$A$2:$D$21,3,FALSE)</f>
        <v>7</v>
      </c>
      <c r="V24" s="3" t="str">
        <f ca="1">VLOOKUP(E24,Vehicles!$A$2:$D$21,4,FALSE)</f>
        <v>Diesel</v>
      </c>
      <c r="W24" s="3">
        <f ca="1">VLOOKUP(V24,Fuel_Rates!$A$2:$B$3,2,FALSE)</f>
        <v>95</v>
      </c>
      <c r="X24" s="3">
        <f t="shared" ca="1" si="12"/>
        <v>78.08</v>
      </c>
      <c r="Y24" s="3">
        <f t="shared" ca="1" si="13"/>
        <v>36523</v>
      </c>
      <c r="Z24" s="3" t="str">
        <f t="shared" ca="1" si="14"/>
        <v>Dec</v>
      </c>
      <c r="AA24" s="3" t="str">
        <f t="shared" ca="1" si="15"/>
        <v>Q4</v>
      </c>
      <c r="AB24" s="4" t="str">
        <f t="shared" ca="1" si="16"/>
        <v>Medium Haul</v>
      </c>
    </row>
    <row r="25" spans="1:28" x14ac:dyDescent="0.3">
      <c r="A25" s="8" t="str">
        <f t="shared" si="11"/>
        <v>S0024</v>
      </c>
      <c r="B25" s="3">
        <f t="shared" ca="1" si="0"/>
        <v>45950</v>
      </c>
      <c r="C25" s="3" t="str">
        <f ca="1">INDEX(Customers!$A$2:$A$21,RANDBETWEEN(1,20))</f>
        <v>C002</v>
      </c>
      <c r="D25" s="3" t="str">
        <f ca="1">INDEX(Routes!$A$2:$A$31,RANDBETWEEN(1,30))</f>
        <v>R015</v>
      </c>
      <c r="E25" s="3" t="str">
        <f ca="1">INDEX(Vehicles!$A$2:$A$21,RANDBETWEEN(1,20))</f>
        <v>V003</v>
      </c>
      <c r="F25" s="3" t="str">
        <f ca="1">INDEX(Drivers!$A$2:$A$31,RANDBETWEEN(1,30))</f>
        <v>D030</v>
      </c>
      <c r="G25" s="3">
        <f t="shared" ca="1" si="1"/>
        <v>2.4</v>
      </c>
      <c r="H25" s="3">
        <f t="shared" ca="1" si="2"/>
        <v>10751</v>
      </c>
      <c r="I25" s="3">
        <f t="shared" ca="1" si="3"/>
        <v>3010</v>
      </c>
      <c r="J25" s="3">
        <f t="shared" ca="1" si="4"/>
        <v>3493</v>
      </c>
      <c r="K25" s="3">
        <f t="shared" ca="1" si="5"/>
        <v>28</v>
      </c>
      <c r="L25" s="3">
        <f t="shared" ca="1" si="6"/>
        <v>33</v>
      </c>
      <c r="M25" s="3">
        <f t="shared" ca="1" si="7"/>
        <v>5</v>
      </c>
      <c r="N25" s="3" t="str">
        <f t="shared" ca="1" si="8"/>
        <v>Delayed</v>
      </c>
      <c r="O25" s="3" t="str">
        <f t="shared" ca="1" si="9"/>
        <v>Medium</v>
      </c>
      <c r="P25" s="3">
        <f t="shared" ca="1" si="10"/>
        <v>8</v>
      </c>
      <c r="Q25" s="1" t="str">
        <f ca="1">VLOOKUP(D25,Routes!$A$2:$D$31,2,FALSE)</f>
        <v>Hyderabad</v>
      </c>
      <c r="R25" s="1" t="str">
        <f ca="1">VLOOKUP(D25,Routes!$A$2:$D$31,3,FALSE)</f>
        <v>Pune</v>
      </c>
      <c r="S25" s="3">
        <f ca="1">VLOOKUP(D25,Routes!$A$2:$D$31,4,FALSE)</f>
        <v>560</v>
      </c>
      <c r="T25" s="3" t="str">
        <f ca="1">VLOOKUP(E25,Vehicles!$A$2:$D$21,2,FALSE)</f>
        <v>Truck</v>
      </c>
      <c r="U25" s="3">
        <f ca="1">VLOOKUP(E25,Vehicles!$A$2:$D$21,3,FALSE)</f>
        <v>25</v>
      </c>
      <c r="V25" s="3" t="str">
        <f ca="1">VLOOKUP(E25,Vehicles!$A$2:$D$21,4,FALSE)</f>
        <v>Diesel</v>
      </c>
      <c r="W25" s="3">
        <f ca="1">VLOOKUP(V25,Fuel_Rates!$A$2:$B$3,2,FALSE)</f>
        <v>95</v>
      </c>
      <c r="X25" s="3">
        <f t="shared" ca="1" si="12"/>
        <v>19.2</v>
      </c>
      <c r="Y25" s="3">
        <f t="shared" ca="1" si="13"/>
        <v>17254</v>
      </c>
      <c r="Z25" s="3" t="str">
        <f t="shared" ca="1" si="14"/>
        <v>Oct</v>
      </c>
      <c r="AA25" s="3" t="str">
        <f t="shared" ca="1" si="15"/>
        <v>Q4</v>
      </c>
      <c r="AB25" s="4" t="str">
        <f t="shared" ca="1" si="16"/>
        <v>Medium Haul</v>
      </c>
    </row>
    <row r="26" spans="1:28" x14ac:dyDescent="0.3">
      <c r="A26" s="8" t="str">
        <f t="shared" si="11"/>
        <v>S0025</v>
      </c>
      <c r="B26" s="3">
        <f t="shared" ca="1" si="0"/>
        <v>45858</v>
      </c>
      <c r="C26" s="3" t="str">
        <f ca="1">INDEX(Customers!$A$2:$A$21,RANDBETWEEN(1,20))</f>
        <v>C019</v>
      </c>
      <c r="D26" s="3" t="str">
        <f ca="1">INDEX(Routes!$A$2:$A$31,RANDBETWEEN(1,30))</f>
        <v>R006</v>
      </c>
      <c r="E26" s="3" t="str">
        <f ca="1">INDEX(Vehicles!$A$2:$A$21,RANDBETWEEN(1,20))</f>
        <v>V013</v>
      </c>
      <c r="F26" s="3" t="str">
        <f ca="1">INDEX(Drivers!$A$2:$A$31,RANDBETWEEN(1,30))</f>
        <v>D028</v>
      </c>
      <c r="G26" s="3">
        <f t="shared" ca="1" si="1"/>
        <v>3</v>
      </c>
      <c r="H26" s="3">
        <f t="shared" ca="1" si="2"/>
        <v>19862</v>
      </c>
      <c r="I26" s="3">
        <f t="shared" ca="1" si="3"/>
        <v>5561</v>
      </c>
      <c r="J26" s="3">
        <f t="shared" ca="1" si="4"/>
        <v>3036</v>
      </c>
      <c r="K26" s="3">
        <f t="shared" ca="1" si="5"/>
        <v>29</v>
      </c>
      <c r="L26" s="3">
        <f t="shared" ca="1" si="6"/>
        <v>34</v>
      </c>
      <c r="M26" s="3">
        <f t="shared" ca="1" si="7"/>
        <v>5</v>
      </c>
      <c r="N26" s="3" t="str">
        <f t="shared" ca="1" si="8"/>
        <v>Delayed</v>
      </c>
      <c r="O26" s="3" t="str">
        <f t="shared" ca="1" si="9"/>
        <v>High</v>
      </c>
      <c r="P26" s="3">
        <f t="shared" ca="1" si="10"/>
        <v>10</v>
      </c>
      <c r="Q26" s="1" t="str">
        <f ca="1">VLOOKUP(D26,Routes!$A$2:$D$31,2,FALSE)</f>
        <v>Delhi</v>
      </c>
      <c r="R26" s="1" t="str">
        <f ca="1">VLOOKUP(D26,Routes!$A$2:$D$31,3,FALSE)</f>
        <v>Lucknow</v>
      </c>
      <c r="S26" s="3">
        <f ca="1">VLOOKUP(D26,Routes!$A$2:$D$31,4,FALSE)</f>
        <v>550</v>
      </c>
      <c r="T26" s="3" t="str">
        <f ca="1">VLOOKUP(E26,Vehicles!$A$2:$D$21,2,FALSE)</f>
        <v>LCV</v>
      </c>
      <c r="U26" s="3">
        <f ca="1">VLOOKUP(E26,Vehicles!$A$2:$D$21,3,FALSE)</f>
        <v>4</v>
      </c>
      <c r="V26" s="3" t="str">
        <f ca="1">VLOOKUP(E26,Vehicles!$A$2:$D$21,4,FALSE)</f>
        <v>CNG</v>
      </c>
      <c r="W26" s="3">
        <f ca="1">VLOOKUP(V26,Fuel_Rates!$A$2:$B$3,2,FALSE)</f>
        <v>78</v>
      </c>
      <c r="X26" s="3">
        <f t="shared" ca="1" si="12"/>
        <v>36.11</v>
      </c>
      <c r="Y26" s="3">
        <f t="shared" ca="1" si="13"/>
        <v>28459</v>
      </c>
      <c r="Z26" s="3" t="str">
        <f t="shared" ca="1" si="14"/>
        <v>Jul</v>
      </c>
      <c r="AA26" s="3" t="str">
        <f t="shared" ca="1" si="15"/>
        <v>Q3</v>
      </c>
      <c r="AB26" s="4" t="str">
        <f t="shared" ca="1" si="16"/>
        <v>Medium Haul</v>
      </c>
    </row>
    <row r="27" spans="1:28" x14ac:dyDescent="0.3">
      <c r="A27" s="8" t="str">
        <f t="shared" si="11"/>
        <v>S0026</v>
      </c>
      <c r="B27" s="3">
        <f t="shared" ca="1" si="0"/>
        <v>46007</v>
      </c>
      <c r="C27" s="3" t="str">
        <f ca="1">INDEX(Customers!$A$2:$A$21,RANDBETWEEN(1,20))</f>
        <v>C001</v>
      </c>
      <c r="D27" s="3" t="str">
        <f ca="1">INDEX(Routes!$A$2:$A$31,RANDBETWEEN(1,30))</f>
        <v>R019</v>
      </c>
      <c r="E27" s="3" t="str">
        <f ca="1">INDEX(Vehicles!$A$2:$A$21,RANDBETWEEN(1,20))</f>
        <v>V013</v>
      </c>
      <c r="F27" s="3" t="str">
        <f ca="1">INDEX(Drivers!$A$2:$A$31,RANDBETWEEN(1,30))</f>
        <v>D010</v>
      </c>
      <c r="G27" s="3">
        <f t="shared" ca="1" si="1"/>
        <v>3.6</v>
      </c>
      <c r="H27" s="3">
        <f t="shared" ca="1" si="2"/>
        <v>18688</v>
      </c>
      <c r="I27" s="3">
        <f t="shared" ca="1" si="3"/>
        <v>5233</v>
      </c>
      <c r="J27" s="3">
        <f t="shared" ca="1" si="4"/>
        <v>3119</v>
      </c>
      <c r="K27" s="3">
        <f t="shared" ca="1" si="5"/>
        <v>18</v>
      </c>
      <c r="L27" s="3">
        <f t="shared" ca="1" si="6"/>
        <v>26</v>
      </c>
      <c r="M27" s="3">
        <f t="shared" ca="1" si="7"/>
        <v>8</v>
      </c>
      <c r="N27" s="3" t="str">
        <f t="shared" ca="1" si="8"/>
        <v>Delayed</v>
      </c>
      <c r="O27" s="3" t="str">
        <f t="shared" ca="1" si="9"/>
        <v>High</v>
      </c>
      <c r="P27" s="3">
        <f t="shared" ca="1" si="10"/>
        <v>12</v>
      </c>
      <c r="Q27" s="1" t="str">
        <f ca="1">VLOOKUP(D27,Routes!$A$2:$D$31,2,FALSE)</f>
        <v>Ahmedabad</v>
      </c>
      <c r="R27" s="1" t="str">
        <f ca="1">VLOOKUP(D27,Routes!$A$2:$D$31,3,FALSE)</f>
        <v>Indore</v>
      </c>
      <c r="S27" s="3">
        <f ca="1">VLOOKUP(D27,Routes!$A$2:$D$31,4,FALSE)</f>
        <v>390</v>
      </c>
      <c r="T27" s="3" t="str">
        <f ca="1">VLOOKUP(E27,Vehicles!$A$2:$D$21,2,FALSE)</f>
        <v>LCV</v>
      </c>
      <c r="U27" s="3">
        <f ca="1">VLOOKUP(E27,Vehicles!$A$2:$D$21,3,FALSE)</f>
        <v>4</v>
      </c>
      <c r="V27" s="3" t="str">
        <f ca="1">VLOOKUP(E27,Vehicles!$A$2:$D$21,4,FALSE)</f>
        <v>CNG</v>
      </c>
      <c r="W27" s="3">
        <f ca="1">VLOOKUP(V27,Fuel_Rates!$A$2:$B$3,2,FALSE)</f>
        <v>78</v>
      </c>
      <c r="X27" s="3">
        <f t="shared" ca="1" si="12"/>
        <v>47.92</v>
      </c>
      <c r="Y27" s="3">
        <f t="shared" ca="1" si="13"/>
        <v>27040</v>
      </c>
      <c r="Z27" s="3" t="str">
        <f t="shared" ca="1" si="14"/>
        <v>Dec</v>
      </c>
      <c r="AA27" s="3" t="str">
        <f t="shared" ca="1" si="15"/>
        <v>Q4</v>
      </c>
      <c r="AB27" s="4" t="str">
        <f t="shared" ca="1" si="16"/>
        <v>Medium Haul</v>
      </c>
    </row>
    <row r="28" spans="1:28" x14ac:dyDescent="0.3">
      <c r="A28" s="8" t="str">
        <f t="shared" si="11"/>
        <v>S0027</v>
      </c>
      <c r="B28" s="3">
        <f t="shared" ca="1" si="0"/>
        <v>45971</v>
      </c>
      <c r="C28" s="3" t="str">
        <f ca="1">INDEX(Customers!$A$2:$A$21,RANDBETWEEN(1,20))</f>
        <v>C012</v>
      </c>
      <c r="D28" s="3" t="str">
        <f ca="1">INDEX(Routes!$A$2:$A$31,RANDBETWEEN(1,30))</f>
        <v>R024</v>
      </c>
      <c r="E28" s="3" t="str">
        <f ca="1">INDEX(Vehicles!$A$2:$A$21,RANDBETWEEN(1,20))</f>
        <v>V005</v>
      </c>
      <c r="F28" s="3" t="str">
        <f ca="1">INDEX(Drivers!$A$2:$A$31,RANDBETWEEN(1,30))</f>
        <v>D023</v>
      </c>
      <c r="G28" s="3">
        <f t="shared" ca="1" si="1"/>
        <v>21.2</v>
      </c>
      <c r="H28" s="3">
        <f t="shared" ca="1" si="2"/>
        <v>45680</v>
      </c>
      <c r="I28" s="3">
        <f t="shared" ca="1" si="3"/>
        <v>12790</v>
      </c>
      <c r="J28" s="3">
        <f t="shared" ca="1" si="4"/>
        <v>1514</v>
      </c>
      <c r="K28" s="3">
        <f t="shared" ca="1" si="5"/>
        <v>4</v>
      </c>
      <c r="L28" s="3">
        <f t="shared" ca="1" si="6"/>
        <v>10</v>
      </c>
      <c r="M28" s="3">
        <f t="shared" ca="1" si="7"/>
        <v>6</v>
      </c>
      <c r="N28" s="3" t="str">
        <f t="shared" ca="1" si="8"/>
        <v>Delayed</v>
      </c>
      <c r="O28" s="3" t="str">
        <f t="shared" ca="1" si="9"/>
        <v>High</v>
      </c>
      <c r="P28" s="3">
        <f t="shared" ca="1" si="10"/>
        <v>70.7</v>
      </c>
      <c r="Q28" s="1" t="str">
        <f ca="1">VLOOKUP(D28,Routes!$A$2:$D$31,2,FALSE)</f>
        <v>Surat</v>
      </c>
      <c r="R28" s="1" t="str">
        <f ca="1">VLOOKUP(D28,Routes!$A$2:$D$31,3,FALSE)</f>
        <v>Mumbai</v>
      </c>
      <c r="S28" s="3">
        <f ca="1">VLOOKUP(D28,Routes!$A$2:$D$31,4,FALSE)</f>
        <v>280</v>
      </c>
      <c r="T28" s="3" t="str">
        <f ca="1">VLOOKUP(E28,Vehicles!$A$2:$D$21,2,FALSE)</f>
        <v>Trailer</v>
      </c>
      <c r="U28" s="3">
        <f ca="1">VLOOKUP(E28,Vehicles!$A$2:$D$21,3,FALSE)</f>
        <v>32</v>
      </c>
      <c r="V28" s="3" t="str">
        <f ca="1">VLOOKUP(E28,Vehicles!$A$2:$D$21,4,FALSE)</f>
        <v>Diesel</v>
      </c>
      <c r="W28" s="3">
        <f ca="1">VLOOKUP(V28,Fuel_Rates!$A$2:$B$3,2,FALSE)</f>
        <v>95</v>
      </c>
      <c r="X28" s="3">
        <f t="shared" ca="1" si="12"/>
        <v>163.13999999999999</v>
      </c>
      <c r="Y28" s="3">
        <f t="shared" ca="1" si="13"/>
        <v>59984</v>
      </c>
      <c r="Z28" s="3" t="str">
        <f t="shared" ca="1" si="14"/>
        <v>Nov</v>
      </c>
      <c r="AA28" s="3" t="str">
        <f t="shared" ca="1" si="15"/>
        <v>Q4</v>
      </c>
      <c r="AB28" s="4" t="str">
        <f t="shared" ca="1" si="16"/>
        <v>Short Haul</v>
      </c>
    </row>
    <row r="29" spans="1:28" x14ac:dyDescent="0.3">
      <c r="A29" s="8" t="str">
        <f t="shared" si="11"/>
        <v>S0028</v>
      </c>
      <c r="B29" s="3">
        <f t="shared" ca="1" si="0"/>
        <v>46018</v>
      </c>
      <c r="C29" s="3" t="str">
        <f ca="1">INDEX(Customers!$A$2:$A$21,RANDBETWEEN(1,20))</f>
        <v>C010</v>
      </c>
      <c r="D29" s="3" t="str">
        <f ca="1">INDEX(Routes!$A$2:$A$31,RANDBETWEEN(1,30))</f>
        <v>R004</v>
      </c>
      <c r="E29" s="3" t="str">
        <f ca="1">INDEX(Vehicles!$A$2:$A$21,RANDBETWEEN(1,20))</f>
        <v>V011</v>
      </c>
      <c r="F29" s="3" t="str">
        <f ca="1">INDEX(Drivers!$A$2:$A$31,RANDBETWEEN(1,30))</f>
        <v>D015</v>
      </c>
      <c r="G29" s="3">
        <f t="shared" ca="1" si="1"/>
        <v>22.2</v>
      </c>
      <c r="H29" s="3">
        <f t="shared" ca="1" si="2"/>
        <v>47260</v>
      </c>
      <c r="I29" s="3">
        <f t="shared" ca="1" si="3"/>
        <v>13233</v>
      </c>
      <c r="J29" s="3">
        <f t="shared" ca="1" si="4"/>
        <v>1863</v>
      </c>
      <c r="K29" s="3">
        <f t="shared" ca="1" si="5"/>
        <v>30</v>
      </c>
      <c r="L29" s="3">
        <f t="shared" ca="1" si="6"/>
        <v>33</v>
      </c>
      <c r="M29" s="3">
        <f t="shared" ca="1" si="7"/>
        <v>3</v>
      </c>
      <c r="N29" s="3" t="str">
        <f t="shared" ca="1" si="8"/>
        <v>Delayed</v>
      </c>
      <c r="O29" s="3" t="str">
        <f t="shared" ca="1" si="9"/>
        <v>Low</v>
      </c>
      <c r="P29" s="3">
        <f t="shared" ca="1" si="10"/>
        <v>74</v>
      </c>
      <c r="Q29" s="1" t="str">
        <f ca="1">VLOOKUP(D29,Routes!$A$2:$D$31,2,FALSE)</f>
        <v>Mumbai</v>
      </c>
      <c r="R29" s="1" t="str">
        <f ca="1">VLOOKUP(D29,Routes!$A$2:$D$31,3,FALSE)</f>
        <v>Bengaluru</v>
      </c>
      <c r="S29" s="3">
        <f ca="1">VLOOKUP(D29,Routes!$A$2:$D$31,4,FALSE)</f>
        <v>980</v>
      </c>
      <c r="T29" s="3" t="str">
        <f ca="1">VLOOKUP(E29,Vehicles!$A$2:$D$21,2,FALSE)</f>
        <v>Truck</v>
      </c>
      <c r="U29" s="3">
        <f ca="1">VLOOKUP(E29,Vehicles!$A$2:$D$21,3,FALSE)</f>
        <v>18</v>
      </c>
      <c r="V29" s="3" t="str">
        <f ca="1">VLOOKUP(E29,Vehicles!$A$2:$D$21,4,FALSE)</f>
        <v>CNG</v>
      </c>
      <c r="W29" s="3">
        <f ca="1">VLOOKUP(V29,Fuel_Rates!$A$2:$B$3,2,FALSE)</f>
        <v>78</v>
      </c>
      <c r="X29" s="3">
        <f t="shared" ca="1" si="12"/>
        <v>48.22</v>
      </c>
      <c r="Y29" s="3">
        <f t="shared" ca="1" si="13"/>
        <v>62356</v>
      </c>
      <c r="Z29" s="3" t="str">
        <f t="shared" ca="1" si="14"/>
        <v>Dec</v>
      </c>
      <c r="AA29" s="3" t="str">
        <f t="shared" ca="1" si="15"/>
        <v>Q4</v>
      </c>
      <c r="AB29" s="4" t="str">
        <f t="shared" ca="1" si="16"/>
        <v>Long Haul</v>
      </c>
    </row>
    <row r="30" spans="1:28" x14ac:dyDescent="0.3">
      <c r="A30" s="8" t="str">
        <f t="shared" si="11"/>
        <v>S0029</v>
      </c>
      <c r="B30" s="3">
        <f t="shared" ca="1" si="0"/>
        <v>45931</v>
      </c>
      <c r="C30" s="3" t="str">
        <f ca="1">INDEX(Customers!$A$2:$A$21,RANDBETWEEN(1,20))</f>
        <v>C012</v>
      </c>
      <c r="D30" s="3" t="str">
        <f ca="1">INDEX(Routes!$A$2:$A$31,RANDBETWEEN(1,30))</f>
        <v>R018</v>
      </c>
      <c r="E30" s="3" t="str">
        <f ca="1">INDEX(Vehicles!$A$2:$A$21,RANDBETWEEN(1,20))</f>
        <v>V011</v>
      </c>
      <c r="F30" s="3" t="str">
        <f ca="1">INDEX(Drivers!$A$2:$A$31,RANDBETWEEN(1,30))</f>
        <v>D022</v>
      </c>
      <c r="G30" s="3">
        <f t="shared" ca="1" si="1"/>
        <v>7.7</v>
      </c>
      <c r="H30" s="3">
        <f t="shared" ca="1" si="2"/>
        <v>27423</v>
      </c>
      <c r="I30" s="3">
        <f t="shared" ca="1" si="3"/>
        <v>7678</v>
      </c>
      <c r="J30" s="3">
        <f t="shared" ca="1" si="4"/>
        <v>3446</v>
      </c>
      <c r="K30" s="3">
        <f t="shared" ca="1" si="5"/>
        <v>41</v>
      </c>
      <c r="L30" s="3">
        <f t="shared" ca="1" si="6"/>
        <v>41</v>
      </c>
      <c r="M30" s="3">
        <f t="shared" ca="1" si="7"/>
        <v>0</v>
      </c>
      <c r="N30" s="3" t="str">
        <f t="shared" ca="1" si="8"/>
        <v>On Time</v>
      </c>
      <c r="O30" s="3" t="str">
        <f t="shared" ca="1" si="9"/>
        <v>Low</v>
      </c>
      <c r="P30" s="3">
        <f t="shared" ca="1" si="10"/>
        <v>25.7</v>
      </c>
      <c r="Q30" s="1" t="str">
        <f ca="1">VLOOKUP(D30,Routes!$A$2:$D$31,2,FALSE)</f>
        <v>Ahmedabad</v>
      </c>
      <c r="R30" s="1" t="str">
        <f ca="1">VLOOKUP(D30,Routes!$A$2:$D$31,3,FALSE)</f>
        <v>Jaipur</v>
      </c>
      <c r="S30" s="3">
        <f ca="1">VLOOKUP(D30,Routes!$A$2:$D$31,4,FALSE)</f>
        <v>670</v>
      </c>
      <c r="T30" s="3" t="str">
        <f ca="1">VLOOKUP(E30,Vehicles!$A$2:$D$21,2,FALSE)</f>
        <v>Truck</v>
      </c>
      <c r="U30" s="3">
        <f ca="1">VLOOKUP(E30,Vehicles!$A$2:$D$21,3,FALSE)</f>
        <v>18</v>
      </c>
      <c r="V30" s="3" t="str">
        <f ca="1">VLOOKUP(E30,Vehicles!$A$2:$D$21,4,FALSE)</f>
        <v>CNG</v>
      </c>
      <c r="W30" s="3">
        <f ca="1">VLOOKUP(V30,Fuel_Rates!$A$2:$B$3,2,FALSE)</f>
        <v>78</v>
      </c>
      <c r="X30" s="3">
        <f t="shared" ca="1" si="12"/>
        <v>40.93</v>
      </c>
      <c r="Y30" s="3">
        <f t="shared" ca="1" si="13"/>
        <v>38547</v>
      </c>
      <c r="Z30" s="3" t="str">
        <f t="shared" ca="1" si="14"/>
        <v>Oct</v>
      </c>
      <c r="AA30" s="3" t="str">
        <f t="shared" ca="1" si="15"/>
        <v>Q4</v>
      </c>
      <c r="AB30" s="4" t="str">
        <f t="shared" ca="1" si="16"/>
        <v>Medium Haul</v>
      </c>
    </row>
    <row r="31" spans="1:28" x14ac:dyDescent="0.3">
      <c r="A31" s="8" t="str">
        <f t="shared" si="11"/>
        <v>S0030</v>
      </c>
      <c r="B31" s="3">
        <f t="shared" ca="1" si="0"/>
        <v>45702</v>
      </c>
      <c r="C31" s="3" t="str">
        <f ca="1">INDEX(Customers!$A$2:$A$21,RANDBETWEEN(1,20))</f>
        <v>C009</v>
      </c>
      <c r="D31" s="3" t="str">
        <f ca="1">INDEX(Routes!$A$2:$A$31,RANDBETWEEN(1,30))</f>
        <v>R024</v>
      </c>
      <c r="E31" s="3" t="str">
        <f ca="1">INDEX(Vehicles!$A$2:$A$21,RANDBETWEEN(1,20))</f>
        <v>V019</v>
      </c>
      <c r="F31" s="3" t="str">
        <f ca="1">INDEX(Drivers!$A$2:$A$31,RANDBETWEEN(1,30))</f>
        <v>D002</v>
      </c>
      <c r="G31" s="3">
        <f t="shared" ca="1" si="1"/>
        <v>21.8</v>
      </c>
      <c r="H31" s="3">
        <f t="shared" ca="1" si="2"/>
        <v>45403</v>
      </c>
      <c r="I31" s="3">
        <f t="shared" ca="1" si="3"/>
        <v>12713</v>
      </c>
      <c r="J31" s="3">
        <f t="shared" ca="1" si="4"/>
        <v>2077</v>
      </c>
      <c r="K31" s="3">
        <f t="shared" ca="1" si="5"/>
        <v>36</v>
      </c>
      <c r="L31" s="3">
        <f t="shared" ca="1" si="6"/>
        <v>39</v>
      </c>
      <c r="M31" s="3">
        <f t="shared" ca="1" si="7"/>
        <v>3</v>
      </c>
      <c r="N31" s="3" t="str">
        <f t="shared" ca="1" si="8"/>
        <v>Delayed</v>
      </c>
      <c r="O31" s="3" t="str">
        <f t="shared" ca="1" si="9"/>
        <v>High</v>
      </c>
      <c r="P31" s="3">
        <f t="shared" ca="1" si="10"/>
        <v>72.7</v>
      </c>
      <c r="Q31" s="1" t="str">
        <f ca="1">VLOOKUP(D31,Routes!$A$2:$D$31,2,FALSE)</f>
        <v>Surat</v>
      </c>
      <c r="R31" s="1" t="str">
        <f ca="1">VLOOKUP(D31,Routes!$A$2:$D$31,3,FALSE)</f>
        <v>Mumbai</v>
      </c>
      <c r="S31" s="3">
        <f ca="1">VLOOKUP(D31,Routes!$A$2:$D$31,4,FALSE)</f>
        <v>280</v>
      </c>
      <c r="T31" s="3" t="str">
        <f ca="1">VLOOKUP(E31,Vehicles!$A$2:$D$21,2,FALSE)</f>
        <v>Trailer</v>
      </c>
      <c r="U31" s="3">
        <f ca="1">VLOOKUP(E31,Vehicles!$A$2:$D$21,3,FALSE)</f>
        <v>35</v>
      </c>
      <c r="V31" s="3" t="str">
        <f ca="1">VLOOKUP(E31,Vehicles!$A$2:$D$21,4,FALSE)</f>
        <v>Diesel</v>
      </c>
      <c r="W31" s="3">
        <f ca="1">VLOOKUP(V31,Fuel_Rates!$A$2:$B$3,2,FALSE)</f>
        <v>95</v>
      </c>
      <c r="X31" s="3">
        <f t="shared" ca="1" si="12"/>
        <v>162.15</v>
      </c>
      <c r="Y31" s="3">
        <f t="shared" ca="1" si="13"/>
        <v>60193</v>
      </c>
      <c r="Z31" s="3" t="str">
        <f t="shared" ca="1" si="14"/>
        <v>Feb</v>
      </c>
      <c r="AA31" s="3" t="str">
        <f t="shared" ca="1" si="15"/>
        <v>Q1</v>
      </c>
      <c r="AB31" s="4" t="str">
        <f t="shared" ca="1" si="16"/>
        <v>Short Haul</v>
      </c>
    </row>
    <row r="32" spans="1:28" x14ac:dyDescent="0.3">
      <c r="A32" s="8" t="str">
        <f t="shared" si="11"/>
        <v>S0031</v>
      </c>
      <c r="B32" s="3">
        <f t="shared" ca="1" si="0"/>
        <v>45727</v>
      </c>
      <c r="C32" s="3" t="str">
        <f ca="1">INDEX(Customers!$A$2:$A$21,RANDBETWEEN(1,20))</f>
        <v>C001</v>
      </c>
      <c r="D32" s="3" t="str">
        <f ca="1">INDEX(Routes!$A$2:$A$31,RANDBETWEEN(1,30))</f>
        <v>R006</v>
      </c>
      <c r="E32" s="3" t="str">
        <f ca="1">INDEX(Vehicles!$A$2:$A$21,RANDBETWEEN(1,20))</f>
        <v>V012</v>
      </c>
      <c r="F32" s="3" t="str">
        <f ca="1">INDEX(Drivers!$A$2:$A$31,RANDBETWEEN(1,30))</f>
        <v>D009</v>
      </c>
      <c r="G32" s="3">
        <f t="shared" ca="1" si="1"/>
        <v>3</v>
      </c>
      <c r="H32" s="3">
        <f t="shared" ca="1" si="2"/>
        <v>17709</v>
      </c>
      <c r="I32" s="3">
        <f t="shared" ca="1" si="3"/>
        <v>4959</v>
      </c>
      <c r="J32" s="3">
        <f t="shared" ca="1" si="4"/>
        <v>2656</v>
      </c>
      <c r="K32" s="3">
        <f t="shared" ca="1" si="5"/>
        <v>38</v>
      </c>
      <c r="L32" s="3">
        <f t="shared" ca="1" si="6"/>
        <v>45</v>
      </c>
      <c r="M32" s="3">
        <f t="shared" ca="1" si="7"/>
        <v>7</v>
      </c>
      <c r="N32" s="3" t="str">
        <f t="shared" ca="1" si="8"/>
        <v>Delayed</v>
      </c>
      <c r="O32" s="3" t="str">
        <f t="shared" ca="1" si="9"/>
        <v>Medium</v>
      </c>
      <c r="P32" s="3">
        <f t="shared" ca="1" si="10"/>
        <v>10</v>
      </c>
      <c r="Q32" s="1" t="str">
        <f ca="1">VLOOKUP(D32,Routes!$A$2:$D$31,2,FALSE)</f>
        <v>Delhi</v>
      </c>
      <c r="R32" s="1" t="str">
        <f ca="1">VLOOKUP(D32,Routes!$A$2:$D$31,3,FALSE)</f>
        <v>Lucknow</v>
      </c>
      <c r="S32" s="3">
        <f ca="1">VLOOKUP(D32,Routes!$A$2:$D$31,4,FALSE)</f>
        <v>550</v>
      </c>
      <c r="T32" s="3" t="str">
        <f ca="1">VLOOKUP(E32,Vehicles!$A$2:$D$21,2,FALSE)</f>
        <v>Truck</v>
      </c>
      <c r="U32" s="3">
        <f ca="1">VLOOKUP(E32,Vehicles!$A$2:$D$21,3,FALSE)</f>
        <v>20</v>
      </c>
      <c r="V32" s="3" t="str">
        <f ca="1">VLOOKUP(E32,Vehicles!$A$2:$D$21,4,FALSE)</f>
        <v>CNG</v>
      </c>
      <c r="W32" s="3">
        <f ca="1">VLOOKUP(V32,Fuel_Rates!$A$2:$B$3,2,FALSE)</f>
        <v>78</v>
      </c>
      <c r="X32" s="3">
        <f t="shared" ca="1" si="12"/>
        <v>32.200000000000003</v>
      </c>
      <c r="Y32" s="3">
        <f t="shared" ca="1" si="13"/>
        <v>25324</v>
      </c>
      <c r="Z32" s="3" t="str">
        <f t="shared" ca="1" si="14"/>
        <v>Mar</v>
      </c>
      <c r="AA32" s="3" t="str">
        <f t="shared" ca="1" si="15"/>
        <v>Q1</v>
      </c>
      <c r="AB32" s="4" t="str">
        <f t="shared" ca="1" si="16"/>
        <v>Medium Haul</v>
      </c>
    </row>
    <row r="33" spans="1:28" x14ac:dyDescent="0.3">
      <c r="A33" s="8" t="str">
        <f t="shared" si="11"/>
        <v>S0032</v>
      </c>
      <c r="B33" s="3">
        <f t="shared" ca="1" si="0"/>
        <v>45999</v>
      </c>
      <c r="C33" s="3" t="str">
        <f ca="1">INDEX(Customers!$A$2:$A$21,RANDBETWEEN(1,20))</f>
        <v>C007</v>
      </c>
      <c r="D33" s="3" t="str">
        <f ca="1">INDEX(Routes!$A$2:$A$31,RANDBETWEEN(1,30))</f>
        <v>R005</v>
      </c>
      <c r="E33" s="3" t="str">
        <f ca="1">INDEX(Vehicles!$A$2:$A$21,RANDBETWEEN(1,20))</f>
        <v>V007</v>
      </c>
      <c r="F33" s="3" t="str">
        <f ca="1">INDEX(Drivers!$A$2:$A$31,RANDBETWEEN(1,30))</f>
        <v>D017</v>
      </c>
      <c r="G33" s="3">
        <f t="shared" ca="1" si="1"/>
        <v>4.5</v>
      </c>
      <c r="H33" s="3">
        <f t="shared" ca="1" si="2"/>
        <v>19566</v>
      </c>
      <c r="I33" s="3">
        <f t="shared" ca="1" si="3"/>
        <v>5478</v>
      </c>
      <c r="J33" s="3">
        <f t="shared" ca="1" si="4"/>
        <v>1950</v>
      </c>
      <c r="K33" s="3">
        <f t="shared" ca="1" si="5"/>
        <v>37</v>
      </c>
      <c r="L33" s="3">
        <f t="shared" ca="1" si="6"/>
        <v>38</v>
      </c>
      <c r="M33" s="3">
        <f t="shared" ca="1" si="7"/>
        <v>1</v>
      </c>
      <c r="N33" s="3" t="str">
        <f t="shared" ca="1" si="8"/>
        <v>On Time</v>
      </c>
      <c r="O33" s="3" t="str">
        <f t="shared" ca="1" si="9"/>
        <v>Medium</v>
      </c>
      <c r="P33" s="3">
        <f t="shared" ca="1" si="10"/>
        <v>15</v>
      </c>
      <c r="Q33" s="1" t="str">
        <f ca="1">VLOOKUP(D33,Routes!$A$2:$D$31,2,FALSE)</f>
        <v>Delhi</v>
      </c>
      <c r="R33" s="1" t="str">
        <f ca="1">VLOOKUP(D33,Routes!$A$2:$D$31,3,FALSE)</f>
        <v>Jaipur</v>
      </c>
      <c r="S33" s="3">
        <f ca="1">VLOOKUP(D33,Routes!$A$2:$D$31,4,FALSE)</f>
        <v>280</v>
      </c>
      <c r="T33" s="3" t="str">
        <f ca="1">VLOOKUP(E33,Vehicles!$A$2:$D$21,2,FALSE)</f>
        <v>Container</v>
      </c>
      <c r="U33" s="3">
        <f ca="1">VLOOKUP(E33,Vehicles!$A$2:$D$21,3,FALSE)</f>
        <v>20</v>
      </c>
      <c r="V33" s="3" t="str">
        <f ca="1">VLOOKUP(E33,Vehicles!$A$2:$D$21,4,FALSE)</f>
        <v>Diesel</v>
      </c>
      <c r="W33" s="3">
        <f ca="1">VLOOKUP(V33,Fuel_Rates!$A$2:$B$3,2,FALSE)</f>
        <v>95</v>
      </c>
      <c r="X33" s="3">
        <f t="shared" ca="1" si="12"/>
        <v>69.88</v>
      </c>
      <c r="Y33" s="3">
        <f t="shared" ca="1" si="13"/>
        <v>26994</v>
      </c>
      <c r="Z33" s="3" t="str">
        <f t="shared" ca="1" si="14"/>
        <v>Dec</v>
      </c>
      <c r="AA33" s="3" t="str">
        <f t="shared" ca="1" si="15"/>
        <v>Q4</v>
      </c>
      <c r="AB33" s="4" t="str">
        <f t="shared" ca="1" si="16"/>
        <v>Short Haul</v>
      </c>
    </row>
    <row r="34" spans="1:28" x14ac:dyDescent="0.3">
      <c r="A34" s="8" t="str">
        <f t="shared" si="11"/>
        <v>S0033</v>
      </c>
      <c r="B34" s="3">
        <f t="shared" ca="1" si="0"/>
        <v>45735</v>
      </c>
      <c r="C34" s="3" t="str">
        <f ca="1">INDEX(Customers!$A$2:$A$21,RANDBETWEEN(1,20))</f>
        <v>C003</v>
      </c>
      <c r="D34" s="3" t="str">
        <f ca="1">INDEX(Routes!$A$2:$A$31,RANDBETWEEN(1,30))</f>
        <v>R014</v>
      </c>
      <c r="E34" s="3" t="str">
        <f ca="1">INDEX(Vehicles!$A$2:$A$21,RANDBETWEEN(1,20))</f>
        <v>V009</v>
      </c>
      <c r="F34" s="3" t="str">
        <f ca="1">INDEX(Drivers!$A$2:$A$31,RANDBETWEEN(1,30))</f>
        <v>D011</v>
      </c>
      <c r="G34" s="3">
        <f t="shared" ca="1" si="1"/>
        <v>5</v>
      </c>
      <c r="H34" s="3">
        <f t="shared" ca="1" si="2"/>
        <v>19804</v>
      </c>
      <c r="I34" s="3">
        <f t="shared" ca="1" si="3"/>
        <v>5545</v>
      </c>
      <c r="J34" s="3">
        <f t="shared" ca="1" si="4"/>
        <v>1936</v>
      </c>
      <c r="K34" s="3">
        <f t="shared" ca="1" si="5"/>
        <v>44</v>
      </c>
      <c r="L34" s="3">
        <f t="shared" ca="1" si="6"/>
        <v>52</v>
      </c>
      <c r="M34" s="3">
        <f t="shared" ca="1" si="7"/>
        <v>8</v>
      </c>
      <c r="N34" s="3" t="str">
        <f t="shared" ca="1" si="8"/>
        <v>Delayed</v>
      </c>
      <c r="O34" s="3" t="str">
        <f t="shared" ca="1" si="9"/>
        <v>Low</v>
      </c>
      <c r="P34" s="3">
        <f t="shared" ca="1" si="10"/>
        <v>16.7</v>
      </c>
      <c r="Q34" s="1" t="str">
        <f ca="1">VLOOKUP(D34,Routes!$A$2:$D$31,2,FALSE)</f>
        <v>Hyderabad</v>
      </c>
      <c r="R34" s="1" t="str">
        <f ca="1">VLOOKUP(D34,Routes!$A$2:$D$31,3,FALSE)</f>
        <v>Nagpur</v>
      </c>
      <c r="S34" s="3">
        <f ca="1">VLOOKUP(D34,Routes!$A$2:$D$31,4,FALSE)</f>
        <v>500</v>
      </c>
      <c r="T34" s="3" t="str">
        <f ca="1">VLOOKUP(E34,Vehicles!$A$2:$D$21,2,FALSE)</f>
        <v>LCV</v>
      </c>
      <c r="U34" s="3">
        <f ca="1">VLOOKUP(E34,Vehicles!$A$2:$D$21,3,FALSE)</f>
        <v>5</v>
      </c>
      <c r="V34" s="3" t="str">
        <f ca="1">VLOOKUP(E34,Vehicles!$A$2:$D$21,4,FALSE)</f>
        <v>Diesel</v>
      </c>
      <c r="W34" s="3">
        <f ca="1">VLOOKUP(V34,Fuel_Rates!$A$2:$B$3,2,FALSE)</f>
        <v>95</v>
      </c>
      <c r="X34" s="3">
        <f t="shared" ca="1" si="12"/>
        <v>39.61</v>
      </c>
      <c r="Y34" s="3">
        <f t="shared" ca="1" si="13"/>
        <v>27285</v>
      </c>
      <c r="Z34" s="3" t="str">
        <f t="shared" ca="1" si="14"/>
        <v>Mar</v>
      </c>
      <c r="AA34" s="3" t="str">
        <f t="shared" ca="1" si="15"/>
        <v>Q1</v>
      </c>
      <c r="AB34" s="4" t="str">
        <f t="shared" ca="1" si="16"/>
        <v>Medium Haul</v>
      </c>
    </row>
    <row r="35" spans="1:28" x14ac:dyDescent="0.3">
      <c r="A35" s="8" t="str">
        <f t="shared" si="11"/>
        <v>S0034</v>
      </c>
      <c r="B35" s="3">
        <f t="shared" ca="1" si="0"/>
        <v>45996</v>
      </c>
      <c r="C35" s="3" t="str">
        <f ca="1">INDEX(Customers!$A$2:$A$21,RANDBETWEEN(1,20))</f>
        <v>C010</v>
      </c>
      <c r="D35" s="3" t="str">
        <f ca="1">INDEX(Routes!$A$2:$A$31,RANDBETWEEN(1,30))</f>
        <v>R009</v>
      </c>
      <c r="E35" s="3" t="str">
        <f ca="1">INDEX(Vehicles!$A$2:$A$21,RANDBETWEEN(1,20))</f>
        <v>V008</v>
      </c>
      <c r="F35" s="3" t="str">
        <f ca="1">INDEX(Drivers!$A$2:$A$31,RANDBETWEEN(1,30))</f>
        <v>D021</v>
      </c>
      <c r="G35" s="3">
        <f t="shared" ca="1" si="1"/>
        <v>14.6</v>
      </c>
      <c r="H35" s="3">
        <f t="shared" ca="1" si="2"/>
        <v>41195</v>
      </c>
      <c r="I35" s="3">
        <f t="shared" ca="1" si="3"/>
        <v>11535</v>
      </c>
      <c r="J35" s="3">
        <f t="shared" ca="1" si="4"/>
        <v>2578</v>
      </c>
      <c r="K35" s="3">
        <f t="shared" ca="1" si="5"/>
        <v>18</v>
      </c>
      <c r="L35" s="3">
        <f t="shared" ca="1" si="6"/>
        <v>26</v>
      </c>
      <c r="M35" s="3">
        <f t="shared" ca="1" si="7"/>
        <v>8</v>
      </c>
      <c r="N35" s="3" t="str">
        <f t="shared" ca="1" si="8"/>
        <v>Delayed</v>
      </c>
      <c r="O35" s="3" t="str">
        <f t="shared" ca="1" si="9"/>
        <v>Low</v>
      </c>
      <c r="P35" s="3">
        <f t="shared" ca="1" si="10"/>
        <v>48.7</v>
      </c>
      <c r="Q35" s="1" t="str">
        <f ca="1">VLOOKUP(D35,Routes!$A$2:$D$31,2,FALSE)</f>
        <v>Bengaluru</v>
      </c>
      <c r="R35" s="1" t="str">
        <f ca="1">VLOOKUP(D35,Routes!$A$2:$D$31,3,FALSE)</f>
        <v>Chennai</v>
      </c>
      <c r="S35" s="3">
        <f ca="1">VLOOKUP(D35,Routes!$A$2:$D$31,4,FALSE)</f>
        <v>350</v>
      </c>
      <c r="T35" s="3" t="str">
        <f ca="1">VLOOKUP(E35,Vehicles!$A$2:$D$21,2,FALSE)</f>
        <v>Container</v>
      </c>
      <c r="U35" s="3">
        <f ca="1">VLOOKUP(E35,Vehicles!$A$2:$D$21,3,FALSE)</f>
        <v>25</v>
      </c>
      <c r="V35" s="3" t="str">
        <f ca="1">VLOOKUP(E35,Vehicles!$A$2:$D$21,4,FALSE)</f>
        <v>Diesel</v>
      </c>
      <c r="W35" s="3">
        <f ca="1">VLOOKUP(V35,Fuel_Rates!$A$2:$B$3,2,FALSE)</f>
        <v>95</v>
      </c>
      <c r="X35" s="3">
        <f t="shared" ca="1" si="12"/>
        <v>117.7</v>
      </c>
      <c r="Y35" s="3">
        <f t="shared" ca="1" si="13"/>
        <v>55308</v>
      </c>
      <c r="Z35" s="3" t="str">
        <f t="shared" ca="1" si="14"/>
        <v>Dec</v>
      </c>
      <c r="AA35" s="3" t="str">
        <f t="shared" ca="1" si="15"/>
        <v>Q4</v>
      </c>
      <c r="AB35" s="4" t="str">
        <f t="shared" ca="1" si="16"/>
        <v>Medium Haul</v>
      </c>
    </row>
    <row r="36" spans="1:28" x14ac:dyDescent="0.3">
      <c r="A36" s="8" t="str">
        <f t="shared" si="11"/>
        <v>S0035</v>
      </c>
      <c r="B36" s="3">
        <f t="shared" ca="1" si="0"/>
        <v>45951</v>
      </c>
      <c r="C36" s="3" t="str">
        <f ca="1">INDEX(Customers!$A$2:$A$21,RANDBETWEEN(1,20))</f>
        <v>C009</v>
      </c>
      <c r="D36" s="3" t="str">
        <f ca="1">INDEX(Routes!$A$2:$A$31,RANDBETWEEN(1,30))</f>
        <v>R024</v>
      </c>
      <c r="E36" s="3" t="str">
        <f ca="1">INDEX(Vehicles!$A$2:$A$21,RANDBETWEEN(1,20))</f>
        <v>V017</v>
      </c>
      <c r="F36" s="3" t="str">
        <f ca="1">INDEX(Drivers!$A$2:$A$31,RANDBETWEEN(1,30))</f>
        <v>D020</v>
      </c>
      <c r="G36" s="3">
        <f t="shared" ca="1" si="1"/>
        <v>28.9</v>
      </c>
      <c r="H36" s="3">
        <f t="shared" ca="1" si="2"/>
        <v>64238</v>
      </c>
      <c r="I36" s="3">
        <f t="shared" ca="1" si="3"/>
        <v>17987</v>
      </c>
      <c r="J36" s="3">
        <f t="shared" ca="1" si="4"/>
        <v>2631</v>
      </c>
      <c r="K36" s="3">
        <f t="shared" ca="1" si="5"/>
        <v>34</v>
      </c>
      <c r="L36" s="3">
        <f t="shared" ca="1" si="6"/>
        <v>35</v>
      </c>
      <c r="M36" s="3">
        <f t="shared" ca="1" si="7"/>
        <v>1</v>
      </c>
      <c r="N36" s="3" t="str">
        <f t="shared" ca="1" si="8"/>
        <v>On Time</v>
      </c>
      <c r="O36" s="3" t="str">
        <f t="shared" ca="1" si="9"/>
        <v>High</v>
      </c>
      <c r="P36" s="3">
        <f t="shared" ca="1" si="10"/>
        <v>96.3</v>
      </c>
      <c r="Q36" s="1" t="str">
        <f ca="1">VLOOKUP(D36,Routes!$A$2:$D$31,2,FALSE)</f>
        <v>Surat</v>
      </c>
      <c r="R36" s="1" t="str">
        <f ca="1">VLOOKUP(D36,Routes!$A$2:$D$31,3,FALSE)</f>
        <v>Mumbai</v>
      </c>
      <c r="S36" s="3">
        <f ca="1">VLOOKUP(D36,Routes!$A$2:$D$31,4,FALSE)</f>
        <v>280</v>
      </c>
      <c r="T36" s="3" t="str">
        <f ca="1">VLOOKUP(E36,Vehicles!$A$2:$D$21,2,FALSE)</f>
        <v>Truck</v>
      </c>
      <c r="U36" s="3">
        <f ca="1">VLOOKUP(E36,Vehicles!$A$2:$D$21,3,FALSE)</f>
        <v>24</v>
      </c>
      <c r="V36" s="3" t="str">
        <f ca="1">VLOOKUP(E36,Vehicles!$A$2:$D$21,4,FALSE)</f>
        <v>Diesel</v>
      </c>
      <c r="W36" s="3">
        <f ca="1">VLOOKUP(V36,Fuel_Rates!$A$2:$B$3,2,FALSE)</f>
        <v>95</v>
      </c>
      <c r="X36" s="3">
        <f t="shared" ca="1" si="12"/>
        <v>229.42</v>
      </c>
      <c r="Y36" s="3">
        <f t="shared" ca="1" si="13"/>
        <v>84856</v>
      </c>
      <c r="Z36" s="3" t="str">
        <f t="shared" ca="1" si="14"/>
        <v>Oct</v>
      </c>
      <c r="AA36" s="3" t="str">
        <f t="shared" ca="1" si="15"/>
        <v>Q4</v>
      </c>
      <c r="AB36" s="4" t="str">
        <f t="shared" ca="1" si="16"/>
        <v>Short Haul</v>
      </c>
    </row>
    <row r="37" spans="1:28" x14ac:dyDescent="0.3">
      <c r="A37" s="8" t="str">
        <f t="shared" si="11"/>
        <v>S0036</v>
      </c>
      <c r="B37" s="3">
        <f t="shared" ca="1" si="0"/>
        <v>45839</v>
      </c>
      <c r="C37" s="3" t="str">
        <f ca="1">INDEX(Customers!$A$2:$A$21,RANDBETWEEN(1,20))</f>
        <v>C007</v>
      </c>
      <c r="D37" s="3" t="str">
        <f ca="1">INDEX(Routes!$A$2:$A$31,RANDBETWEEN(1,30))</f>
        <v>R011</v>
      </c>
      <c r="E37" s="3" t="str">
        <f ca="1">INDEX(Vehicles!$A$2:$A$21,RANDBETWEEN(1,20))</f>
        <v>V016</v>
      </c>
      <c r="F37" s="3" t="str">
        <f ca="1">INDEX(Drivers!$A$2:$A$31,RANDBETWEEN(1,30))</f>
        <v>D019</v>
      </c>
      <c r="G37" s="3">
        <f t="shared" ca="1" si="1"/>
        <v>26.6</v>
      </c>
      <c r="H37" s="3">
        <f t="shared" ca="1" si="2"/>
        <v>52597</v>
      </c>
      <c r="I37" s="3">
        <f t="shared" ca="1" si="3"/>
        <v>14727</v>
      </c>
      <c r="J37" s="3">
        <f t="shared" ca="1" si="4"/>
        <v>3258</v>
      </c>
      <c r="K37" s="3">
        <f t="shared" ca="1" si="5"/>
        <v>19</v>
      </c>
      <c r="L37" s="3">
        <f t="shared" ca="1" si="6"/>
        <v>21</v>
      </c>
      <c r="M37" s="3">
        <f t="shared" ca="1" si="7"/>
        <v>2</v>
      </c>
      <c r="N37" s="3" t="str">
        <f t="shared" ca="1" si="8"/>
        <v>On Time</v>
      </c>
      <c r="O37" s="3" t="str">
        <f t="shared" ca="1" si="9"/>
        <v>Medium</v>
      </c>
      <c r="P37" s="3">
        <f t="shared" ca="1" si="10"/>
        <v>88.7</v>
      </c>
      <c r="Q37" s="1" t="str">
        <f ca="1">VLOOKUP(D37,Routes!$A$2:$D$31,2,FALSE)</f>
        <v>Bengaluru</v>
      </c>
      <c r="R37" s="1" t="str">
        <f ca="1">VLOOKUP(D37,Routes!$A$2:$D$31,3,FALSE)</f>
        <v>Kochi</v>
      </c>
      <c r="S37" s="3">
        <f ca="1">VLOOKUP(D37,Routes!$A$2:$D$31,4,FALSE)</f>
        <v>550</v>
      </c>
      <c r="T37" s="3" t="str">
        <f ca="1">VLOOKUP(E37,Vehicles!$A$2:$D$21,2,FALSE)</f>
        <v>Container</v>
      </c>
      <c r="U37" s="3">
        <f ca="1">VLOOKUP(E37,Vehicles!$A$2:$D$21,3,FALSE)</f>
        <v>22</v>
      </c>
      <c r="V37" s="3" t="str">
        <f ca="1">VLOOKUP(E37,Vehicles!$A$2:$D$21,4,FALSE)</f>
        <v>Diesel</v>
      </c>
      <c r="W37" s="3">
        <f ca="1">VLOOKUP(V37,Fuel_Rates!$A$2:$B$3,2,FALSE)</f>
        <v>95</v>
      </c>
      <c r="X37" s="3">
        <f t="shared" ca="1" si="12"/>
        <v>95.63</v>
      </c>
      <c r="Y37" s="3">
        <f t="shared" ca="1" si="13"/>
        <v>70582</v>
      </c>
      <c r="Z37" s="3" t="str">
        <f t="shared" ca="1" si="14"/>
        <v>Jul</v>
      </c>
      <c r="AA37" s="3" t="str">
        <f t="shared" ca="1" si="15"/>
        <v>Q3</v>
      </c>
      <c r="AB37" s="4" t="str">
        <f t="shared" ca="1" si="16"/>
        <v>Medium Haul</v>
      </c>
    </row>
    <row r="38" spans="1:28" x14ac:dyDescent="0.3">
      <c r="A38" s="8" t="str">
        <f t="shared" si="11"/>
        <v>S0037</v>
      </c>
      <c r="B38" s="3">
        <f t="shared" ca="1" si="0"/>
        <v>45987</v>
      </c>
      <c r="C38" s="3" t="str">
        <f ca="1">INDEX(Customers!$A$2:$A$21,RANDBETWEEN(1,20))</f>
        <v>C004</v>
      </c>
      <c r="D38" s="3" t="str">
        <f ca="1">INDEX(Routes!$A$2:$A$31,RANDBETWEEN(1,30))</f>
        <v>R015</v>
      </c>
      <c r="E38" s="3" t="str">
        <f ca="1">INDEX(Vehicles!$A$2:$A$21,RANDBETWEEN(1,20))</f>
        <v>V012</v>
      </c>
      <c r="F38" s="3" t="str">
        <f ca="1">INDEX(Drivers!$A$2:$A$31,RANDBETWEEN(1,30))</f>
        <v>D024</v>
      </c>
      <c r="G38" s="3">
        <f t="shared" ca="1" si="1"/>
        <v>22.9</v>
      </c>
      <c r="H38" s="3">
        <f t="shared" ca="1" si="2"/>
        <v>48337</v>
      </c>
      <c r="I38" s="3">
        <f t="shared" ca="1" si="3"/>
        <v>13534</v>
      </c>
      <c r="J38" s="3">
        <f t="shared" ca="1" si="4"/>
        <v>1769</v>
      </c>
      <c r="K38" s="3">
        <f t="shared" ca="1" si="5"/>
        <v>27</v>
      </c>
      <c r="L38" s="3">
        <f t="shared" ca="1" si="6"/>
        <v>28</v>
      </c>
      <c r="M38" s="3">
        <f t="shared" ca="1" si="7"/>
        <v>1</v>
      </c>
      <c r="N38" s="3" t="str">
        <f t="shared" ca="1" si="8"/>
        <v>On Time</v>
      </c>
      <c r="O38" s="3" t="str">
        <f t="shared" ca="1" si="9"/>
        <v>Medium</v>
      </c>
      <c r="P38" s="3">
        <f t="shared" ca="1" si="10"/>
        <v>76.3</v>
      </c>
      <c r="Q38" s="1" t="str">
        <f ca="1">VLOOKUP(D38,Routes!$A$2:$D$31,2,FALSE)</f>
        <v>Hyderabad</v>
      </c>
      <c r="R38" s="1" t="str">
        <f ca="1">VLOOKUP(D38,Routes!$A$2:$D$31,3,FALSE)</f>
        <v>Pune</v>
      </c>
      <c r="S38" s="3">
        <f ca="1">VLOOKUP(D38,Routes!$A$2:$D$31,4,FALSE)</f>
        <v>560</v>
      </c>
      <c r="T38" s="3" t="str">
        <f ca="1">VLOOKUP(E38,Vehicles!$A$2:$D$21,2,FALSE)</f>
        <v>Truck</v>
      </c>
      <c r="U38" s="3">
        <f ca="1">VLOOKUP(E38,Vehicles!$A$2:$D$21,3,FALSE)</f>
        <v>20</v>
      </c>
      <c r="V38" s="3" t="str">
        <f ca="1">VLOOKUP(E38,Vehicles!$A$2:$D$21,4,FALSE)</f>
        <v>CNG</v>
      </c>
      <c r="W38" s="3">
        <f ca="1">VLOOKUP(V38,Fuel_Rates!$A$2:$B$3,2,FALSE)</f>
        <v>78</v>
      </c>
      <c r="X38" s="3">
        <f t="shared" ca="1" si="12"/>
        <v>86.32</v>
      </c>
      <c r="Y38" s="3">
        <f t="shared" ca="1" si="13"/>
        <v>63640</v>
      </c>
      <c r="Z38" s="3" t="str">
        <f t="shared" ca="1" si="14"/>
        <v>Nov</v>
      </c>
      <c r="AA38" s="3" t="str">
        <f t="shared" ca="1" si="15"/>
        <v>Q4</v>
      </c>
      <c r="AB38" s="4" t="str">
        <f t="shared" ca="1" si="16"/>
        <v>Medium Haul</v>
      </c>
    </row>
    <row r="39" spans="1:28" x14ac:dyDescent="0.3">
      <c r="A39" s="8" t="str">
        <f t="shared" si="11"/>
        <v>S0038</v>
      </c>
      <c r="B39" s="3">
        <f t="shared" ca="1" si="0"/>
        <v>45684</v>
      </c>
      <c r="C39" s="3" t="str">
        <f ca="1">INDEX(Customers!$A$2:$A$21,RANDBETWEEN(1,20))</f>
        <v>C004</v>
      </c>
      <c r="D39" s="3" t="str">
        <f ca="1">INDEX(Routes!$A$2:$A$31,RANDBETWEEN(1,30))</f>
        <v>R016</v>
      </c>
      <c r="E39" s="3" t="str">
        <f ca="1">INDEX(Vehicles!$A$2:$A$21,RANDBETWEEN(1,20))</f>
        <v>V005</v>
      </c>
      <c r="F39" s="3" t="str">
        <f ca="1">INDEX(Drivers!$A$2:$A$31,RANDBETWEEN(1,30))</f>
        <v>D005</v>
      </c>
      <c r="G39" s="3">
        <f t="shared" ca="1" si="1"/>
        <v>16.8</v>
      </c>
      <c r="H39" s="3">
        <f t="shared" ca="1" si="2"/>
        <v>36022</v>
      </c>
      <c r="I39" s="3">
        <f t="shared" ca="1" si="3"/>
        <v>10086</v>
      </c>
      <c r="J39" s="3">
        <f t="shared" ca="1" si="4"/>
        <v>3057</v>
      </c>
      <c r="K39" s="3">
        <f t="shared" ca="1" si="5"/>
        <v>44</v>
      </c>
      <c r="L39" s="3">
        <f t="shared" ca="1" si="6"/>
        <v>49</v>
      </c>
      <c r="M39" s="3">
        <f t="shared" ca="1" si="7"/>
        <v>5</v>
      </c>
      <c r="N39" s="3" t="str">
        <f t="shared" ca="1" si="8"/>
        <v>Delayed</v>
      </c>
      <c r="O39" s="3" t="str">
        <f t="shared" ca="1" si="9"/>
        <v>Medium</v>
      </c>
      <c r="P39" s="3">
        <f t="shared" ca="1" si="10"/>
        <v>56</v>
      </c>
      <c r="Q39" s="1" t="str">
        <f ca="1">VLOOKUP(D39,Routes!$A$2:$D$31,2,FALSE)</f>
        <v>Kolkata</v>
      </c>
      <c r="R39" s="1" t="str">
        <f ca="1">VLOOKUP(D39,Routes!$A$2:$D$31,3,FALSE)</f>
        <v>Bhubaneswar</v>
      </c>
      <c r="S39" s="3">
        <f ca="1">VLOOKUP(D39,Routes!$A$2:$D$31,4,FALSE)</f>
        <v>440</v>
      </c>
      <c r="T39" s="3" t="str">
        <f ca="1">VLOOKUP(E39,Vehicles!$A$2:$D$21,2,FALSE)</f>
        <v>Trailer</v>
      </c>
      <c r="U39" s="3">
        <f ca="1">VLOOKUP(E39,Vehicles!$A$2:$D$21,3,FALSE)</f>
        <v>32</v>
      </c>
      <c r="V39" s="3" t="str">
        <f ca="1">VLOOKUP(E39,Vehicles!$A$2:$D$21,4,FALSE)</f>
        <v>Diesel</v>
      </c>
      <c r="W39" s="3">
        <f ca="1">VLOOKUP(V39,Fuel_Rates!$A$2:$B$3,2,FALSE)</f>
        <v>95</v>
      </c>
      <c r="X39" s="3">
        <f t="shared" ca="1" si="12"/>
        <v>81.87</v>
      </c>
      <c r="Y39" s="3">
        <f t="shared" ca="1" si="13"/>
        <v>49165</v>
      </c>
      <c r="Z39" s="3" t="str">
        <f t="shared" ca="1" si="14"/>
        <v>Jan</v>
      </c>
      <c r="AA39" s="3" t="str">
        <f t="shared" ca="1" si="15"/>
        <v>Q1</v>
      </c>
      <c r="AB39" s="4" t="str">
        <f t="shared" ca="1" si="16"/>
        <v>Medium Haul</v>
      </c>
    </row>
    <row r="40" spans="1:28" x14ac:dyDescent="0.3">
      <c r="A40" s="8" t="str">
        <f t="shared" si="11"/>
        <v>S0039</v>
      </c>
      <c r="B40" s="3">
        <f t="shared" ca="1" si="0"/>
        <v>45853</v>
      </c>
      <c r="C40" s="3" t="str">
        <f ca="1">INDEX(Customers!$A$2:$A$21,RANDBETWEEN(1,20))</f>
        <v>C014</v>
      </c>
      <c r="D40" s="3" t="str">
        <f ca="1">INDEX(Routes!$A$2:$A$31,RANDBETWEEN(1,30))</f>
        <v>R011</v>
      </c>
      <c r="E40" s="3" t="str">
        <f ca="1">INDEX(Vehicles!$A$2:$A$21,RANDBETWEEN(1,20))</f>
        <v>V010</v>
      </c>
      <c r="F40" s="3" t="str">
        <f ca="1">INDEX(Drivers!$A$2:$A$31,RANDBETWEEN(1,30))</f>
        <v>D017</v>
      </c>
      <c r="G40" s="3">
        <f t="shared" ca="1" si="1"/>
        <v>18.5</v>
      </c>
      <c r="H40" s="3">
        <f t="shared" ca="1" si="2"/>
        <v>38734</v>
      </c>
      <c r="I40" s="3">
        <f t="shared" ca="1" si="3"/>
        <v>10846</v>
      </c>
      <c r="J40" s="3">
        <f t="shared" ca="1" si="4"/>
        <v>1123</v>
      </c>
      <c r="K40" s="3">
        <f t="shared" ca="1" si="5"/>
        <v>10</v>
      </c>
      <c r="L40" s="3">
        <f t="shared" ca="1" si="6"/>
        <v>14</v>
      </c>
      <c r="M40" s="3">
        <f t="shared" ca="1" si="7"/>
        <v>4</v>
      </c>
      <c r="N40" s="3" t="str">
        <f t="shared" ca="1" si="8"/>
        <v>Delayed</v>
      </c>
      <c r="O40" s="3" t="str">
        <f t="shared" ca="1" si="9"/>
        <v>Medium</v>
      </c>
      <c r="P40" s="3">
        <f t="shared" ca="1" si="10"/>
        <v>61.7</v>
      </c>
      <c r="Q40" s="1" t="str">
        <f ca="1">VLOOKUP(D40,Routes!$A$2:$D$31,2,FALSE)</f>
        <v>Bengaluru</v>
      </c>
      <c r="R40" s="1" t="str">
        <f ca="1">VLOOKUP(D40,Routes!$A$2:$D$31,3,FALSE)</f>
        <v>Kochi</v>
      </c>
      <c r="S40" s="3">
        <f ca="1">VLOOKUP(D40,Routes!$A$2:$D$31,4,FALSE)</f>
        <v>550</v>
      </c>
      <c r="T40" s="3" t="str">
        <f ca="1">VLOOKUP(E40,Vehicles!$A$2:$D$21,2,FALSE)</f>
        <v>LCV</v>
      </c>
      <c r="U40" s="3">
        <f ca="1">VLOOKUP(E40,Vehicles!$A$2:$D$21,3,FALSE)</f>
        <v>7</v>
      </c>
      <c r="V40" s="3" t="str">
        <f ca="1">VLOOKUP(E40,Vehicles!$A$2:$D$21,4,FALSE)</f>
        <v>Diesel</v>
      </c>
      <c r="W40" s="3">
        <f ca="1">VLOOKUP(V40,Fuel_Rates!$A$2:$B$3,2,FALSE)</f>
        <v>95</v>
      </c>
      <c r="X40" s="3">
        <f t="shared" ca="1" si="12"/>
        <v>70.430000000000007</v>
      </c>
      <c r="Y40" s="3">
        <f t="shared" ca="1" si="13"/>
        <v>50703</v>
      </c>
      <c r="Z40" s="3" t="str">
        <f t="shared" ca="1" si="14"/>
        <v>Jul</v>
      </c>
      <c r="AA40" s="3" t="str">
        <f t="shared" ca="1" si="15"/>
        <v>Q3</v>
      </c>
      <c r="AB40" s="4" t="str">
        <f t="shared" ca="1" si="16"/>
        <v>Medium Haul</v>
      </c>
    </row>
    <row r="41" spans="1:28" x14ac:dyDescent="0.3">
      <c r="A41" s="8" t="str">
        <f t="shared" si="11"/>
        <v>S0040</v>
      </c>
      <c r="B41" s="3">
        <f t="shared" ca="1" si="0"/>
        <v>45915</v>
      </c>
      <c r="C41" s="3" t="str">
        <f ca="1">INDEX(Customers!$A$2:$A$21,RANDBETWEEN(1,20))</f>
        <v>C017</v>
      </c>
      <c r="D41" s="3" t="str">
        <f ca="1">INDEX(Routes!$A$2:$A$31,RANDBETWEEN(1,30))</f>
        <v>R013</v>
      </c>
      <c r="E41" s="3" t="str">
        <f ca="1">INDEX(Vehicles!$A$2:$A$21,RANDBETWEEN(1,20))</f>
        <v>V010</v>
      </c>
      <c r="F41" s="3" t="str">
        <f ca="1">INDEX(Drivers!$A$2:$A$31,RANDBETWEEN(1,30))</f>
        <v>D016</v>
      </c>
      <c r="G41" s="3">
        <f t="shared" ca="1" si="1"/>
        <v>27.8</v>
      </c>
      <c r="H41" s="3">
        <f t="shared" ca="1" si="2"/>
        <v>56018</v>
      </c>
      <c r="I41" s="3">
        <f t="shared" ca="1" si="3"/>
        <v>15685</v>
      </c>
      <c r="J41" s="3">
        <f t="shared" ca="1" si="4"/>
        <v>1322</v>
      </c>
      <c r="K41" s="3">
        <f t="shared" ca="1" si="5"/>
        <v>9</v>
      </c>
      <c r="L41" s="3">
        <f t="shared" ca="1" si="6"/>
        <v>14</v>
      </c>
      <c r="M41" s="3">
        <f t="shared" ca="1" si="7"/>
        <v>5</v>
      </c>
      <c r="N41" s="3" t="str">
        <f t="shared" ca="1" si="8"/>
        <v>Delayed</v>
      </c>
      <c r="O41" s="3" t="str">
        <f t="shared" ca="1" si="9"/>
        <v>Medium</v>
      </c>
      <c r="P41" s="3">
        <f t="shared" ca="1" si="10"/>
        <v>92.7</v>
      </c>
      <c r="Q41" s="1" t="str">
        <f ca="1">VLOOKUP(D41,Routes!$A$2:$D$31,2,FALSE)</f>
        <v>Chennai</v>
      </c>
      <c r="R41" s="1" t="str">
        <f ca="1">VLOOKUP(D41,Routes!$A$2:$D$31,3,FALSE)</f>
        <v>Hyderabad</v>
      </c>
      <c r="S41" s="3">
        <f ca="1">VLOOKUP(D41,Routes!$A$2:$D$31,4,FALSE)</f>
        <v>630</v>
      </c>
      <c r="T41" s="3" t="str">
        <f ca="1">VLOOKUP(E41,Vehicles!$A$2:$D$21,2,FALSE)</f>
        <v>LCV</v>
      </c>
      <c r="U41" s="3">
        <f ca="1">VLOOKUP(E41,Vehicles!$A$2:$D$21,3,FALSE)</f>
        <v>7</v>
      </c>
      <c r="V41" s="3" t="str">
        <f ca="1">VLOOKUP(E41,Vehicles!$A$2:$D$21,4,FALSE)</f>
        <v>Diesel</v>
      </c>
      <c r="W41" s="3">
        <f ca="1">VLOOKUP(V41,Fuel_Rates!$A$2:$B$3,2,FALSE)</f>
        <v>95</v>
      </c>
      <c r="X41" s="3">
        <f t="shared" ca="1" si="12"/>
        <v>88.92</v>
      </c>
      <c r="Y41" s="3">
        <f t="shared" ca="1" si="13"/>
        <v>73025</v>
      </c>
      <c r="Z41" s="3" t="str">
        <f t="shared" ca="1" si="14"/>
        <v>Sep</v>
      </c>
      <c r="AA41" s="3" t="str">
        <f t="shared" ca="1" si="15"/>
        <v>Q3</v>
      </c>
      <c r="AB41" s="4" t="str">
        <f t="shared" ca="1" si="16"/>
        <v>Medium Haul</v>
      </c>
    </row>
    <row r="42" spans="1:28" x14ac:dyDescent="0.3">
      <c r="A42" s="8" t="str">
        <f t="shared" si="11"/>
        <v>S0041</v>
      </c>
      <c r="B42" s="3">
        <f t="shared" ca="1" si="0"/>
        <v>45952</v>
      </c>
      <c r="C42" s="3" t="str">
        <f ca="1">INDEX(Customers!$A$2:$A$21,RANDBETWEEN(1,20))</f>
        <v>C007</v>
      </c>
      <c r="D42" s="3" t="str">
        <f ca="1">INDEX(Routes!$A$2:$A$31,RANDBETWEEN(1,30))</f>
        <v>R012</v>
      </c>
      <c r="E42" s="3" t="str">
        <f ca="1">INDEX(Vehicles!$A$2:$A$21,RANDBETWEEN(1,20))</f>
        <v>V010</v>
      </c>
      <c r="F42" s="3" t="str">
        <f ca="1">INDEX(Drivers!$A$2:$A$31,RANDBETWEEN(1,30))</f>
        <v>D001</v>
      </c>
      <c r="G42" s="3">
        <f t="shared" ca="1" si="1"/>
        <v>9.6999999999999993</v>
      </c>
      <c r="H42" s="3">
        <f t="shared" ca="1" si="2"/>
        <v>25161</v>
      </c>
      <c r="I42" s="3">
        <f t="shared" ca="1" si="3"/>
        <v>7045</v>
      </c>
      <c r="J42" s="3">
        <f t="shared" ca="1" si="4"/>
        <v>1707</v>
      </c>
      <c r="K42" s="3">
        <f t="shared" ca="1" si="5"/>
        <v>27</v>
      </c>
      <c r="L42" s="3">
        <f t="shared" ca="1" si="6"/>
        <v>30</v>
      </c>
      <c r="M42" s="3">
        <f t="shared" ca="1" si="7"/>
        <v>3</v>
      </c>
      <c r="N42" s="3" t="str">
        <f t="shared" ca="1" si="8"/>
        <v>Delayed</v>
      </c>
      <c r="O42" s="3" t="str">
        <f t="shared" ca="1" si="9"/>
        <v>Medium</v>
      </c>
      <c r="P42" s="3">
        <f t="shared" ca="1" si="10"/>
        <v>32.299999999999997</v>
      </c>
      <c r="Q42" s="1" t="str">
        <f ca="1">VLOOKUP(D42,Routes!$A$2:$D$31,2,FALSE)</f>
        <v>Chennai</v>
      </c>
      <c r="R42" s="1" t="str">
        <f ca="1">VLOOKUP(D42,Routes!$A$2:$D$31,3,FALSE)</f>
        <v>Coimbatore</v>
      </c>
      <c r="S42" s="3">
        <f ca="1">VLOOKUP(D42,Routes!$A$2:$D$31,4,FALSE)</f>
        <v>500</v>
      </c>
      <c r="T42" s="3" t="str">
        <f ca="1">VLOOKUP(E42,Vehicles!$A$2:$D$21,2,FALSE)</f>
        <v>LCV</v>
      </c>
      <c r="U42" s="3">
        <f ca="1">VLOOKUP(E42,Vehicles!$A$2:$D$21,3,FALSE)</f>
        <v>7</v>
      </c>
      <c r="V42" s="3" t="str">
        <f ca="1">VLOOKUP(E42,Vehicles!$A$2:$D$21,4,FALSE)</f>
        <v>Diesel</v>
      </c>
      <c r="W42" s="3">
        <f ca="1">VLOOKUP(V42,Fuel_Rates!$A$2:$B$3,2,FALSE)</f>
        <v>95</v>
      </c>
      <c r="X42" s="3">
        <f t="shared" ca="1" si="12"/>
        <v>50.32</v>
      </c>
      <c r="Y42" s="3">
        <f t="shared" ca="1" si="13"/>
        <v>33913</v>
      </c>
      <c r="Z42" s="3" t="str">
        <f t="shared" ca="1" si="14"/>
        <v>Oct</v>
      </c>
      <c r="AA42" s="3" t="str">
        <f t="shared" ca="1" si="15"/>
        <v>Q4</v>
      </c>
      <c r="AB42" s="4" t="str">
        <f t="shared" ca="1" si="16"/>
        <v>Medium Haul</v>
      </c>
    </row>
    <row r="43" spans="1:28" x14ac:dyDescent="0.3">
      <c r="A43" s="8" t="str">
        <f t="shared" si="11"/>
        <v>S0042</v>
      </c>
      <c r="B43" s="3">
        <f t="shared" ca="1" si="0"/>
        <v>45881</v>
      </c>
      <c r="C43" s="3" t="str">
        <f ca="1">INDEX(Customers!$A$2:$A$21,RANDBETWEEN(1,20))</f>
        <v>C012</v>
      </c>
      <c r="D43" s="3" t="str">
        <f ca="1">INDEX(Routes!$A$2:$A$31,RANDBETWEEN(1,30))</f>
        <v>R014</v>
      </c>
      <c r="E43" s="3" t="str">
        <f ca="1">INDEX(Vehicles!$A$2:$A$21,RANDBETWEEN(1,20))</f>
        <v>V019</v>
      </c>
      <c r="F43" s="3" t="str">
        <f ca="1">INDEX(Drivers!$A$2:$A$31,RANDBETWEEN(1,30))</f>
        <v>D012</v>
      </c>
      <c r="G43" s="3">
        <f t="shared" ca="1" si="1"/>
        <v>20</v>
      </c>
      <c r="H43" s="3">
        <f t="shared" ca="1" si="2"/>
        <v>45659</v>
      </c>
      <c r="I43" s="3">
        <f t="shared" ca="1" si="3"/>
        <v>12785</v>
      </c>
      <c r="J43" s="3">
        <f t="shared" ca="1" si="4"/>
        <v>1576</v>
      </c>
      <c r="K43" s="3">
        <f t="shared" ca="1" si="5"/>
        <v>36</v>
      </c>
      <c r="L43" s="3">
        <f t="shared" ca="1" si="6"/>
        <v>44</v>
      </c>
      <c r="M43" s="3">
        <f t="shared" ca="1" si="7"/>
        <v>8</v>
      </c>
      <c r="N43" s="3" t="str">
        <f t="shared" ca="1" si="8"/>
        <v>Delayed</v>
      </c>
      <c r="O43" s="3" t="str">
        <f t="shared" ca="1" si="9"/>
        <v>Low</v>
      </c>
      <c r="P43" s="3">
        <f t="shared" ca="1" si="10"/>
        <v>66.7</v>
      </c>
      <c r="Q43" s="1" t="str">
        <f ca="1">VLOOKUP(D43,Routes!$A$2:$D$31,2,FALSE)</f>
        <v>Hyderabad</v>
      </c>
      <c r="R43" s="1" t="str">
        <f ca="1">VLOOKUP(D43,Routes!$A$2:$D$31,3,FALSE)</f>
        <v>Nagpur</v>
      </c>
      <c r="S43" s="3">
        <f ca="1">VLOOKUP(D43,Routes!$A$2:$D$31,4,FALSE)</f>
        <v>500</v>
      </c>
      <c r="T43" s="3" t="str">
        <f ca="1">VLOOKUP(E43,Vehicles!$A$2:$D$21,2,FALSE)</f>
        <v>Trailer</v>
      </c>
      <c r="U43" s="3">
        <f ca="1">VLOOKUP(E43,Vehicles!$A$2:$D$21,3,FALSE)</f>
        <v>35</v>
      </c>
      <c r="V43" s="3" t="str">
        <f ca="1">VLOOKUP(E43,Vehicles!$A$2:$D$21,4,FALSE)</f>
        <v>Diesel</v>
      </c>
      <c r="W43" s="3">
        <f ca="1">VLOOKUP(V43,Fuel_Rates!$A$2:$B$3,2,FALSE)</f>
        <v>95</v>
      </c>
      <c r="X43" s="3">
        <f t="shared" ca="1" si="12"/>
        <v>91.32</v>
      </c>
      <c r="Y43" s="3">
        <f t="shared" ca="1" si="13"/>
        <v>60020</v>
      </c>
      <c r="Z43" s="3" t="str">
        <f t="shared" ca="1" si="14"/>
        <v>Aug</v>
      </c>
      <c r="AA43" s="3" t="str">
        <f t="shared" ca="1" si="15"/>
        <v>Q3</v>
      </c>
      <c r="AB43" s="4" t="str">
        <f t="shared" ca="1" si="16"/>
        <v>Medium Haul</v>
      </c>
    </row>
    <row r="44" spans="1:28" x14ac:dyDescent="0.3">
      <c r="A44" s="8" t="str">
        <f t="shared" si="11"/>
        <v>S0043</v>
      </c>
      <c r="B44" s="3">
        <f t="shared" ca="1" si="0"/>
        <v>45910</v>
      </c>
      <c r="C44" s="3" t="str">
        <f ca="1">INDEX(Customers!$A$2:$A$21,RANDBETWEEN(1,20))</f>
        <v>C018</v>
      </c>
      <c r="D44" s="3" t="str">
        <f ca="1">INDEX(Routes!$A$2:$A$31,RANDBETWEEN(1,30))</f>
        <v>R006</v>
      </c>
      <c r="E44" s="3" t="str">
        <f ca="1">INDEX(Vehicles!$A$2:$A$21,RANDBETWEEN(1,20))</f>
        <v>V005</v>
      </c>
      <c r="F44" s="3" t="str">
        <f ca="1">INDEX(Drivers!$A$2:$A$31,RANDBETWEEN(1,30))</f>
        <v>D011</v>
      </c>
      <c r="G44" s="3">
        <f t="shared" ca="1" si="1"/>
        <v>6.1</v>
      </c>
      <c r="H44" s="3">
        <f t="shared" ca="1" si="2"/>
        <v>24725</v>
      </c>
      <c r="I44" s="3">
        <f t="shared" ca="1" si="3"/>
        <v>6923</v>
      </c>
      <c r="J44" s="3">
        <f t="shared" ca="1" si="4"/>
        <v>3449</v>
      </c>
      <c r="K44" s="3">
        <f t="shared" ca="1" si="5"/>
        <v>12</v>
      </c>
      <c r="L44" s="3">
        <f t="shared" ca="1" si="6"/>
        <v>14</v>
      </c>
      <c r="M44" s="3">
        <f t="shared" ca="1" si="7"/>
        <v>2</v>
      </c>
      <c r="N44" s="3" t="str">
        <f t="shared" ca="1" si="8"/>
        <v>On Time</v>
      </c>
      <c r="O44" s="3" t="str">
        <f t="shared" ca="1" si="9"/>
        <v>Medium</v>
      </c>
      <c r="P44" s="3">
        <f t="shared" ca="1" si="10"/>
        <v>20.3</v>
      </c>
      <c r="Q44" s="1" t="str">
        <f ca="1">VLOOKUP(D44,Routes!$A$2:$D$31,2,FALSE)</f>
        <v>Delhi</v>
      </c>
      <c r="R44" s="1" t="str">
        <f ca="1">VLOOKUP(D44,Routes!$A$2:$D$31,3,FALSE)</f>
        <v>Lucknow</v>
      </c>
      <c r="S44" s="3">
        <f ca="1">VLOOKUP(D44,Routes!$A$2:$D$31,4,FALSE)</f>
        <v>550</v>
      </c>
      <c r="T44" s="3" t="str">
        <f ca="1">VLOOKUP(E44,Vehicles!$A$2:$D$21,2,FALSE)</f>
        <v>Trailer</v>
      </c>
      <c r="U44" s="3">
        <f ca="1">VLOOKUP(E44,Vehicles!$A$2:$D$21,3,FALSE)</f>
        <v>32</v>
      </c>
      <c r="V44" s="3" t="str">
        <f ca="1">VLOOKUP(E44,Vehicles!$A$2:$D$21,4,FALSE)</f>
        <v>Diesel</v>
      </c>
      <c r="W44" s="3">
        <f ca="1">VLOOKUP(V44,Fuel_Rates!$A$2:$B$3,2,FALSE)</f>
        <v>95</v>
      </c>
      <c r="X44" s="3">
        <f t="shared" ca="1" si="12"/>
        <v>44.95</v>
      </c>
      <c r="Y44" s="3">
        <f t="shared" ca="1" si="13"/>
        <v>35097</v>
      </c>
      <c r="Z44" s="3" t="str">
        <f t="shared" ca="1" si="14"/>
        <v>Sep</v>
      </c>
      <c r="AA44" s="3" t="str">
        <f t="shared" ca="1" si="15"/>
        <v>Q3</v>
      </c>
      <c r="AB44" s="4" t="str">
        <f t="shared" ca="1" si="16"/>
        <v>Medium Haul</v>
      </c>
    </row>
    <row r="45" spans="1:28" x14ac:dyDescent="0.3">
      <c r="A45" s="8" t="str">
        <f t="shared" si="11"/>
        <v>S0044</v>
      </c>
      <c r="B45" s="3">
        <f t="shared" ca="1" si="0"/>
        <v>45987</v>
      </c>
      <c r="C45" s="3" t="str">
        <f ca="1">INDEX(Customers!$A$2:$A$21,RANDBETWEEN(1,20))</f>
        <v>C011</v>
      </c>
      <c r="D45" s="3" t="str">
        <f ca="1">INDEX(Routes!$A$2:$A$31,RANDBETWEEN(1,30))</f>
        <v>R030</v>
      </c>
      <c r="E45" s="3" t="str">
        <f ca="1">INDEX(Vehicles!$A$2:$A$21,RANDBETWEEN(1,20))</f>
        <v>V004</v>
      </c>
      <c r="F45" s="3" t="str">
        <f ca="1">INDEX(Drivers!$A$2:$A$31,RANDBETWEEN(1,30))</f>
        <v>D025</v>
      </c>
      <c r="G45" s="3">
        <f t="shared" ca="1" si="1"/>
        <v>26.4</v>
      </c>
      <c r="H45" s="3">
        <f t="shared" ca="1" si="2"/>
        <v>58329</v>
      </c>
      <c r="I45" s="3">
        <f t="shared" ca="1" si="3"/>
        <v>16332</v>
      </c>
      <c r="J45" s="3">
        <f t="shared" ca="1" si="4"/>
        <v>2100</v>
      </c>
      <c r="K45" s="3">
        <f t="shared" ca="1" si="5"/>
        <v>48</v>
      </c>
      <c r="L45" s="3">
        <f t="shared" ca="1" si="6"/>
        <v>51</v>
      </c>
      <c r="M45" s="3">
        <f t="shared" ca="1" si="7"/>
        <v>3</v>
      </c>
      <c r="N45" s="3" t="str">
        <f t="shared" ca="1" si="8"/>
        <v>Delayed</v>
      </c>
      <c r="O45" s="3" t="str">
        <f t="shared" ca="1" si="9"/>
        <v>Medium</v>
      </c>
      <c r="P45" s="3">
        <f t="shared" ca="1" si="10"/>
        <v>88</v>
      </c>
      <c r="Q45" s="1" t="str">
        <f ca="1">VLOOKUP(D45,Routes!$A$2:$D$31,2,FALSE)</f>
        <v>Bhubaneswar</v>
      </c>
      <c r="R45" s="1" t="str">
        <f ca="1">VLOOKUP(D45,Routes!$A$2:$D$31,3,FALSE)</f>
        <v>Kolkata</v>
      </c>
      <c r="S45" s="3">
        <f ca="1">VLOOKUP(D45,Routes!$A$2:$D$31,4,FALSE)</f>
        <v>440</v>
      </c>
      <c r="T45" s="3" t="str">
        <f ca="1">VLOOKUP(E45,Vehicles!$A$2:$D$21,2,FALSE)</f>
        <v>Trailer</v>
      </c>
      <c r="U45" s="3">
        <f ca="1">VLOOKUP(E45,Vehicles!$A$2:$D$21,3,FALSE)</f>
        <v>28</v>
      </c>
      <c r="V45" s="3" t="str">
        <f ca="1">VLOOKUP(E45,Vehicles!$A$2:$D$21,4,FALSE)</f>
        <v>Diesel</v>
      </c>
      <c r="W45" s="3">
        <f ca="1">VLOOKUP(V45,Fuel_Rates!$A$2:$B$3,2,FALSE)</f>
        <v>95</v>
      </c>
      <c r="X45" s="3">
        <f t="shared" ca="1" si="12"/>
        <v>132.57</v>
      </c>
      <c r="Y45" s="3">
        <f t="shared" ca="1" si="13"/>
        <v>76761</v>
      </c>
      <c r="Z45" s="3" t="str">
        <f t="shared" ca="1" si="14"/>
        <v>Nov</v>
      </c>
      <c r="AA45" s="3" t="str">
        <f t="shared" ca="1" si="15"/>
        <v>Q4</v>
      </c>
      <c r="AB45" s="4" t="str">
        <f t="shared" ca="1" si="16"/>
        <v>Medium Haul</v>
      </c>
    </row>
    <row r="46" spans="1:28" x14ac:dyDescent="0.3">
      <c r="A46" s="8" t="str">
        <f t="shared" si="11"/>
        <v>S0045</v>
      </c>
      <c r="B46" s="3">
        <f t="shared" ca="1" si="0"/>
        <v>46009</v>
      </c>
      <c r="C46" s="3" t="str">
        <f ca="1">INDEX(Customers!$A$2:$A$21,RANDBETWEEN(1,20))</f>
        <v>C002</v>
      </c>
      <c r="D46" s="3" t="str">
        <f ca="1">INDEX(Routes!$A$2:$A$31,RANDBETWEEN(1,30))</f>
        <v>R010</v>
      </c>
      <c r="E46" s="3" t="str">
        <f ca="1">INDEX(Vehicles!$A$2:$A$21,RANDBETWEEN(1,20))</f>
        <v>V020</v>
      </c>
      <c r="F46" s="3" t="str">
        <f ca="1">INDEX(Drivers!$A$2:$A$31,RANDBETWEEN(1,30))</f>
        <v>D024</v>
      </c>
      <c r="G46" s="3">
        <f t="shared" ca="1" si="1"/>
        <v>20.9</v>
      </c>
      <c r="H46" s="3">
        <f t="shared" ca="1" si="2"/>
        <v>49492</v>
      </c>
      <c r="I46" s="3">
        <f t="shared" ca="1" si="3"/>
        <v>13858</v>
      </c>
      <c r="J46" s="3">
        <f t="shared" ca="1" si="4"/>
        <v>2511</v>
      </c>
      <c r="K46" s="3">
        <f t="shared" ca="1" si="5"/>
        <v>35</v>
      </c>
      <c r="L46" s="3">
        <f t="shared" ca="1" si="6"/>
        <v>41</v>
      </c>
      <c r="M46" s="3">
        <f t="shared" ca="1" si="7"/>
        <v>6</v>
      </c>
      <c r="N46" s="3" t="str">
        <f t="shared" ca="1" si="8"/>
        <v>Delayed</v>
      </c>
      <c r="O46" s="3" t="str">
        <f t="shared" ca="1" si="9"/>
        <v>High</v>
      </c>
      <c r="P46" s="3">
        <f t="shared" ca="1" si="10"/>
        <v>69.7</v>
      </c>
      <c r="Q46" s="1" t="str">
        <f ca="1">VLOOKUP(D46,Routes!$A$2:$D$31,2,FALSE)</f>
        <v>Bengaluru</v>
      </c>
      <c r="R46" s="1" t="str">
        <f ca="1">VLOOKUP(D46,Routes!$A$2:$D$31,3,FALSE)</f>
        <v>Hyderabad</v>
      </c>
      <c r="S46" s="3">
        <f ca="1">VLOOKUP(D46,Routes!$A$2:$D$31,4,FALSE)</f>
        <v>570</v>
      </c>
      <c r="T46" s="3" t="str">
        <f ca="1">VLOOKUP(E46,Vehicles!$A$2:$D$21,2,FALSE)</f>
        <v>Container</v>
      </c>
      <c r="U46" s="3">
        <f ca="1">VLOOKUP(E46,Vehicles!$A$2:$D$21,3,FALSE)</f>
        <v>28</v>
      </c>
      <c r="V46" s="3" t="str">
        <f ca="1">VLOOKUP(E46,Vehicles!$A$2:$D$21,4,FALSE)</f>
        <v>Diesel</v>
      </c>
      <c r="W46" s="3">
        <f ca="1">VLOOKUP(V46,Fuel_Rates!$A$2:$B$3,2,FALSE)</f>
        <v>95</v>
      </c>
      <c r="X46" s="3">
        <f t="shared" ca="1" si="12"/>
        <v>86.83</v>
      </c>
      <c r="Y46" s="3">
        <f t="shared" ca="1" si="13"/>
        <v>65861</v>
      </c>
      <c r="Z46" s="3" t="str">
        <f t="shared" ca="1" si="14"/>
        <v>Dec</v>
      </c>
      <c r="AA46" s="3" t="str">
        <f t="shared" ca="1" si="15"/>
        <v>Q4</v>
      </c>
      <c r="AB46" s="4" t="str">
        <f t="shared" ca="1" si="16"/>
        <v>Medium Haul</v>
      </c>
    </row>
    <row r="47" spans="1:28" x14ac:dyDescent="0.3">
      <c r="A47" s="8" t="str">
        <f t="shared" si="11"/>
        <v>S0046</v>
      </c>
      <c r="B47" s="3">
        <f t="shared" ca="1" si="0"/>
        <v>45752</v>
      </c>
      <c r="C47" s="3" t="str">
        <f ca="1">INDEX(Customers!$A$2:$A$21,RANDBETWEEN(1,20))</f>
        <v>C007</v>
      </c>
      <c r="D47" s="3" t="str">
        <f ca="1">INDEX(Routes!$A$2:$A$31,RANDBETWEEN(1,30))</f>
        <v>R019</v>
      </c>
      <c r="E47" s="3" t="str">
        <f ca="1">INDEX(Vehicles!$A$2:$A$21,RANDBETWEEN(1,20))</f>
        <v>V001</v>
      </c>
      <c r="F47" s="3" t="str">
        <f ca="1">INDEX(Drivers!$A$2:$A$31,RANDBETWEEN(1,30))</f>
        <v>D003</v>
      </c>
      <c r="G47" s="3">
        <f t="shared" ca="1" si="1"/>
        <v>14.2</v>
      </c>
      <c r="H47" s="3">
        <f t="shared" ca="1" si="2"/>
        <v>33928</v>
      </c>
      <c r="I47" s="3">
        <f t="shared" ca="1" si="3"/>
        <v>9500</v>
      </c>
      <c r="J47" s="3">
        <f t="shared" ca="1" si="4"/>
        <v>1334</v>
      </c>
      <c r="K47" s="3">
        <f t="shared" ca="1" si="5"/>
        <v>48</v>
      </c>
      <c r="L47" s="3">
        <f t="shared" ca="1" si="6"/>
        <v>48</v>
      </c>
      <c r="M47" s="3">
        <f t="shared" ca="1" si="7"/>
        <v>0</v>
      </c>
      <c r="N47" s="3" t="str">
        <f t="shared" ca="1" si="8"/>
        <v>On Time</v>
      </c>
      <c r="O47" s="3" t="str">
        <f t="shared" ca="1" si="9"/>
        <v>Medium</v>
      </c>
      <c r="P47" s="3">
        <f t="shared" ca="1" si="10"/>
        <v>47.3</v>
      </c>
      <c r="Q47" s="1" t="str">
        <f ca="1">VLOOKUP(D47,Routes!$A$2:$D$31,2,FALSE)</f>
        <v>Ahmedabad</v>
      </c>
      <c r="R47" s="1" t="str">
        <f ca="1">VLOOKUP(D47,Routes!$A$2:$D$31,3,FALSE)</f>
        <v>Indore</v>
      </c>
      <c r="S47" s="3">
        <f ca="1">VLOOKUP(D47,Routes!$A$2:$D$31,4,FALSE)</f>
        <v>390</v>
      </c>
      <c r="T47" s="3" t="str">
        <f ca="1">VLOOKUP(E47,Vehicles!$A$2:$D$21,2,FALSE)</f>
        <v>Truck</v>
      </c>
      <c r="U47" s="3">
        <f ca="1">VLOOKUP(E47,Vehicles!$A$2:$D$21,3,FALSE)</f>
        <v>16</v>
      </c>
      <c r="V47" s="3" t="str">
        <f ca="1">VLOOKUP(E47,Vehicles!$A$2:$D$21,4,FALSE)</f>
        <v>Diesel</v>
      </c>
      <c r="W47" s="3">
        <f ca="1">VLOOKUP(V47,Fuel_Rates!$A$2:$B$3,2,FALSE)</f>
        <v>95</v>
      </c>
      <c r="X47" s="3">
        <f t="shared" ca="1" si="12"/>
        <v>86.99</v>
      </c>
      <c r="Y47" s="3">
        <f t="shared" ca="1" si="13"/>
        <v>44762</v>
      </c>
      <c r="Z47" s="3" t="str">
        <f t="shared" ca="1" si="14"/>
        <v>Apr</v>
      </c>
      <c r="AA47" s="3" t="str">
        <f t="shared" ca="1" si="15"/>
        <v>Q2</v>
      </c>
      <c r="AB47" s="4" t="str">
        <f t="shared" ca="1" si="16"/>
        <v>Medium Haul</v>
      </c>
    </row>
    <row r="48" spans="1:28" x14ac:dyDescent="0.3">
      <c r="A48" s="8" t="str">
        <f t="shared" si="11"/>
        <v>S0047</v>
      </c>
      <c r="B48" s="3">
        <f t="shared" ca="1" si="0"/>
        <v>45744</v>
      </c>
      <c r="C48" s="3" t="str">
        <f ca="1">INDEX(Customers!$A$2:$A$21,RANDBETWEEN(1,20))</f>
        <v>C010</v>
      </c>
      <c r="D48" s="3" t="str">
        <f ca="1">INDEX(Routes!$A$2:$A$31,RANDBETWEEN(1,30))</f>
        <v>R022</v>
      </c>
      <c r="E48" s="3" t="str">
        <f ca="1">INDEX(Vehicles!$A$2:$A$21,RANDBETWEEN(1,20))</f>
        <v>V019</v>
      </c>
      <c r="F48" s="3" t="str">
        <f ca="1">INDEX(Drivers!$A$2:$A$31,RANDBETWEEN(1,30))</f>
        <v>D020</v>
      </c>
      <c r="G48" s="3">
        <f t="shared" ca="1" si="1"/>
        <v>6.4</v>
      </c>
      <c r="H48" s="3">
        <f t="shared" ca="1" si="2"/>
        <v>14914</v>
      </c>
      <c r="I48" s="3">
        <f t="shared" ca="1" si="3"/>
        <v>4176</v>
      </c>
      <c r="J48" s="3">
        <f t="shared" ca="1" si="4"/>
        <v>3158</v>
      </c>
      <c r="K48" s="3">
        <f t="shared" ca="1" si="5"/>
        <v>6</v>
      </c>
      <c r="L48" s="3">
        <f t="shared" ca="1" si="6"/>
        <v>14</v>
      </c>
      <c r="M48" s="3">
        <f t="shared" ca="1" si="7"/>
        <v>8</v>
      </c>
      <c r="N48" s="3" t="str">
        <f t="shared" ca="1" si="8"/>
        <v>Delayed</v>
      </c>
      <c r="O48" s="3" t="str">
        <f t="shared" ca="1" si="9"/>
        <v>Medium</v>
      </c>
      <c r="P48" s="3">
        <f t="shared" ca="1" si="10"/>
        <v>21.3</v>
      </c>
      <c r="Q48" s="1" t="str">
        <f ca="1">VLOOKUP(D48,Routes!$A$2:$D$31,2,FALSE)</f>
        <v>Jaipur</v>
      </c>
      <c r="R48" s="1" t="str">
        <f ca="1">VLOOKUP(D48,Routes!$A$2:$D$31,3,FALSE)</f>
        <v>Indore</v>
      </c>
      <c r="S48" s="3">
        <f ca="1">VLOOKUP(D48,Routes!$A$2:$D$31,4,FALSE)</f>
        <v>600</v>
      </c>
      <c r="T48" s="3" t="str">
        <f ca="1">VLOOKUP(E48,Vehicles!$A$2:$D$21,2,FALSE)</f>
        <v>Trailer</v>
      </c>
      <c r="U48" s="3">
        <f ca="1">VLOOKUP(E48,Vehicles!$A$2:$D$21,3,FALSE)</f>
        <v>35</v>
      </c>
      <c r="V48" s="3" t="str">
        <f ca="1">VLOOKUP(E48,Vehicles!$A$2:$D$21,4,FALSE)</f>
        <v>Diesel</v>
      </c>
      <c r="W48" s="3">
        <f ca="1">VLOOKUP(V48,Fuel_Rates!$A$2:$B$3,2,FALSE)</f>
        <v>95</v>
      </c>
      <c r="X48" s="3">
        <f t="shared" ca="1" si="12"/>
        <v>24.86</v>
      </c>
      <c r="Y48" s="3">
        <f t="shared" ca="1" si="13"/>
        <v>22248</v>
      </c>
      <c r="Z48" s="3" t="str">
        <f t="shared" ca="1" si="14"/>
        <v>Mar</v>
      </c>
      <c r="AA48" s="3" t="str">
        <f t="shared" ca="1" si="15"/>
        <v>Q1</v>
      </c>
      <c r="AB48" s="4" t="str">
        <f t="shared" ca="1" si="16"/>
        <v>Medium Haul</v>
      </c>
    </row>
    <row r="49" spans="1:28" x14ac:dyDescent="0.3">
      <c r="A49" s="8" t="str">
        <f t="shared" si="11"/>
        <v>S0048</v>
      </c>
      <c r="B49" s="3">
        <f t="shared" ca="1" si="0"/>
        <v>45927</v>
      </c>
      <c r="C49" s="3" t="str">
        <f ca="1">INDEX(Customers!$A$2:$A$21,RANDBETWEEN(1,20))</f>
        <v>C001</v>
      </c>
      <c r="D49" s="3" t="str">
        <f ca="1">INDEX(Routes!$A$2:$A$31,RANDBETWEEN(1,30))</f>
        <v>R016</v>
      </c>
      <c r="E49" s="3" t="str">
        <f ca="1">INDEX(Vehicles!$A$2:$A$21,RANDBETWEEN(1,20))</f>
        <v>V017</v>
      </c>
      <c r="F49" s="3" t="str">
        <f ca="1">INDEX(Drivers!$A$2:$A$31,RANDBETWEEN(1,30))</f>
        <v>D010</v>
      </c>
      <c r="G49" s="3">
        <f t="shared" ca="1" si="1"/>
        <v>20.7</v>
      </c>
      <c r="H49" s="3">
        <f t="shared" ca="1" si="2"/>
        <v>43156</v>
      </c>
      <c r="I49" s="3">
        <f t="shared" ca="1" si="3"/>
        <v>12084</v>
      </c>
      <c r="J49" s="3">
        <f t="shared" ca="1" si="4"/>
        <v>953</v>
      </c>
      <c r="K49" s="3">
        <f t="shared" ca="1" si="5"/>
        <v>48</v>
      </c>
      <c r="L49" s="3">
        <f t="shared" ca="1" si="6"/>
        <v>50</v>
      </c>
      <c r="M49" s="3">
        <f t="shared" ca="1" si="7"/>
        <v>2</v>
      </c>
      <c r="N49" s="3" t="str">
        <f t="shared" ca="1" si="8"/>
        <v>On Time</v>
      </c>
      <c r="O49" s="3" t="str">
        <f t="shared" ca="1" si="9"/>
        <v>Low</v>
      </c>
      <c r="P49" s="3">
        <f t="shared" ca="1" si="10"/>
        <v>69</v>
      </c>
      <c r="Q49" s="1" t="str">
        <f ca="1">VLOOKUP(D49,Routes!$A$2:$D$31,2,FALSE)</f>
        <v>Kolkata</v>
      </c>
      <c r="R49" s="1" t="str">
        <f ca="1">VLOOKUP(D49,Routes!$A$2:$D$31,3,FALSE)</f>
        <v>Bhubaneswar</v>
      </c>
      <c r="S49" s="3">
        <f ca="1">VLOOKUP(D49,Routes!$A$2:$D$31,4,FALSE)</f>
        <v>440</v>
      </c>
      <c r="T49" s="3" t="str">
        <f ca="1">VLOOKUP(E49,Vehicles!$A$2:$D$21,2,FALSE)</f>
        <v>Truck</v>
      </c>
      <c r="U49" s="3">
        <f ca="1">VLOOKUP(E49,Vehicles!$A$2:$D$21,3,FALSE)</f>
        <v>24</v>
      </c>
      <c r="V49" s="3" t="str">
        <f ca="1">VLOOKUP(E49,Vehicles!$A$2:$D$21,4,FALSE)</f>
        <v>Diesel</v>
      </c>
      <c r="W49" s="3">
        <f ca="1">VLOOKUP(V49,Fuel_Rates!$A$2:$B$3,2,FALSE)</f>
        <v>95</v>
      </c>
      <c r="X49" s="3">
        <f t="shared" ca="1" si="12"/>
        <v>98.08</v>
      </c>
      <c r="Y49" s="3">
        <f t="shared" ca="1" si="13"/>
        <v>56193</v>
      </c>
      <c r="Z49" s="3" t="str">
        <f t="shared" ca="1" si="14"/>
        <v>Sep</v>
      </c>
      <c r="AA49" s="3" t="str">
        <f t="shared" ca="1" si="15"/>
        <v>Q3</v>
      </c>
      <c r="AB49" s="4" t="str">
        <f t="shared" ca="1" si="16"/>
        <v>Medium Haul</v>
      </c>
    </row>
    <row r="50" spans="1:28" x14ac:dyDescent="0.3">
      <c r="A50" s="8" t="str">
        <f t="shared" si="11"/>
        <v>S0049</v>
      </c>
      <c r="B50" s="3">
        <f t="shared" ca="1" si="0"/>
        <v>45794</v>
      </c>
      <c r="C50" s="3" t="str">
        <f ca="1">INDEX(Customers!$A$2:$A$21,RANDBETWEEN(1,20))</f>
        <v>C009</v>
      </c>
      <c r="D50" s="3" t="str">
        <f ca="1">INDEX(Routes!$A$2:$A$31,RANDBETWEEN(1,30))</f>
        <v>R022</v>
      </c>
      <c r="E50" s="3" t="str">
        <f ca="1">INDEX(Vehicles!$A$2:$A$21,RANDBETWEEN(1,20))</f>
        <v>V017</v>
      </c>
      <c r="F50" s="3" t="str">
        <f ca="1">INDEX(Drivers!$A$2:$A$31,RANDBETWEEN(1,30))</f>
        <v>D001</v>
      </c>
      <c r="G50" s="3">
        <f t="shared" ca="1" si="1"/>
        <v>15.2</v>
      </c>
      <c r="H50" s="3">
        <f t="shared" ca="1" si="2"/>
        <v>36520</v>
      </c>
      <c r="I50" s="3">
        <f t="shared" ca="1" si="3"/>
        <v>10226</v>
      </c>
      <c r="J50" s="3">
        <f t="shared" ca="1" si="4"/>
        <v>2772</v>
      </c>
      <c r="K50" s="3">
        <f t="shared" ca="1" si="5"/>
        <v>33</v>
      </c>
      <c r="L50" s="3">
        <f t="shared" ca="1" si="6"/>
        <v>36</v>
      </c>
      <c r="M50" s="3">
        <f t="shared" ca="1" si="7"/>
        <v>3</v>
      </c>
      <c r="N50" s="3" t="str">
        <f t="shared" ca="1" si="8"/>
        <v>Delayed</v>
      </c>
      <c r="O50" s="3" t="str">
        <f t="shared" ca="1" si="9"/>
        <v>High</v>
      </c>
      <c r="P50" s="3">
        <f t="shared" ca="1" si="10"/>
        <v>50.7</v>
      </c>
      <c r="Q50" s="1" t="str">
        <f ca="1">VLOOKUP(D50,Routes!$A$2:$D$31,2,FALSE)</f>
        <v>Jaipur</v>
      </c>
      <c r="R50" s="1" t="str">
        <f ca="1">VLOOKUP(D50,Routes!$A$2:$D$31,3,FALSE)</f>
        <v>Indore</v>
      </c>
      <c r="S50" s="3">
        <f ca="1">VLOOKUP(D50,Routes!$A$2:$D$31,4,FALSE)</f>
        <v>600</v>
      </c>
      <c r="T50" s="3" t="str">
        <f ca="1">VLOOKUP(E50,Vehicles!$A$2:$D$21,2,FALSE)</f>
        <v>Truck</v>
      </c>
      <c r="U50" s="3">
        <f ca="1">VLOOKUP(E50,Vehicles!$A$2:$D$21,3,FALSE)</f>
        <v>24</v>
      </c>
      <c r="V50" s="3" t="str">
        <f ca="1">VLOOKUP(E50,Vehicles!$A$2:$D$21,4,FALSE)</f>
        <v>Diesel</v>
      </c>
      <c r="W50" s="3">
        <f ca="1">VLOOKUP(V50,Fuel_Rates!$A$2:$B$3,2,FALSE)</f>
        <v>95</v>
      </c>
      <c r="X50" s="3">
        <f t="shared" ca="1" si="12"/>
        <v>60.87</v>
      </c>
      <c r="Y50" s="3">
        <f t="shared" ca="1" si="13"/>
        <v>49518</v>
      </c>
      <c r="Z50" s="3" t="str">
        <f t="shared" ca="1" si="14"/>
        <v>May</v>
      </c>
      <c r="AA50" s="3" t="str">
        <f t="shared" ca="1" si="15"/>
        <v>Q2</v>
      </c>
      <c r="AB50" s="4" t="str">
        <f t="shared" ca="1" si="16"/>
        <v>Medium Haul</v>
      </c>
    </row>
    <row r="51" spans="1:28" x14ac:dyDescent="0.3">
      <c r="A51" s="8" t="str">
        <f t="shared" si="11"/>
        <v>S0050</v>
      </c>
      <c r="B51" s="3">
        <f t="shared" ca="1" si="0"/>
        <v>45738</v>
      </c>
      <c r="C51" s="3" t="str">
        <f ca="1">INDEX(Customers!$A$2:$A$21,RANDBETWEEN(1,20))</f>
        <v>C006</v>
      </c>
      <c r="D51" s="3" t="str">
        <f ca="1">INDEX(Routes!$A$2:$A$31,RANDBETWEEN(1,30))</f>
        <v>R013</v>
      </c>
      <c r="E51" s="3" t="str">
        <f ca="1">INDEX(Vehicles!$A$2:$A$21,RANDBETWEEN(1,20))</f>
        <v>V018</v>
      </c>
      <c r="F51" s="3" t="str">
        <f ca="1">INDEX(Drivers!$A$2:$A$31,RANDBETWEEN(1,30))</f>
        <v>D022</v>
      </c>
      <c r="G51" s="3">
        <f t="shared" ca="1" si="1"/>
        <v>11.2</v>
      </c>
      <c r="H51" s="3">
        <f t="shared" ca="1" si="2"/>
        <v>32629</v>
      </c>
      <c r="I51" s="3">
        <f t="shared" ca="1" si="3"/>
        <v>9136</v>
      </c>
      <c r="J51" s="3">
        <f t="shared" ca="1" si="4"/>
        <v>1408</v>
      </c>
      <c r="K51" s="3">
        <f t="shared" ca="1" si="5"/>
        <v>46</v>
      </c>
      <c r="L51" s="3">
        <f t="shared" ca="1" si="6"/>
        <v>49</v>
      </c>
      <c r="M51" s="3">
        <f t="shared" ca="1" si="7"/>
        <v>3</v>
      </c>
      <c r="N51" s="3" t="str">
        <f t="shared" ca="1" si="8"/>
        <v>Delayed</v>
      </c>
      <c r="O51" s="3" t="str">
        <f t="shared" ca="1" si="9"/>
        <v>Medium</v>
      </c>
      <c r="P51" s="3">
        <f t="shared" ca="1" si="10"/>
        <v>37.299999999999997</v>
      </c>
      <c r="Q51" s="1" t="str">
        <f ca="1">VLOOKUP(D51,Routes!$A$2:$D$31,2,FALSE)</f>
        <v>Chennai</v>
      </c>
      <c r="R51" s="1" t="str">
        <f ca="1">VLOOKUP(D51,Routes!$A$2:$D$31,3,FALSE)</f>
        <v>Hyderabad</v>
      </c>
      <c r="S51" s="3">
        <f ca="1">VLOOKUP(D51,Routes!$A$2:$D$31,4,FALSE)</f>
        <v>630</v>
      </c>
      <c r="T51" s="3" t="str">
        <f ca="1">VLOOKUP(E51,Vehicles!$A$2:$D$21,2,FALSE)</f>
        <v>Truck</v>
      </c>
      <c r="U51" s="3">
        <f ca="1">VLOOKUP(E51,Vehicles!$A$2:$D$21,3,FALSE)</f>
        <v>26</v>
      </c>
      <c r="V51" s="3" t="str">
        <f ca="1">VLOOKUP(E51,Vehicles!$A$2:$D$21,4,FALSE)</f>
        <v>Diesel</v>
      </c>
      <c r="W51" s="3">
        <f ca="1">VLOOKUP(V51,Fuel_Rates!$A$2:$B$3,2,FALSE)</f>
        <v>95</v>
      </c>
      <c r="X51" s="3">
        <f t="shared" ca="1" si="12"/>
        <v>51.79</v>
      </c>
      <c r="Y51" s="3">
        <f t="shared" ca="1" si="13"/>
        <v>43173</v>
      </c>
      <c r="Z51" s="3" t="str">
        <f t="shared" ca="1" si="14"/>
        <v>Mar</v>
      </c>
      <c r="AA51" s="3" t="str">
        <f t="shared" ca="1" si="15"/>
        <v>Q1</v>
      </c>
      <c r="AB51" s="4" t="str">
        <f t="shared" ca="1" si="16"/>
        <v>Medium Haul</v>
      </c>
    </row>
    <row r="52" spans="1:28" x14ac:dyDescent="0.3">
      <c r="A52" s="8" t="str">
        <f t="shared" si="11"/>
        <v>S0051</v>
      </c>
      <c r="B52" s="3">
        <f t="shared" ca="1" si="0"/>
        <v>45742</v>
      </c>
      <c r="C52" s="3" t="str">
        <f ca="1">INDEX(Customers!$A$2:$A$21,RANDBETWEEN(1,20))</f>
        <v>C012</v>
      </c>
      <c r="D52" s="3" t="str">
        <f ca="1">INDEX(Routes!$A$2:$A$31,RANDBETWEEN(1,30))</f>
        <v>R012</v>
      </c>
      <c r="E52" s="3" t="str">
        <f ca="1">INDEX(Vehicles!$A$2:$A$21,RANDBETWEEN(1,20))</f>
        <v>V005</v>
      </c>
      <c r="F52" s="3" t="str">
        <f ca="1">INDEX(Drivers!$A$2:$A$31,RANDBETWEEN(1,30))</f>
        <v>D004</v>
      </c>
      <c r="G52" s="3">
        <f t="shared" ca="1" si="1"/>
        <v>25.4</v>
      </c>
      <c r="H52" s="3">
        <f t="shared" ca="1" si="2"/>
        <v>50943</v>
      </c>
      <c r="I52" s="3">
        <f t="shared" ca="1" si="3"/>
        <v>14264</v>
      </c>
      <c r="J52" s="3">
        <f t="shared" ca="1" si="4"/>
        <v>2753</v>
      </c>
      <c r="K52" s="3">
        <f t="shared" ca="1" si="5"/>
        <v>21</v>
      </c>
      <c r="L52" s="3">
        <f t="shared" ca="1" si="6"/>
        <v>28</v>
      </c>
      <c r="M52" s="3">
        <f t="shared" ca="1" si="7"/>
        <v>7</v>
      </c>
      <c r="N52" s="3" t="str">
        <f t="shared" ca="1" si="8"/>
        <v>Delayed</v>
      </c>
      <c r="O52" s="3" t="str">
        <f t="shared" ca="1" si="9"/>
        <v>Medium</v>
      </c>
      <c r="P52" s="3">
        <f t="shared" ca="1" si="10"/>
        <v>84.7</v>
      </c>
      <c r="Q52" s="1" t="str">
        <f ca="1">VLOOKUP(D52,Routes!$A$2:$D$31,2,FALSE)</f>
        <v>Chennai</v>
      </c>
      <c r="R52" s="1" t="str">
        <f ca="1">VLOOKUP(D52,Routes!$A$2:$D$31,3,FALSE)</f>
        <v>Coimbatore</v>
      </c>
      <c r="S52" s="3">
        <f ca="1">VLOOKUP(D52,Routes!$A$2:$D$31,4,FALSE)</f>
        <v>500</v>
      </c>
      <c r="T52" s="3" t="str">
        <f ca="1">VLOOKUP(E52,Vehicles!$A$2:$D$21,2,FALSE)</f>
        <v>Trailer</v>
      </c>
      <c r="U52" s="3">
        <f ca="1">VLOOKUP(E52,Vehicles!$A$2:$D$21,3,FALSE)</f>
        <v>32</v>
      </c>
      <c r="V52" s="3" t="str">
        <f ca="1">VLOOKUP(E52,Vehicles!$A$2:$D$21,4,FALSE)</f>
        <v>Diesel</v>
      </c>
      <c r="W52" s="3">
        <f ca="1">VLOOKUP(V52,Fuel_Rates!$A$2:$B$3,2,FALSE)</f>
        <v>95</v>
      </c>
      <c r="X52" s="3">
        <f t="shared" ca="1" si="12"/>
        <v>101.89</v>
      </c>
      <c r="Y52" s="3">
        <f t="shared" ca="1" si="13"/>
        <v>67960</v>
      </c>
      <c r="Z52" s="3" t="str">
        <f t="shared" ca="1" si="14"/>
        <v>Mar</v>
      </c>
      <c r="AA52" s="3" t="str">
        <f t="shared" ca="1" si="15"/>
        <v>Q1</v>
      </c>
      <c r="AB52" s="4" t="str">
        <f t="shared" ca="1" si="16"/>
        <v>Medium Haul</v>
      </c>
    </row>
    <row r="53" spans="1:28" x14ac:dyDescent="0.3">
      <c r="A53" s="8" t="str">
        <f t="shared" si="11"/>
        <v>S0052</v>
      </c>
      <c r="B53" s="3">
        <f t="shared" ca="1" si="0"/>
        <v>45876</v>
      </c>
      <c r="C53" s="3" t="str">
        <f ca="1">INDEX(Customers!$A$2:$A$21,RANDBETWEEN(1,20))</f>
        <v>C020</v>
      </c>
      <c r="D53" s="3" t="str">
        <f ca="1">INDEX(Routes!$A$2:$A$31,RANDBETWEEN(1,30))</f>
        <v>R020</v>
      </c>
      <c r="E53" s="3" t="str">
        <f ca="1">INDEX(Vehicles!$A$2:$A$21,RANDBETWEEN(1,20))</f>
        <v>V018</v>
      </c>
      <c r="F53" s="3" t="str">
        <f ca="1">INDEX(Drivers!$A$2:$A$31,RANDBETWEEN(1,30))</f>
        <v>D017</v>
      </c>
      <c r="G53" s="3">
        <f t="shared" ca="1" si="1"/>
        <v>20.6</v>
      </c>
      <c r="H53" s="3">
        <f t="shared" ca="1" si="2"/>
        <v>49893</v>
      </c>
      <c r="I53" s="3">
        <f t="shared" ca="1" si="3"/>
        <v>13970</v>
      </c>
      <c r="J53" s="3">
        <f t="shared" ca="1" si="4"/>
        <v>836</v>
      </c>
      <c r="K53" s="3">
        <f t="shared" ca="1" si="5"/>
        <v>6</v>
      </c>
      <c r="L53" s="3">
        <f t="shared" ca="1" si="6"/>
        <v>14</v>
      </c>
      <c r="M53" s="3">
        <f t="shared" ca="1" si="7"/>
        <v>8</v>
      </c>
      <c r="N53" s="3" t="str">
        <f t="shared" ca="1" si="8"/>
        <v>Delayed</v>
      </c>
      <c r="O53" s="3" t="str">
        <f t="shared" ca="1" si="9"/>
        <v>High</v>
      </c>
      <c r="P53" s="3">
        <f t="shared" ca="1" si="10"/>
        <v>68.7</v>
      </c>
      <c r="Q53" s="1" t="str">
        <f ca="1">VLOOKUP(D53,Routes!$A$2:$D$31,2,FALSE)</f>
        <v>Pune</v>
      </c>
      <c r="R53" s="1" t="str">
        <f ca="1">VLOOKUP(D53,Routes!$A$2:$D$31,3,FALSE)</f>
        <v>Nagpur</v>
      </c>
      <c r="S53" s="3">
        <f ca="1">VLOOKUP(D53,Routes!$A$2:$D$31,4,FALSE)</f>
        <v>720</v>
      </c>
      <c r="T53" s="3" t="str">
        <f ca="1">VLOOKUP(E53,Vehicles!$A$2:$D$21,2,FALSE)</f>
        <v>Truck</v>
      </c>
      <c r="U53" s="3">
        <f ca="1">VLOOKUP(E53,Vehicles!$A$2:$D$21,3,FALSE)</f>
        <v>26</v>
      </c>
      <c r="V53" s="3" t="str">
        <f ca="1">VLOOKUP(E53,Vehicles!$A$2:$D$21,4,FALSE)</f>
        <v>Diesel</v>
      </c>
      <c r="W53" s="3">
        <f ca="1">VLOOKUP(V53,Fuel_Rates!$A$2:$B$3,2,FALSE)</f>
        <v>95</v>
      </c>
      <c r="X53" s="3">
        <f t="shared" ca="1" si="12"/>
        <v>69.3</v>
      </c>
      <c r="Y53" s="3">
        <f t="shared" ca="1" si="13"/>
        <v>64699</v>
      </c>
      <c r="Z53" s="3" t="str">
        <f t="shared" ca="1" si="14"/>
        <v>Aug</v>
      </c>
      <c r="AA53" s="3" t="str">
        <f t="shared" ca="1" si="15"/>
        <v>Q3</v>
      </c>
      <c r="AB53" s="4" t="str">
        <f t="shared" ca="1" si="16"/>
        <v>Medium Haul</v>
      </c>
    </row>
    <row r="54" spans="1:28" x14ac:dyDescent="0.3">
      <c r="A54" s="8" t="str">
        <f t="shared" si="11"/>
        <v>S0053</v>
      </c>
      <c r="B54" s="3">
        <f t="shared" ca="1" si="0"/>
        <v>45835</v>
      </c>
      <c r="C54" s="3" t="str">
        <f ca="1">INDEX(Customers!$A$2:$A$21,RANDBETWEEN(1,20))</f>
        <v>C005</v>
      </c>
      <c r="D54" s="3" t="str">
        <f ca="1">INDEX(Routes!$A$2:$A$31,RANDBETWEEN(1,30))</f>
        <v>R028</v>
      </c>
      <c r="E54" s="3" t="str">
        <f ca="1">INDEX(Vehicles!$A$2:$A$21,RANDBETWEEN(1,20))</f>
        <v>V001</v>
      </c>
      <c r="F54" s="3" t="str">
        <f ca="1">INDEX(Drivers!$A$2:$A$31,RANDBETWEEN(1,30))</f>
        <v>D017</v>
      </c>
      <c r="G54" s="3">
        <f t="shared" ca="1" si="1"/>
        <v>15.6</v>
      </c>
      <c r="H54" s="3">
        <f t="shared" ca="1" si="2"/>
        <v>36498</v>
      </c>
      <c r="I54" s="3">
        <f t="shared" ca="1" si="3"/>
        <v>10219</v>
      </c>
      <c r="J54" s="3">
        <f t="shared" ca="1" si="4"/>
        <v>2208</v>
      </c>
      <c r="K54" s="3">
        <f t="shared" ca="1" si="5"/>
        <v>46</v>
      </c>
      <c r="L54" s="3">
        <f t="shared" ca="1" si="6"/>
        <v>52</v>
      </c>
      <c r="M54" s="3">
        <f t="shared" ca="1" si="7"/>
        <v>6</v>
      </c>
      <c r="N54" s="3" t="str">
        <f t="shared" ca="1" si="8"/>
        <v>Delayed</v>
      </c>
      <c r="O54" s="3" t="str">
        <f t="shared" ca="1" si="9"/>
        <v>Medium</v>
      </c>
      <c r="P54" s="3">
        <f t="shared" ca="1" si="10"/>
        <v>52</v>
      </c>
      <c r="Q54" s="1" t="str">
        <f ca="1">VLOOKUP(D54,Routes!$A$2:$D$31,2,FALSE)</f>
        <v>Indore</v>
      </c>
      <c r="R54" s="1" t="str">
        <f ca="1">VLOOKUP(D54,Routes!$A$2:$D$31,3,FALSE)</f>
        <v>Mumbai</v>
      </c>
      <c r="S54" s="3">
        <f ca="1">VLOOKUP(D54,Routes!$A$2:$D$31,4,FALSE)</f>
        <v>590</v>
      </c>
      <c r="T54" s="3" t="str">
        <f ca="1">VLOOKUP(E54,Vehicles!$A$2:$D$21,2,FALSE)</f>
        <v>Truck</v>
      </c>
      <c r="U54" s="3">
        <f ca="1">VLOOKUP(E54,Vehicles!$A$2:$D$21,3,FALSE)</f>
        <v>16</v>
      </c>
      <c r="V54" s="3" t="str">
        <f ca="1">VLOOKUP(E54,Vehicles!$A$2:$D$21,4,FALSE)</f>
        <v>Diesel</v>
      </c>
      <c r="W54" s="3">
        <f ca="1">VLOOKUP(V54,Fuel_Rates!$A$2:$B$3,2,FALSE)</f>
        <v>95</v>
      </c>
      <c r="X54" s="3">
        <f t="shared" ca="1" si="12"/>
        <v>61.86</v>
      </c>
      <c r="Y54" s="3">
        <f t="shared" ca="1" si="13"/>
        <v>48925</v>
      </c>
      <c r="Z54" s="3" t="str">
        <f t="shared" ca="1" si="14"/>
        <v>Jun</v>
      </c>
      <c r="AA54" s="3" t="str">
        <f t="shared" ca="1" si="15"/>
        <v>Q2</v>
      </c>
      <c r="AB54" s="4" t="str">
        <f t="shared" ca="1" si="16"/>
        <v>Medium Haul</v>
      </c>
    </row>
    <row r="55" spans="1:28" x14ac:dyDescent="0.3">
      <c r="A55" s="8" t="str">
        <f t="shared" si="11"/>
        <v>S0054</v>
      </c>
      <c r="B55" s="3">
        <f t="shared" ca="1" si="0"/>
        <v>45840</v>
      </c>
      <c r="C55" s="3" t="str">
        <f ca="1">INDEX(Customers!$A$2:$A$21,RANDBETWEEN(1,20))</f>
        <v>C001</v>
      </c>
      <c r="D55" s="3" t="str">
        <f ca="1">INDEX(Routes!$A$2:$A$31,RANDBETWEEN(1,30))</f>
        <v>R003</v>
      </c>
      <c r="E55" s="3" t="str">
        <f ca="1">INDEX(Vehicles!$A$2:$A$21,RANDBETWEEN(1,20))</f>
        <v>V015</v>
      </c>
      <c r="F55" s="3" t="str">
        <f ca="1">INDEX(Drivers!$A$2:$A$31,RANDBETWEEN(1,30))</f>
        <v>D009</v>
      </c>
      <c r="G55" s="3">
        <f t="shared" ca="1" si="1"/>
        <v>4.5</v>
      </c>
      <c r="H55" s="3">
        <f t="shared" ca="1" si="2"/>
        <v>19439</v>
      </c>
      <c r="I55" s="3">
        <f t="shared" ca="1" si="3"/>
        <v>5443</v>
      </c>
      <c r="J55" s="3">
        <f t="shared" ca="1" si="4"/>
        <v>754</v>
      </c>
      <c r="K55" s="3">
        <f t="shared" ca="1" si="5"/>
        <v>22</v>
      </c>
      <c r="L55" s="3">
        <f t="shared" ca="1" si="6"/>
        <v>25</v>
      </c>
      <c r="M55" s="3">
        <f t="shared" ca="1" si="7"/>
        <v>3</v>
      </c>
      <c r="N55" s="3" t="str">
        <f t="shared" ca="1" si="8"/>
        <v>Delayed</v>
      </c>
      <c r="O55" s="3" t="str">
        <f t="shared" ca="1" si="9"/>
        <v>Low</v>
      </c>
      <c r="P55" s="3">
        <f t="shared" ca="1" si="10"/>
        <v>15</v>
      </c>
      <c r="Q55" s="1" t="str">
        <f ca="1">VLOOKUP(D55,Routes!$A$2:$D$31,2,FALSE)</f>
        <v>Mumbai</v>
      </c>
      <c r="R55" s="1" t="str">
        <f ca="1">VLOOKUP(D55,Routes!$A$2:$D$31,3,FALSE)</f>
        <v>Delhi</v>
      </c>
      <c r="S55" s="3">
        <f ca="1">VLOOKUP(D55,Routes!$A$2:$D$31,4,FALSE)</f>
        <v>1450</v>
      </c>
      <c r="T55" s="3" t="str">
        <f ca="1">VLOOKUP(E55,Vehicles!$A$2:$D$21,2,FALSE)</f>
        <v>Trailer</v>
      </c>
      <c r="U55" s="3">
        <f ca="1">VLOOKUP(E55,Vehicles!$A$2:$D$21,3,FALSE)</f>
        <v>30</v>
      </c>
      <c r="V55" s="3" t="str">
        <f ca="1">VLOOKUP(E55,Vehicles!$A$2:$D$21,4,FALSE)</f>
        <v>Diesel</v>
      </c>
      <c r="W55" s="3">
        <f ca="1">VLOOKUP(V55,Fuel_Rates!$A$2:$B$3,2,FALSE)</f>
        <v>95</v>
      </c>
      <c r="X55" s="3">
        <f t="shared" ca="1" si="12"/>
        <v>13.41</v>
      </c>
      <c r="Y55" s="3">
        <f t="shared" ca="1" si="13"/>
        <v>25636</v>
      </c>
      <c r="Z55" s="3" t="str">
        <f t="shared" ca="1" si="14"/>
        <v>Jul</v>
      </c>
      <c r="AA55" s="3" t="str">
        <f t="shared" ca="1" si="15"/>
        <v>Q3</v>
      </c>
      <c r="AB55" s="4" t="str">
        <f t="shared" ca="1" si="16"/>
        <v>Long Haul</v>
      </c>
    </row>
    <row r="56" spans="1:28" x14ac:dyDescent="0.3">
      <c r="A56" s="8" t="str">
        <f t="shared" si="11"/>
        <v>S0055</v>
      </c>
      <c r="B56" s="3">
        <f t="shared" ca="1" si="0"/>
        <v>45782</v>
      </c>
      <c r="C56" s="3" t="str">
        <f ca="1">INDEX(Customers!$A$2:$A$21,RANDBETWEEN(1,20))</f>
        <v>C002</v>
      </c>
      <c r="D56" s="3" t="str">
        <f ca="1">INDEX(Routes!$A$2:$A$31,RANDBETWEEN(1,30))</f>
        <v>R010</v>
      </c>
      <c r="E56" s="3" t="str">
        <f ca="1">INDEX(Vehicles!$A$2:$A$21,RANDBETWEEN(1,20))</f>
        <v>V017</v>
      </c>
      <c r="F56" s="3" t="str">
        <f ca="1">INDEX(Drivers!$A$2:$A$31,RANDBETWEEN(1,30))</f>
        <v>D005</v>
      </c>
      <c r="G56" s="3">
        <f t="shared" ca="1" si="1"/>
        <v>2.2999999999999998</v>
      </c>
      <c r="H56" s="3">
        <f t="shared" ca="1" si="2"/>
        <v>9725</v>
      </c>
      <c r="I56" s="3">
        <f t="shared" ca="1" si="3"/>
        <v>2723</v>
      </c>
      <c r="J56" s="3">
        <f t="shared" ca="1" si="4"/>
        <v>3744</v>
      </c>
      <c r="K56" s="3">
        <f t="shared" ca="1" si="5"/>
        <v>16</v>
      </c>
      <c r="L56" s="3">
        <f t="shared" ca="1" si="6"/>
        <v>24</v>
      </c>
      <c r="M56" s="3">
        <f t="shared" ca="1" si="7"/>
        <v>8</v>
      </c>
      <c r="N56" s="3" t="str">
        <f t="shared" ca="1" si="8"/>
        <v>Delayed</v>
      </c>
      <c r="O56" s="3" t="str">
        <f t="shared" ca="1" si="9"/>
        <v>Medium</v>
      </c>
      <c r="P56" s="3">
        <f t="shared" ca="1" si="10"/>
        <v>7.7</v>
      </c>
      <c r="Q56" s="1" t="str">
        <f ca="1">VLOOKUP(D56,Routes!$A$2:$D$31,2,FALSE)</f>
        <v>Bengaluru</v>
      </c>
      <c r="R56" s="1" t="str">
        <f ca="1">VLOOKUP(D56,Routes!$A$2:$D$31,3,FALSE)</f>
        <v>Hyderabad</v>
      </c>
      <c r="S56" s="3">
        <f ca="1">VLOOKUP(D56,Routes!$A$2:$D$31,4,FALSE)</f>
        <v>570</v>
      </c>
      <c r="T56" s="3" t="str">
        <f ca="1">VLOOKUP(E56,Vehicles!$A$2:$D$21,2,FALSE)</f>
        <v>Truck</v>
      </c>
      <c r="U56" s="3">
        <f ca="1">VLOOKUP(E56,Vehicles!$A$2:$D$21,3,FALSE)</f>
        <v>24</v>
      </c>
      <c r="V56" s="3" t="str">
        <f ca="1">VLOOKUP(E56,Vehicles!$A$2:$D$21,4,FALSE)</f>
        <v>Diesel</v>
      </c>
      <c r="W56" s="3">
        <f ca="1">VLOOKUP(V56,Fuel_Rates!$A$2:$B$3,2,FALSE)</f>
        <v>95</v>
      </c>
      <c r="X56" s="3">
        <f t="shared" ca="1" si="12"/>
        <v>17.059999999999999</v>
      </c>
      <c r="Y56" s="3">
        <f t="shared" ca="1" si="13"/>
        <v>16192</v>
      </c>
      <c r="Z56" s="3" t="str">
        <f t="shared" ca="1" si="14"/>
        <v>May</v>
      </c>
      <c r="AA56" s="3" t="str">
        <f t="shared" ca="1" si="15"/>
        <v>Q2</v>
      </c>
      <c r="AB56" s="4" t="str">
        <f t="shared" ca="1" si="16"/>
        <v>Medium Haul</v>
      </c>
    </row>
    <row r="57" spans="1:28" x14ac:dyDescent="0.3">
      <c r="A57" s="8" t="str">
        <f t="shared" si="11"/>
        <v>S0056</v>
      </c>
      <c r="B57" s="3">
        <f t="shared" ca="1" si="0"/>
        <v>45815</v>
      </c>
      <c r="C57" s="3" t="str">
        <f ca="1">INDEX(Customers!$A$2:$A$21,RANDBETWEEN(1,20))</f>
        <v>C017</v>
      </c>
      <c r="D57" s="3" t="str">
        <f ca="1">INDEX(Routes!$A$2:$A$31,RANDBETWEEN(1,30))</f>
        <v>R006</v>
      </c>
      <c r="E57" s="3" t="str">
        <f ca="1">INDEX(Vehicles!$A$2:$A$21,RANDBETWEEN(1,20))</f>
        <v>V002</v>
      </c>
      <c r="F57" s="3" t="str">
        <f ca="1">INDEX(Drivers!$A$2:$A$31,RANDBETWEEN(1,30))</f>
        <v>D018</v>
      </c>
      <c r="G57" s="3">
        <f t="shared" ca="1" si="1"/>
        <v>23.3</v>
      </c>
      <c r="H57" s="3">
        <f t="shared" ca="1" si="2"/>
        <v>50031</v>
      </c>
      <c r="I57" s="3">
        <f t="shared" ca="1" si="3"/>
        <v>14009</v>
      </c>
      <c r="J57" s="3">
        <f t="shared" ca="1" si="4"/>
        <v>3117</v>
      </c>
      <c r="K57" s="3">
        <f t="shared" ca="1" si="5"/>
        <v>9</v>
      </c>
      <c r="L57" s="3">
        <f t="shared" ca="1" si="6"/>
        <v>10</v>
      </c>
      <c r="M57" s="3">
        <f t="shared" ca="1" si="7"/>
        <v>1</v>
      </c>
      <c r="N57" s="3" t="str">
        <f t="shared" ca="1" si="8"/>
        <v>On Time</v>
      </c>
      <c r="O57" s="3" t="str">
        <f t="shared" ca="1" si="9"/>
        <v>Low</v>
      </c>
      <c r="P57" s="3">
        <f t="shared" ca="1" si="10"/>
        <v>77.7</v>
      </c>
      <c r="Q57" s="1" t="str">
        <f ca="1">VLOOKUP(D57,Routes!$A$2:$D$31,2,FALSE)</f>
        <v>Delhi</v>
      </c>
      <c r="R57" s="1" t="str">
        <f ca="1">VLOOKUP(D57,Routes!$A$2:$D$31,3,FALSE)</f>
        <v>Lucknow</v>
      </c>
      <c r="S57" s="3">
        <f ca="1">VLOOKUP(D57,Routes!$A$2:$D$31,4,FALSE)</f>
        <v>550</v>
      </c>
      <c r="T57" s="3" t="str">
        <f ca="1">VLOOKUP(E57,Vehicles!$A$2:$D$21,2,FALSE)</f>
        <v>Truck</v>
      </c>
      <c r="U57" s="3">
        <f ca="1">VLOOKUP(E57,Vehicles!$A$2:$D$21,3,FALSE)</f>
        <v>20</v>
      </c>
      <c r="V57" s="3" t="str">
        <f ca="1">VLOOKUP(E57,Vehicles!$A$2:$D$21,4,FALSE)</f>
        <v>Diesel</v>
      </c>
      <c r="W57" s="3">
        <f ca="1">VLOOKUP(V57,Fuel_Rates!$A$2:$B$3,2,FALSE)</f>
        <v>95</v>
      </c>
      <c r="X57" s="3">
        <f t="shared" ca="1" si="12"/>
        <v>90.97</v>
      </c>
      <c r="Y57" s="3">
        <f t="shared" ca="1" si="13"/>
        <v>67157</v>
      </c>
      <c r="Z57" s="3" t="str">
        <f t="shared" ca="1" si="14"/>
        <v>Jun</v>
      </c>
      <c r="AA57" s="3" t="str">
        <f t="shared" ca="1" si="15"/>
        <v>Q2</v>
      </c>
      <c r="AB57" s="4" t="str">
        <f t="shared" ca="1" si="16"/>
        <v>Medium Haul</v>
      </c>
    </row>
    <row r="58" spans="1:28" x14ac:dyDescent="0.3">
      <c r="A58" s="8" t="str">
        <f t="shared" si="11"/>
        <v>S0057</v>
      </c>
      <c r="B58" s="3">
        <f t="shared" ca="1" si="0"/>
        <v>45907</v>
      </c>
      <c r="C58" s="3" t="str">
        <f ca="1">INDEX(Customers!$A$2:$A$21,RANDBETWEEN(1,20))</f>
        <v>C019</v>
      </c>
      <c r="D58" s="3" t="str">
        <f ca="1">INDEX(Routes!$A$2:$A$31,RANDBETWEEN(1,30))</f>
        <v>R021</v>
      </c>
      <c r="E58" s="3" t="str">
        <f ca="1">INDEX(Vehicles!$A$2:$A$21,RANDBETWEEN(1,20))</f>
        <v>V015</v>
      </c>
      <c r="F58" s="3" t="str">
        <f ca="1">INDEX(Drivers!$A$2:$A$31,RANDBETWEEN(1,30))</f>
        <v>D020</v>
      </c>
      <c r="G58" s="3">
        <f t="shared" ca="1" si="1"/>
        <v>14.1</v>
      </c>
      <c r="H58" s="3">
        <f t="shared" ca="1" si="2"/>
        <v>33576</v>
      </c>
      <c r="I58" s="3">
        <f t="shared" ca="1" si="3"/>
        <v>9401</v>
      </c>
      <c r="J58" s="3">
        <f t="shared" ca="1" si="4"/>
        <v>560</v>
      </c>
      <c r="K58" s="3">
        <f t="shared" ca="1" si="5"/>
        <v>25</v>
      </c>
      <c r="L58" s="3">
        <f t="shared" ca="1" si="6"/>
        <v>33</v>
      </c>
      <c r="M58" s="3">
        <f t="shared" ca="1" si="7"/>
        <v>8</v>
      </c>
      <c r="N58" s="3" t="str">
        <f t="shared" ca="1" si="8"/>
        <v>Delayed</v>
      </c>
      <c r="O58" s="3" t="str">
        <f t="shared" ca="1" si="9"/>
        <v>High</v>
      </c>
      <c r="P58" s="3">
        <f t="shared" ca="1" si="10"/>
        <v>47</v>
      </c>
      <c r="Q58" s="1" t="str">
        <f ca="1">VLOOKUP(D58,Routes!$A$2:$D$31,2,FALSE)</f>
        <v>Lucknow</v>
      </c>
      <c r="R58" s="1" t="str">
        <f ca="1">VLOOKUP(D58,Routes!$A$2:$D$31,3,FALSE)</f>
        <v>Kanpur</v>
      </c>
      <c r="S58" s="3">
        <f ca="1">VLOOKUP(D58,Routes!$A$2:$D$31,4,FALSE)</f>
        <v>90</v>
      </c>
      <c r="T58" s="3" t="str">
        <f ca="1">VLOOKUP(E58,Vehicles!$A$2:$D$21,2,FALSE)</f>
        <v>Trailer</v>
      </c>
      <c r="U58" s="3">
        <f ca="1">VLOOKUP(E58,Vehicles!$A$2:$D$21,3,FALSE)</f>
        <v>30</v>
      </c>
      <c r="V58" s="3" t="str">
        <f ca="1">VLOOKUP(E58,Vehicles!$A$2:$D$21,4,FALSE)</f>
        <v>Diesel</v>
      </c>
      <c r="W58" s="3">
        <f ca="1">VLOOKUP(V58,Fuel_Rates!$A$2:$B$3,2,FALSE)</f>
        <v>95</v>
      </c>
      <c r="X58" s="3">
        <f t="shared" ca="1" si="12"/>
        <v>373.07</v>
      </c>
      <c r="Y58" s="3">
        <f t="shared" ca="1" si="13"/>
        <v>43537</v>
      </c>
      <c r="Z58" s="3" t="str">
        <f t="shared" ca="1" si="14"/>
        <v>Sep</v>
      </c>
      <c r="AA58" s="3" t="str">
        <f t="shared" ca="1" si="15"/>
        <v>Q3</v>
      </c>
      <c r="AB58" s="4" t="str">
        <f t="shared" ca="1" si="16"/>
        <v>Short Haul</v>
      </c>
    </row>
    <row r="59" spans="1:28" x14ac:dyDescent="0.3">
      <c r="A59" s="8" t="str">
        <f t="shared" si="11"/>
        <v>S0058</v>
      </c>
      <c r="B59" s="3">
        <f t="shared" ca="1" si="0"/>
        <v>45780</v>
      </c>
      <c r="C59" s="3" t="str">
        <f ca="1">INDEX(Customers!$A$2:$A$21,RANDBETWEEN(1,20))</f>
        <v>C009</v>
      </c>
      <c r="D59" s="3" t="str">
        <f ca="1">INDEX(Routes!$A$2:$A$31,RANDBETWEEN(1,30))</f>
        <v>R008</v>
      </c>
      <c r="E59" s="3" t="str">
        <f ca="1">INDEX(Vehicles!$A$2:$A$21,RANDBETWEEN(1,20))</f>
        <v>V012</v>
      </c>
      <c r="F59" s="3" t="str">
        <f ca="1">INDEX(Drivers!$A$2:$A$31,RANDBETWEEN(1,30))</f>
        <v>D025</v>
      </c>
      <c r="G59" s="3">
        <f t="shared" ca="1" si="1"/>
        <v>28.4</v>
      </c>
      <c r="H59" s="3">
        <f t="shared" ca="1" si="2"/>
        <v>64595</v>
      </c>
      <c r="I59" s="3">
        <f t="shared" ca="1" si="3"/>
        <v>18087</v>
      </c>
      <c r="J59" s="3">
        <f t="shared" ca="1" si="4"/>
        <v>1993</v>
      </c>
      <c r="K59" s="3">
        <f t="shared" ca="1" si="5"/>
        <v>22</v>
      </c>
      <c r="L59" s="3">
        <f t="shared" ca="1" si="6"/>
        <v>28</v>
      </c>
      <c r="M59" s="3">
        <f t="shared" ca="1" si="7"/>
        <v>6</v>
      </c>
      <c r="N59" s="3" t="str">
        <f t="shared" ca="1" si="8"/>
        <v>Delayed</v>
      </c>
      <c r="O59" s="3" t="str">
        <f t="shared" ca="1" si="9"/>
        <v>High</v>
      </c>
      <c r="P59" s="3">
        <f t="shared" ca="1" si="10"/>
        <v>94.7</v>
      </c>
      <c r="Q59" s="1" t="str">
        <f ca="1">VLOOKUP(D59,Routes!$A$2:$D$31,2,FALSE)</f>
        <v>Delhi</v>
      </c>
      <c r="R59" s="1" t="str">
        <f ca="1">VLOOKUP(D59,Routes!$A$2:$D$31,3,FALSE)</f>
        <v>Kolkata</v>
      </c>
      <c r="S59" s="3">
        <f ca="1">VLOOKUP(D59,Routes!$A$2:$D$31,4,FALSE)</f>
        <v>1500</v>
      </c>
      <c r="T59" s="3" t="str">
        <f ca="1">VLOOKUP(E59,Vehicles!$A$2:$D$21,2,FALSE)</f>
        <v>Truck</v>
      </c>
      <c r="U59" s="3">
        <f ca="1">VLOOKUP(E59,Vehicles!$A$2:$D$21,3,FALSE)</f>
        <v>20</v>
      </c>
      <c r="V59" s="3" t="str">
        <f ca="1">VLOOKUP(E59,Vehicles!$A$2:$D$21,4,FALSE)</f>
        <v>CNG</v>
      </c>
      <c r="W59" s="3">
        <f ca="1">VLOOKUP(V59,Fuel_Rates!$A$2:$B$3,2,FALSE)</f>
        <v>78</v>
      </c>
      <c r="X59" s="3">
        <f t="shared" ca="1" si="12"/>
        <v>43.06</v>
      </c>
      <c r="Y59" s="3">
        <f t="shared" ca="1" si="13"/>
        <v>84675</v>
      </c>
      <c r="Z59" s="3" t="str">
        <f t="shared" ca="1" si="14"/>
        <v>May</v>
      </c>
      <c r="AA59" s="3" t="str">
        <f t="shared" ca="1" si="15"/>
        <v>Q2</v>
      </c>
      <c r="AB59" s="4" t="str">
        <f t="shared" ca="1" si="16"/>
        <v>Long Haul</v>
      </c>
    </row>
    <row r="60" spans="1:28" x14ac:dyDescent="0.3">
      <c r="A60" s="8" t="str">
        <f t="shared" si="11"/>
        <v>S0059</v>
      </c>
      <c r="B60" s="3">
        <f t="shared" ca="1" si="0"/>
        <v>45903</v>
      </c>
      <c r="C60" s="3" t="str">
        <f ca="1">INDEX(Customers!$A$2:$A$21,RANDBETWEEN(1,20))</f>
        <v>C006</v>
      </c>
      <c r="D60" s="3" t="str">
        <f ca="1">INDEX(Routes!$A$2:$A$31,RANDBETWEEN(1,30))</f>
        <v>R022</v>
      </c>
      <c r="E60" s="3" t="str">
        <f ca="1">INDEX(Vehicles!$A$2:$A$21,RANDBETWEEN(1,20))</f>
        <v>V017</v>
      </c>
      <c r="F60" s="3" t="str">
        <f ca="1">INDEX(Drivers!$A$2:$A$31,RANDBETWEEN(1,30))</f>
        <v>D028</v>
      </c>
      <c r="G60" s="3">
        <f t="shared" ca="1" si="1"/>
        <v>12</v>
      </c>
      <c r="H60" s="3">
        <f t="shared" ca="1" si="2"/>
        <v>27481</v>
      </c>
      <c r="I60" s="3">
        <f t="shared" ca="1" si="3"/>
        <v>7695</v>
      </c>
      <c r="J60" s="3">
        <f t="shared" ca="1" si="4"/>
        <v>1385</v>
      </c>
      <c r="K60" s="3">
        <f t="shared" ca="1" si="5"/>
        <v>12</v>
      </c>
      <c r="L60" s="3">
        <f t="shared" ca="1" si="6"/>
        <v>15</v>
      </c>
      <c r="M60" s="3">
        <f t="shared" ca="1" si="7"/>
        <v>3</v>
      </c>
      <c r="N60" s="3" t="str">
        <f t="shared" ca="1" si="8"/>
        <v>Delayed</v>
      </c>
      <c r="O60" s="3" t="str">
        <f t="shared" ca="1" si="9"/>
        <v>Low</v>
      </c>
      <c r="P60" s="3">
        <f t="shared" ca="1" si="10"/>
        <v>40</v>
      </c>
      <c r="Q60" s="1" t="str">
        <f ca="1">VLOOKUP(D60,Routes!$A$2:$D$31,2,FALSE)</f>
        <v>Jaipur</v>
      </c>
      <c r="R60" s="1" t="str">
        <f ca="1">VLOOKUP(D60,Routes!$A$2:$D$31,3,FALSE)</f>
        <v>Indore</v>
      </c>
      <c r="S60" s="3">
        <f ca="1">VLOOKUP(D60,Routes!$A$2:$D$31,4,FALSE)</f>
        <v>600</v>
      </c>
      <c r="T60" s="3" t="str">
        <f ca="1">VLOOKUP(E60,Vehicles!$A$2:$D$21,2,FALSE)</f>
        <v>Truck</v>
      </c>
      <c r="U60" s="3">
        <f ca="1">VLOOKUP(E60,Vehicles!$A$2:$D$21,3,FALSE)</f>
        <v>24</v>
      </c>
      <c r="V60" s="3" t="str">
        <f ca="1">VLOOKUP(E60,Vehicles!$A$2:$D$21,4,FALSE)</f>
        <v>Diesel</v>
      </c>
      <c r="W60" s="3">
        <f ca="1">VLOOKUP(V60,Fuel_Rates!$A$2:$B$3,2,FALSE)</f>
        <v>95</v>
      </c>
      <c r="X60" s="3">
        <f t="shared" ca="1" si="12"/>
        <v>45.8</v>
      </c>
      <c r="Y60" s="3">
        <f t="shared" ca="1" si="13"/>
        <v>36561</v>
      </c>
      <c r="Z60" s="3" t="str">
        <f t="shared" ca="1" si="14"/>
        <v>Sep</v>
      </c>
      <c r="AA60" s="3" t="str">
        <f t="shared" ca="1" si="15"/>
        <v>Q3</v>
      </c>
      <c r="AB60" s="4" t="str">
        <f t="shared" ca="1" si="16"/>
        <v>Medium Haul</v>
      </c>
    </row>
    <row r="61" spans="1:28" x14ac:dyDescent="0.3">
      <c r="A61" s="8" t="str">
        <f t="shared" si="11"/>
        <v>S0060</v>
      </c>
      <c r="B61" s="3">
        <f t="shared" ca="1" si="0"/>
        <v>45797</v>
      </c>
      <c r="C61" s="3" t="str">
        <f ca="1">INDEX(Customers!$A$2:$A$21,RANDBETWEEN(1,20))</f>
        <v>C011</v>
      </c>
      <c r="D61" s="3" t="str">
        <f ca="1">INDEX(Routes!$A$2:$A$31,RANDBETWEEN(1,30))</f>
        <v>R001</v>
      </c>
      <c r="E61" s="3" t="str">
        <f ca="1">INDEX(Vehicles!$A$2:$A$21,RANDBETWEEN(1,20))</f>
        <v>V009</v>
      </c>
      <c r="F61" s="3" t="str">
        <f ca="1">INDEX(Drivers!$A$2:$A$31,RANDBETWEEN(1,30))</f>
        <v>D012</v>
      </c>
      <c r="G61" s="3">
        <f t="shared" ca="1" si="1"/>
        <v>8</v>
      </c>
      <c r="H61" s="3">
        <f t="shared" ca="1" si="2"/>
        <v>20141</v>
      </c>
      <c r="I61" s="3">
        <f t="shared" ca="1" si="3"/>
        <v>5639</v>
      </c>
      <c r="J61" s="3">
        <f t="shared" ca="1" si="4"/>
        <v>3824</v>
      </c>
      <c r="K61" s="3">
        <f t="shared" ca="1" si="5"/>
        <v>26</v>
      </c>
      <c r="L61" s="3">
        <f t="shared" ca="1" si="6"/>
        <v>33</v>
      </c>
      <c r="M61" s="3">
        <f t="shared" ca="1" si="7"/>
        <v>7</v>
      </c>
      <c r="N61" s="3" t="str">
        <f t="shared" ca="1" si="8"/>
        <v>Delayed</v>
      </c>
      <c r="O61" s="3" t="str">
        <f t="shared" ca="1" si="9"/>
        <v>Low</v>
      </c>
      <c r="P61" s="3">
        <f t="shared" ca="1" si="10"/>
        <v>26.7</v>
      </c>
      <c r="Q61" s="1" t="str">
        <f ca="1">VLOOKUP(D61,Routes!$A$2:$D$31,2,FALSE)</f>
        <v>Mumbai</v>
      </c>
      <c r="R61" s="1" t="str">
        <f ca="1">VLOOKUP(D61,Routes!$A$2:$D$31,3,FALSE)</f>
        <v>Pune</v>
      </c>
      <c r="S61" s="3">
        <f ca="1">VLOOKUP(D61,Routes!$A$2:$D$31,4,FALSE)</f>
        <v>150</v>
      </c>
      <c r="T61" s="3" t="str">
        <f ca="1">VLOOKUP(E61,Vehicles!$A$2:$D$21,2,FALSE)</f>
        <v>LCV</v>
      </c>
      <c r="U61" s="3">
        <f ca="1">VLOOKUP(E61,Vehicles!$A$2:$D$21,3,FALSE)</f>
        <v>5</v>
      </c>
      <c r="V61" s="3" t="str">
        <f ca="1">VLOOKUP(E61,Vehicles!$A$2:$D$21,4,FALSE)</f>
        <v>Diesel</v>
      </c>
      <c r="W61" s="3">
        <f ca="1">VLOOKUP(V61,Fuel_Rates!$A$2:$B$3,2,FALSE)</f>
        <v>95</v>
      </c>
      <c r="X61" s="3">
        <f t="shared" ca="1" si="12"/>
        <v>134.27000000000001</v>
      </c>
      <c r="Y61" s="3">
        <f t="shared" ca="1" si="13"/>
        <v>29604</v>
      </c>
      <c r="Z61" s="3" t="str">
        <f t="shared" ca="1" si="14"/>
        <v>May</v>
      </c>
      <c r="AA61" s="3" t="str">
        <f t="shared" ca="1" si="15"/>
        <v>Q2</v>
      </c>
      <c r="AB61" s="4" t="str">
        <f t="shared" ca="1" si="16"/>
        <v>Short Haul</v>
      </c>
    </row>
    <row r="62" spans="1:28" x14ac:dyDescent="0.3">
      <c r="A62" s="8" t="str">
        <f t="shared" si="11"/>
        <v>S0061</v>
      </c>
      <c r="B62" s="3">
        <f t="shared" ca="1" si="0"/>
        <v>45907</v>
      </c>
      <c r="C62" s="3" t="str">
        <f ca="1">INDEX(Customers!$A$2:$A$21,RANDBETWEEN(1,20))</f>
        <v>C011</v>
      </c>
      <c r="D62" s="3" t="str">
        <f ca="1">INDEX(Routes!$A$2:$A$31,RANDBETWEEN(1,30))</f>
        <v>R030</v>
      </c>
      <c r="E62" s="3" t="str">
        <f ca="1">INDEX(Vehicles!$A$2:$A$21,RANDBETWEEN(1,20))</f>
        <v>V018</v>
      </c>
      <c r="F62" s="3" t="str">
        <f ca="1">INDEX(Drivers!$A$2:$A$31,RANDBETWEEN(1,30))</f>
        <v>D002</v>
      </c>
      <c r="G62" s="3">
        <f t="shared" ca="1" si="1"/>
        <v>8.6999999999999993</v>
      </c>
      <c r="H62" s="3">
        <f t="shared" ca="1" si="2"/>
        <v>27378</v>
      </c>
      <c r="I62" s="3">
        <f t="shared" ca="1" si="3"/>
        <v>7666</v>
      </c>
      <c r="J62" s="3">
        <f t="shared" ca="1" si="4"/>
        <v>3806</v>
      </c>
      <c r="K62" s="3">
        <f t="shared" ca="1" si="5"/>
        <v>26</v>
      </c>
      <c r="L62" s="3">
        <f t="shared" ca="1" si="6"/>
        <v>32</v>
      </c>
      <c r="M62" s="3">
        <f t="shared" ca="1" si="7"/>
        <v>6</v>
      </c>
      <c r="N62" s="3" t="str">
        <f t="shared" ca="1" si="8"/>
        <v>Delayed</v>
      </c>
      <c r="O62" s="3" t="str">
        <f t="shared" ca="1" si="9"/>
        <v>High</v>
      </c>
      <c r="P62" s="3">
        <f t="shared" ca="1" si="10"/>
        <v>29</v>
      </c>
      <c r="Q62" s="1" t="str">
        <f ca="1">VLOOKUP(D62,Routes!$A$2:$D$31,2,FALSE)</f>
        <v>Bhubaneswar</v>
      </c>
      <c r="R62" s="1" t="str">
        <f ca="1">VLOOKUP(D62,Routes!$A$2:$D$31,3,FALSE)</f>
        <v>Kolkata</v>
      </c>
      <c r="S62" s="3">
        <f ca="1">VLOOKUP(D62,Routes!$A$2:$D$31,4,FALSE)</f>
        <v>440</v>
      </c>
      <c r="T62" s="3" t="str">
        <f ca="1">VLOOKUP(E62,Vehicles!$A$2:$D$21,2,FALSE)</f>
        <v>Truck</v>
      </c>
      <c r="U62" s="3">
        <f ca="1">VLOOKUP(E62,Vehicles!$A$2:$D$21,3,FALSE)</f>
        <v>26</v>
      </c>
      <c r="V62" s="3" t="str">
        <f ca="1">VLOOKUP(E62,Vehicles!$A$2:$D$21,4,FALSE)</f>
        <v>Diesel</v>
      </c>
      <c r="W62" s="3">
        <f ca="1">VLOOKUP(V62,Fuel_Rates!$A$2:$B$3,2,FALSE)</f>
        <v>95</v>
      </c>
      <c r="X62" s="3">
        <f t="shared" ca="1" si="12"/>
        <v>62.22</v>
      </c>
      <c r="Y62" s="3">
        <f t="shared" ca="1" si="13"/>
        <v>38850</v>
      </c>
      <c r="Z62" s="3" t="str">
        <f t="shared" ca="1" si="14"/>
        <v>Sep</v>
      </c>
      <c r="AA62" s="3" t="str">
        <f t="shared" ca="1" si="15"/>
        <v>Q3</v>
      </c>
      <c r="AB62" s="4" t="str">
        <f t="shared" ca="1" si="16"/>
        <v>Medium Haul</v>
      </c>
    </row>
    <row r="63" spans="1:28" x14ac:dyDescent="0.3">
      <c r="A63" s="8" t="str">
        <f t="shared" si="11"/>
        <v>S0062</v>
      </c>
      <c r="B63" s="3">
        <f t="shared" ca="1" si="0"/>
        <v>46015</v>
      </c>
      <c r="C63" s="3" t="str">
        <f ca="1">INDEX(Customers!$A$2:$A$21,RANDBETWEEN(1,20))</f>
        <v>C005</v>
      </c>
      <c r="D63" s="3" t="str">
        <f ca="1">INDEX(Routes!$A$2:$A$31,RANDBETWEEN(1,30))</f>
        <v>R012</v>
      </c>
      <c r="E63" s="3" t="str">
        <f ca="1">INDEX(Vehicles!$A$2:$A$21,RANDBETWEEN(1,20))</f>
        <v>V006</v>
      </c>
      <c r="F63" s="3" t="str">
        <f ca="1">INDEX(Drivers!$A$2:$A$31,RANDBETWEEN(1,30))</f>
        <v>D026</v>
      </c>
      <c r="G63" s="3">
        <f t="shared" ca="1" si="1"/>
        <v>6.5</v>
      </c>
      <c r="H63" s="3">
        <f t="shared" ca="1" si="2"/>
        <v>25163</v>
      </c>
      <c r="I63" s="3">
        <f t="shared" ca="1" si="3"/>
        <v>7046</v>
      </c>
      <c r="J63" s="3">
        <f t="shared" ca="1" si="4"/>
        <v>3926</v>
      </c>
      <c r="K63" s="3">
        <f t="shared" ca="1" si="5"/>
        <v>7</v>
      </c>
      <c r="L63" s="3">
        <f t="shared" ca="1" si="6"/>
        <v>15</v>
      </c>
      <c r="M63" s="3">
        <f t="shared" ca="1" si="7"/>
        <v>8</v>
      </c>
      <c r="N63" s="3" t="str">
        <f t="shared" ca="1" si="8"/>
        <v>Delayed</v>
      </c>
      <c r="O63" s="3" t="str">
        <f t="shared" ca="1" si="9"/>
        <v>High</v>
      </c>
      <c r="P63" s="3">
        <f t="shared" ca="1" si="10"/>
        <v>21.7</v>
      </c>
      <c r="Q63" s="1" t="str">
        <f ca="1">VLOOKUP(D63,Routes!$A$2:$D$31,2,FALSE)</f>
        <v>Chennai</v>
      </c>
      <c r="R63" s="1" t="str">
        <f ca="1">VLOOKUP(D63,Routes!$A$2:$D$31,3,FALSE)</f>
        <v>Coimbatore</v>
      </c>
      <c r="S63" s="3">
        <f ca="1">VLOOKUP(D63,Routes!$A$2:$D$31,4,FALSE)</f>
        <v>500</v>
      </c>
      <c r="T63" s="3" t="str">
        <f ca="1">VLOOKUP(E63,Vehicles!$A$2:$D$21,2,FALSE)</f>
        <v>Container</v>
      </c>
      <c r="U63" s="3">
        <f ca="1">VLOOKUP(E63,Vehicles!$A$2:$D$21,3,FALSE)</f>
        <v>18</v>
      </c>
      <c r="V63" s="3" t="str">
        <f ca="1">VLOOKUP(E63,Vehicles!$A$2:$D$21,4,FALSE)</f>
        <v>Diesel</v>
      </c>
      <c r="W63" s="3">
        <f ca="1">VLOOKUP(V63,Fuel_Rates!$A$2:$B$3,2,FALSE)</f>
        <v>95</v>
      </c>
      <c r="X63" s="3">
        <f t="shared" ca="1" si="12"/>
        <v>50.33</v>
      </c>
      <c r="Y63" s="3">
        <f t="shared" ca="1" si="13"/>
        <v>36135</v>
      </c>
      <c r="Z63" s="3" t="str">
        <f t="shared" ca="1" si="14"/>
        <v>Dec</v>
      </c>
      <c r="AA63" s="3" t="str">
        <f t="shared" ca="1" si="15"/>
        <v>Q4</v>
      </c>
      <c r="AB63" s="4" t="str">
        <f t="shared" ca="1" si="16"/>
        <v>Medium Haul</v>
      </c>
    </row>
    <row r="64" spans="1:28" x14ac:dyDescent="0.3">
      <c r="A64" s="8" t="str">
        <f t="shared" si="11"/>
        <v>S0063</v>
      </c>
      <c r="B64" s="3">
        <f t="shared" ca="1" si="0"/>
        <v>45941</v>
      </c>
      <c r="C64" s="3" t="str">
        <f ca="1">INDEX(Customers!$A$2:$A$21,RANDBETWEEN(1,20))</f>
        <v>C003</v>
      </c>
      <c r="D64" s="3" t="str">
        <f ca="1">INDEX(Routes!$A$2:$A$31,RANDBETWEEN(1,30))</f>
        <v>R013</v>
      </c>
      <c r="E64" s="3" t="str">
        <f ca="1">INDEX(Vehicles!$A$2:$A$21,RANDBETWEEN(1,20))</f>
        <v>V014</v>
      </c>
      <c r="F64" s="3" t="str">
        <f ca="1">INDEX(Drivers!$A$2:$A$31,RANDBETWEEN(1,30))</f>
        <v>D017</v>
      </c>
      <c r="G64" s="3">
        <f t="shared" ca="1" si="1"/>
        <v>5.7</v>
      </c>
      <c r="H64" s="3">
        <f t="shared" ca="1" si="2"/>
        <v>17579</v>
      </c>
      <c r="I64" s="3">
        <f t="shared" ca="1" si="3"/>
        <v>4922</v>
      </c>
      <c r="J64" s="3">
        <f t="shared" ca="1" si="4"/>
        <v>2308</v>
      </c>
      <c r="K64" s="3">
        <f t="shared" ca="1" si="5"/>
        <v>40</v>
      </c>
      <c r="L64" s="3">
        <f t="shared" ca="1" si="6"/>
        <v>44</v>
      </c>
      <c r="M64" s="3">
        <f t="shared" ca="1" si="7"/>
        <v>4</v>
      </c>
      <c r="N64" s="3" t="str">
        <f t="shared" ca="1" si="8"/>
        <v>Delayed</v>
      </c>
      <c r="O64" s="3" t="str">
        <f t="shared" ca="1" si="9"/>
        <v>Low</v>
      </c>
      <c r="P64" s="3">
        <f t="shared" ca="1" si="10"/>
        <v>19</v>
      </c>
      <c r="Q64" s="1" t="str">
        <f ca="1">VLOOKUP(D64,Routes!$A$2:$D$31,2,FALSE)</f>
        <v>Chennai</v>
      </c>
      <c r="R64" s="1" t="str">
        <f ca="1">VLOOKUP(D64,Routes!$A$2:$D$31,3,FALSE)</f>
        <v>Hyderabad</v>
      </c>
      <c r="S64" s="3">
        <f ca="1">VLOOKUP(D64,Routes!$A$2:$D$31,4,FALSE)</f>
        <v>630</v>
      </c>
      <c r="T64" s="3" t="str">
        <f ca="1">VLOOKUP(E64,Vehicles!$A$2:$D$21,2,FALSE)</f>
        <v>LCV</v>
      </c>
      <c r="U64" s="3">
        <f ca="1">VLOOKUP(E64,Vehicles!$A$2:$D$21,3,FALSE)</f>
        <v>6</v>
      </c>
      <c r="V64" s="3" t="str">
        <f ca="1">VLOOKUP(E64,Vehicles!$A$2:$D$21,4,FALSE)</f>
        <v>CNG</v>
      </c>
      <c r="W64" s="3">
        <f ca="1">VLOOKUP(V64,Fuel_Rates!$A$2:$B$3,2,FALSE)</f>
        <v>78</v>
      </c>
      <c r="X64" s="3">
        <f t="shared" ca="1" si="12"/>
        <v>27.9</v>
      </c>
      <c r="Y64" s="3">
        <f t="shared" ca="1" si="13"/>
        <v>24809</v>
      </c>
      <c r="Z64" s="3" t="str">
        <f t="shared" ca="1" si="14"/>
        <v>Oct</v>
      </c>
      <c r="AA64" s="3" t="str">
        <f t="shared" ca="1" si="15"/>
        <v>Q4</v>
      </c>
      <c r="AB64" s="4" t="str">
        <f t="shared" ca="1" si="16"/>
        <v>Medium Haul</v>
      </c>
    </row>
    <row r="65" spans="1:28" x14ac:dyDescent="0.3">
      <c r="A65" s="8" t="str">
        <f t="shared" si="11"/>
        <v>S0064</v>
      </c>
      <c r="B65" s="3">
        <f t="shared" ca="1" si="0"/>
        <v>45833</v>
      </c>
      <c r="C65" s="3" t="str">
        <f ca="1">INDEX(Customers!$A$2:$A$21,RANDBETWEEN(1,20))</f>
        <v>C020</v>
      </c>
      <c r="D65" s="3" t="str">
        <f ca="1">INDEX(Routes!$A$2:$A$31,RANDBETWEEN(1,30))</f>
        <v>R005</v>
      </c>
      <c r="E65" s="3" t="str">
        <f ca="1">INDEX(Vehicles!$A$2:$A$21,RANDBETWEEN(1,20))</f>
        <v>V015</v>
      </c>
      <c r="F65" s="3" t="str">
        <f ca="1">INDEX(Drivers!$A$2:$A$31,RANDBETWEEN(1,30))</f>
        <v>D023</v>
      </c>
      <c r="G65" s="3">
        <f t="shared" ca="1" si="1"/>
        <v>2.2999999999999998</v>
      </c>
      <c r="H65" s="3">
        <f t="shared" ca="1" si="2"/>
        <v>18185</v>
      </c>
      <c r="I65" s="3">
        <f t="shared" ca="1" si="3"/>
        <v>5092</v>
      </c>
      <c r="J65" s="3">
        <f t="shared" ca="1" si="4"/>
        <v>3911</v>
      </c>
      <c r="K65" s="3">
        <f t="shared" ca="1" si="5"/>
        <v>14</v>
      </c>
      <c r="L65" s="3">
        <f t="shared" ca="1" si="6"/>
        <v>22</v>
      </c>
      <c r="M65" s="3">
        <f t="shared" ca="1" si="7"/>
        <v>8</v>
      </c>
      <c r="N65" s="3" t="str">
        <f t="shared" ca="1" si="8"/>
        <v>Delayed</v>
      </c>
      <c r="O65" s="3" t="str">
        <f t="shared" ca="1" si="9"/>
        <v>High</v>
      </c>
      <c r="P65" s="3">
        <f t="shared" ca="1" si="10"/>
        <v>7.7</v>
      </c>
      <c r="Q65" s="1" t="str">
        <f ca="1">VLOOKUP(D65,Routes!$A$2:$D$31,2,FALSE)</f>
        <v>Delhi</v>
      </c>
      <c r="R65" s="1" t="str">
        <f ca="1">VLOOKUP(D65,Routes!$A$2:$D$31,3,FALSE)</f>
        <v>Jaipur</v>
      </c>
      <c r="S65" s="3">
        <f ca="1">VLOOKUP(D65,Routes!$A$2:$D$31,4,FALSE)</f>
        <v>280</v>
      </c>
      <c r="T65" s="3" t="str">
        <f ca="1">VLOOKUP(E65,Vehicles!$A$2:$D$21,2,FALSE)</f>
        <v>Trailer</v>
      </c>
      <c r="U65" s="3">
        <f ca="1">VLOOKUP(E65,Vehicles!$A$2:$D$21,3,FALSE)</f>
        <v>30</v>
      </c>
      <c r="V65" s="3" t="str">
        <f ca="1">VLOOKUP(E65,Vehicles!$A$2:$D$21,4,FALSE)</f>
        <v>Diesel</v>
      </c>
      <c r="W65" s="3">
        <f ca="1">VLOOKUP(V65,Fuel_Rates!$A$2:$B$3,2,FALSE)</f>
        <v>95</v>
      </c>
      <c r="X65" s="3">
        <f t="shared" ca="1" si="12"/>
        <v>64.95</v>
      </c>
      <c r="Y65" s="3">
        <f t="shared" ca="1" si="13"/>
        <v>27188</v>
      </c>
      <c r="Z65" s="3" t="str">
        <f t="shared" ca="1" si="14"/>
        <v>Jun</v>
      </c>
      <c r="AA65" s="3" t="str">
        <f t="shared" ca="1" si="15"/>
        <v>Q2</v>
      </c>
      <c r="AB65" s="4" t="str">
        <f t="shared" ca="1" si="16"/>
        <v>Short Haul</v>
      </c>
    </row>
    <row r="66" spans="1:28" x14ac:dyDescent="0.3">
      <c r="A66" s="8" t="str">
        <f t="shared" si="11"/>
        <v>S0065</v>
      </c>
      <c r="B66" s="3">
        <f t="shared" ref="B66:B129" ca="1" si="17">DATE(2025,RANDBETWEEN(1,12),RANDBETWEEN(1,28))</f>
        <v>46014</v>
      </c>
      <c r="C66" s="3" t="str">
        <f ca="1">INDEX(Customers!$A$2:$A$21,RANDBETWEEN(1,20))</f>
        <v>C006</v>
      </c>
      <c r="D66" s="3" t="str">
        <f ca="1">INDEX(Routes!$A$2:$A$31,RANDBETWEEN(1,30))</f>
        <v>R009</v>
      </c>
      <c r="E66" s="3" t="str">
        <f ca="1">INDEX(Vehicles!$A$2:$A$21,RANDBETWEEN(1,20))</f>
        <v>V015</v>
      </c>
      <c r="F66" s="3" t="str">
        <f ca="1">INDEX(Drivers!$A$2:$A$31,RANDBETWEEN(1,30))</f>
        <v>D021</v>
      </c>
      <c r="G66" s="3">
        <f t="shared" ref="G66:G129" ca="1" si="18">ROUND(RANDBETWEEN(20,300)/10,1)</f>
        <v>12.7</v>
      </c>
      <c r="H66" s="3">
        <f t="shared" ref="H66:H129" ca="1" si="19">ROUND((G66*1800)+RANDBETWEEN(3000,15000),0)</f>
        <v>32819</v>
      </c>
      <c r="I66" s="3">
        <f t="shared" ref="I66:I129" ca="1" si="20">ROUND(H66*0.28,0)</f>
        <v>9189</v>
      </c>
      <c r="J66" s="3">
        <f t="shared" ref="J66:J129" ca="1" si="21">RANDBETWEEN(500,4000)</f>
        <v>3040</v>
      </c>
      <c r="K66" s="3">
        <f t="shared" ref="K66:K129" ca="1" si="22">RANDBETWEEN(4,48)</f>
        <v>25</v>
      </c>
      <c r="L66" s="3">
        <f t="shared" ref="L66:L129" ca="1" si="23">K66+RANDBETWEEN(0,8)</f>
        <v>26</v>
      </c>
      <c r="M66" s="3">
        <f t="shared" ref="M66:M129" ca="1" si="24">L66-K66</f>
        <v>1</v>
      </c>
      <c r="N66" s="3" t="str">
        <f t="shared" ref="N66:N129" ca="1" si="25">IF(M66&lt;=2,"On Time","Delayed")</f>
        <v>On Time</v>
      </c>
      <c r="O66" s="3" t="str">
        <f t="shared" ref="O66:O129" ca="1" si="26">CHOOSE(RANDBETWEEN(1,3),"High","Medium","Low")</f>
        <v>Medium</v>
      </c>
      <c r="P66" s="3">
        <f t="shared" ref="P66:P129" ca="1" si="27">ROUND((G66/30)*100,1)</f>
        <v>42.3</v>
      </c>
      <c r="Q66" s="1" t="str">
        <f ca="1">VLOOKUP(D66,Routes!$A$2:$D$31,2,FALSE)</f>
        <v>Bengaluru</v>
      </c>
      <c r="R66" s="1" t="str">
        <f ca="1">VLOOKUP(D66,Routes!$A$2:$D$31,3,FALSE)</f>
        <v>Chennai</v>
      </c>
      <c r="S66" s="3">
        <f ca="1">VLOOKUP(D66,Routes!$A$2:$D$31,4,FALSE)</f>
        <v>350</v>
      </c>
      <c r="T66" s="3" t="str">
        <f ca="1">VLOOKUP(E66,Vehicles!$A$2:$D$21,2,FALSE)</f>
        <v>Trailer</v>
      </c>
      <c r="U66" s="3">
        <f ca="1">VLOOKUP(E66,Vehicles!$A$2:$D$21,3,FALSE)</f>
        <v>30</v>
      </c>
      <c r="V66" s="3" t="str">
        <f ca="1">VLOOKUP(E66,Vehicles!$A$2:$D$21,4,FALSE)</f>
        <v>Diesel</v>
      </c>
      <c r="W66" s="3">
        <f ca="1">VLOOKUP(V66,Fuel_Rates!$A$2:$B$3,2,FALSE)</f>
        <v>95</v>
      </c>
      <c r="X66" s="3">
        <f t="shared" ca="1" si="12"/>
        <v>93.77</v>
      </c>
      <c r="Y66" s="3">
        <f t="shared" ca="1" si="13"/>
        <v>45048</v>
      </c>
      <c r="Z66" s="3" t="str">
        <f t="shared" ca="1" si="14"/>
        <v>Dec</v>
      </c>
      <c r="AA66" s="3" t="str">
        <f t="shared" ca="1" si="15"/>
        <v>Q4</v>
      </c>
      <c r="AB66" s="4" t="str">
        <f t="shared" ca="1" si="16"/>
        <v>Medium Haul</v>
      </c>
    </row>
    <row r="67" spans="1:28" x14ac:dyDescent="0.3">
      <c r="A67" s="8" t="str">
        <f t="shared" ref="A67:A130" si="28">"S"&amp;TEXT(ROW()-1,"0000")</f>
        <v>S0066</v>
      </c>
      <c r="B67" s="3">
        <f t="shared" ca="1" si="17"/>
        <v>45985</v>
      </c>
      <c r="C67" s="3" t="str">
        <f ca="1">INDEX(Customers!$A$2:$A$21,RANDBETWEEN(1,20))</f>
        <v>C016</v>
      </c>
      <c r="D67" s="3" t="str">
        <f ca="1">INDEX(Routes!$A$2:$A$31,RANDBETWEEN(1,30))</f>
        <v>R010</v>
      </c>
      <c r="E67" s="3" t="str">
        <f ca="1">INDEX(Vehicles!$A$2:$A$21,RANDBETWEEN(1,20))</f>
        <v>V015</v>
      </c>
      <c r="F67" s="3" t="str">
        <f ca="1">INDEX(Drivers!$A$2:$A$31,RANDBETWEEN(1,30))</f>
        <v>D011</v>
      </c>
      <c r="G67" s="3">
        <f t="shared" ca="1" si="18"/>
        <v>13</v>
      </c>
      <c r="H67" s="3">
        <f t="shared" ca="1" si="19"/>
        <v>36655</v>
      </c>
      <c r="I67" s="3">
        <f t="shared" ca="1" si="20"/>
        <v>10263</v>
      </c>
      <c r="J67" s="3">
        <f t="shared" ca="1" si="21"/>
        <v>933</v>
      </c>
      <c r="K67" s="3">
        <f t="shared" ca="1" si="22"/>
        <v>27</v>
      </c>
      <c r="L67" s="3">
        <f t="shared" ca="1" si="23"/>
        <v>33</v>
      </c>
      <c r="M67" s="3">
        <f t="shared" ca="1" si="24"/>
        <v>6</v>
      </c>
      <c r="N67" s="3" t="str">
        <f t="shared" ca="1" si="25"/>
        <v>Delayed</v>
      </c>
      <c r="O67" s="3" t="str">
        <f t="shared" ca="1" si="26"/>
        <v>Low</v>
      </c>
      <c r="P67" s="3">
        <f t="shared" ca="1" si="27"/>
        <v>43.3</v>
      </c>
      <c r="Q67" s="1" t="str">
        <f ca="1">VLOOKUP(D67,Routes!$A$2:$D$31,2,FALSE)</f>
        <v>Bengaluru</v>
      </c>
      <c r="R67" s="1" t="str">
        <f ca="1">VLOOKUP(D67,Routes!$A$2:$D$31,3,FALSE)</f>
        <v>Hyderabad</v>
      </c>
      <c r="S67" s="3">
        <f ca="1">VLOOKUP(D67,Routes!$A$2:$D$31,4,FALSE)</f>
        <v>570</v>
      </c>
      <c r="T67" s="3" t="str">
        <f ca="1">VLOOKUP(E67,Vehicles!$A$2:$D$21,2,FALSE)</f>
        <v>Trailer</v>
      </c>
      <c r="U67" s="3">
        <f ca="1">VLOOKUP(E67,Vehicles!$A$2:$D$21,3,FALSE)</f>
        <v>30</v>
      </c>
      <c r="V67" s="3" t="str">
        <f ca="1">VLOOKUP(E67,Vehicles!$A$2:$D$21,4,FALSE)</f>
        <v>Diesel</v>
      </c>
      <c r="W67" s="3">
        <f ca="1">VLOOKUP(V67,Fuel_Rates!$A$2:$B$3,2,FALSE)</f>
        <v>95</v>
      </c>
      <c r="X67" s="3">
        <f t="shared" ref="X67:X130" ca="1" si="29">ROUND(H67/S67,2)</f>
        <v>64.31</v>
      </c>
      <c r="Y67" s="3">
        <f t="shared" ref="Y67:Y130" ca="1" si="30">H67+I67+J67</f>
        <v>47851</v>
      </c>
      <c r="Z67" s="3" t="str">
        <f t="shared" ref="Z67:Z130" ca="1" si="31">TEXT(B67,"mmm")</f>
        <v>Nov</v>
      </c>
      <c r="AA67" s="3" t="str">
        <f t="shared" ref="AA67:AA130" ca="1" si="32">"Q"&amp;ROUNDUP(MONTH(B67)/3,0)</f>
        <v>Q4</v>
      </c>
      <c r="AB67" s="4" t="str">
        <f t="shared" ref="AB67:AB130" ca="1" si="33">IF(S67&lt;300,"Short Haul",IF(S67&lt;800,"Medium Haul","Long Haul"))</f>
        <v>Medium Haul</v>
      </c>
    </row>
    <row r="68" spans="1:28" x14ac:dyDescent="0.3">
      <c r="A68" s="8" t="str">
        <f t="shared" si="28"/>
        <v>S0067</v>
      </c>
      <c r="B68" s="3">
        <f t="shared" ca="1" si="17"/>
        <v>45896</v>
      </c>
      <c r="C68" s="3" t="str">
        <f ca="1">INDEX(Customers!$A$2:$A$21,RANDBETWEEN(1,20))</f>
        <v>C019</v>
      </c>
      <c r="D68" s="3" t="str">
        <f ca="1">INDEX(Routes!$A$2:$A$31,RANDBETWEEN(1,30))</f>
        <v>R020</v>
      </c>
      <c r="E68" s="3" t="str">
        <f ca="1">INDEX(Vehicles!$A$2:$A$21,RANDBETWEEN(1,20))</f>
        <v>V007</v>
      </c>
      <c r="F68" s="3" t="str">
        <f ca="1">INDEX(Drivers!$A$2:$A$31,RANDBETWEEN(1,30))</f>
        <v>D005</v>
      </c>
      <c r="G68" s="3">
        <f t="shared" ca="1" si="18"/>
        <v>8.1</v>
      </c>
      <c r="H68" s="3">
        <f t="shared" ca="1" si="19"/>
        <v>17850</v>
      </c>
      <c r="I68" s="3">
        <f t="shared" ca="1" si="20"/>
        <v>4998</v>
      </c>
      <c r="J68" s="3">
        <f t="shared" ca="1" si="21"/>
        <v>858</v>
      </c>
      <c r="K68" s="3">
        <f t="shared" ca="1" si="22"/>
        <v>30</v>
      </c>
      <c r="L68" s="3">
        <f t="shared" ca="1" si="23"/>
        <v>31</v>
      </c>
      <c r="M68" s="3">
        <f t="shared" ca="1" si="24"/>
        <v>1</v>
      </c>
      <c r="N68" s="3" t="str">
        <f t="shared" ca="1" si="25"/>
        <v>On Time</v>
      </c>
      <c r="O68" s="3" t="str">
        <f t="shared" ca="1" si="26"/>
        <v>Low</v>
      </c>
      <c r="P68" s="3">
        <f t="shared" ca="1" si="27"/>
        <v>27</v>
      </c>
      <c r="Q68" s="1" t="str">
        <f ca="1">VLOOKUP(D68,Routes!$A$2:$D$31,2,FALSE)</f>
        <v>Pune</v>
      </c>
      <c r="R68" s="1" t="str">
        <f ca="1">VLOOKUP(D68,Routes!$A$2:$D$31,3,FALSE)</f>
        <v>Nagpur</v>
      </c>
      <c r="S68" s="3">
        <f ca="1">VLOOKUP(D68,Routes!$A$2:$D$31,4,FALSE)</f>
        <v>720</v>
      </c>
      <c r="T68" s="3" t="str">
        <f ca="1">VLOOKUP(E68,Vehicles!$A$2:$D$21,2,FALSE)</f>
        <v>Container</v>
      </c>
      <c r="U68" s="3">
        <f ca="1">VLOOKUP(E68,Vehicles!$A$2:$D$21,3,FALSE)</f>
        <v>20</v>
      </c>
      <c r="V68" s="3" t="str">
        <f ca="1">VLOOKUP(E68,Vehicles!$A$2:$D$21,4,FALSE)</f>
        <v>Diesel</v>
      </c>
      <c r="W68" s="3">
        <f ca="1">VLOOKUP(V68,Fuel_Rates!$A$2:$B$3,2,FALSE)</f>
        <v>95</v>
      </c>
      <c r="X68" s="3">
        <f t="shared" ca="1" si="29"/>
        <v>24.79</v>
      </c>
      <c r="Y68" s="3">
        <f t="shared" ca="1" si="30"/>
        <v>23706</v>
      </c>
      <c r="Z68" s="3" t="str">
        <f t="shared" ca="1" si="31"/>
        <v>Aug</v>
      </c>
      <c r="AA68" s="3" t="str">
        <f t="shared" ca="1" si="32"/>
        <v>Q3</v>
      </c>
      <c r="AB68" s="4" t="str">
        <f t="shared" ca="1" si="33"/>
        <v>Medium Haul</v>
      </c>
    </row>
    <row r="69" spans="1:28" x14ac:dyDescent="0.3">
      <c r="A69" s="8" t="str">
        <f t="shared" si="28"/>
        <v>S0068</v>
      </c>
      <c r="B69" s="3">
        <f t="shared" ca="1" si="17"/>
        <v>45950</v>
      </c>
      <c r="C69" s="3" t="str">
        <f ca="1">INDEX(Customers!$A$2:$A$21,RANDBETWEEN(1,20))</f>
        <v>C008</v>
      </c>
      <c r="D69" s="3" t="str">
        <f ca="1">INDEX(Routes!$A$2:$A$31,RANDBETWEEN(1,30))</f>
        <v>R015</v>
      </c>
      <c r="E69" s="3" t="str">
        <f ca="1">INDEX(Vehicles!$A$2:$A$21,RANDBETWEEN(1,20))</f>
        <v>V006</v>
      </c>
      <c r="F69" s="3" t="str">
        <f ca="1">INDEX(Drivers!$A$2:$A$31,RANDBETWEEN(1,30))</f>
        <v>D001</v>
      </c>
      <c r="G69" s="3">
        <f t="shared" ca="1" si="18"/>
        <v>28.7</v>
      </c>
      <c r="H69" s="3">
        <f t="shared" ca="1" si="19"/>
        <v>64979</v>
      </c>
      <c r="I69" s="3">
        <f t="shared" ca="1" si="20"/>
        <v>18194</v>
      </c>
      <c r="J69" s="3">
        <f t="shared" ca="1" si="21"/>
        <v>2024</v>
      </c>
      <c r="K69" s="3">
        <f t="shared" ca="1" si="22"/>
        <v>21</v>
      </c>
      <c r="L69" s="3">
        <f t="shared" ca="1" si="23"/>
        <v>21</v>
      </c>
      <c r="M69" s="3">
        <f t="shared" ca="1" si="24"/>
        <v>0</v>
      </c>
      <c r="N69" s="3" t="str">
        <f t="shared" ca="1" si="25"/>
        <v>On Time</v>
      </c>
      <c r="O69" s="3" t="str">
        <f t="shared" ca="1" si="26"/>
        <v>Medium</v>
      </c>
      <c r="P69" s="3">
        <f t="shared" ca="1" si="27"/>
        <v>95.7</v>
      </c>
      <c r="Q69" s="1" t="str">
        <f ca="1">VLOOKUP(D69,Routes!$A$2:$D$31,2,FALSE)</f>
        <v>Hyderabad</v>
      </c>
      <c r="R69" s="1" t="str">
        <f ca="1">VLOOKUP(D69,Routes!$A$2:$D$31,3,FALSE)</f>
        <v>Pune</v>
      </c>
      <c r="S69" s="3">
        <f ca="1">VLOOKUP(D69,Routes!$A$2:$D$31,4,FALSE)</f>
        <v>560</v>
      </c>
      <c r="T69" s="3" t="str">
        <f ca="1">VLOOKUP(E69,Vehicles!$A$2:$D$21,2,FALSE)</f>
        <v>Container</v>
      </c>
      <c r="U69" s="3">
        <f ca="1">VLOOKUP(E69,Vehicles!$A$2:$D$21,3,FALSE)</f>
        <v>18</v>
      </c>
      <c r="V69" s="3" t="str">
        <f ca="1">VLOOKUP(E69,Vehicles!$A$2:$D$21,4,FALSE)</f>
        <v>Diesel</v>
      </c>
      <c r="W69" s="3">
        <f ca="1">VLOOKUP(V69,Fuel_Rates!$A$2:$B$3,2,FALSE)</f>
        <v>95</v>
      </c>
      <c r="X69" s="3">
        <f t="shared" ca="1" si="29"/>
        <v>116.03</v>
      </c>
      <c r="Y69" s="3">
        <f t="shared" ca="1" si="30"/>
        <v>85197</v>
      </c>
      <c r="Z69" s="3" t="str">
        <f t="shared" ca="1" si="31"/>
        <v>Oct</v>
      </c>
      <c r="AA69" s="3" t="str">
        <f t="shared" ca="1" si="32"/>
        <v>Q4</v>
      </c>
      <c r="AB69" s="4" t="str">
        <f t="shared" ca="1" si="33"/>
        <v>Medium Haul</v>
      </c>
    </row>
    <row r="70" spans="1:28" x14ac:dyDescent="0.3">
      <c r="A70" s="8" t="str">
        <f t="shared" si="28"/>
        <v>S0069</v>
      </c>
      <c r="B70" s="3">
        <f t="shared" ca="1" si="17"/>
        <v>45708</v>
      </c>
      <c r="C70" s="3" t="str">
        <f ca="1">INDEX(Customers!$A$2:$A$21,RANDBETWEEN(1,20))</f>
        <v>C005</v>
      </c>
      <c r="D70" s="3" t="str">
        <f ca="1">INDEX(Routes!$A$2:$A$31,RANDBETWEEN(1,30))</f>
        <v>R003</v>
      </c>
      <c r="E70" s="3" t="str">
        <f ca="1">INDEX(Vehicles!$A$2:$A$21,RANDBETWEEN(1,20))</f>
        <v>V020</v>
      </c>
      <c r="F70" s="3" t="str">
        <f ca="1">INDEX(Drivers!$A$2:$A$31,RANDBETWEEN(1,30))</f>
        <v>D014</v>
      </c>
      <c r="G70" s="3">
        <f t="shared" ca="1" si="18"/>
        <v>24</v>
      </c>
      <c r="H70" s="3">
        <f t="shared" ca="1" si="19"/>
        <v>56538</v>
      </c>
      <c r="I70" s="3">
        <f t="shared" ca="1" si="20"/>
        <v>15831</v>
      </c>
      <c r="J70" s="3">
        <f t="shared" ca="1" si="21"/>
        <v>3139</v>
      </c>
      <c r="K70" s="3">
        <f t="shared" ca="1" si="22"/>
        <v>23</v>
      </c>
      <c r="L70" s="3">
        <f t="shared" ca="1" si="23"/>
        <v>31</v>
      </c>
      <c r="M70" s="3">
        <f t="shared" ca="1" si="24"/>
        <v>8</v>
      </c>
      <c r="N70" s="3" t="str">
        <f t="shared" ca="1" si="25"/>
        <v>Delayed</v>
      </c>
      <c r="O70" s="3" t="str">
        <f t="shared" ca="1" si="26"/>
        <v>Medium</v>
      </c>
      <c r="P70" s="3">
        <f t="shared" ca="1" si="27"/>
        <v>80</v>
      </c>
      <c r="Q70" s="1" t="str">
        <f ca="1">VLOOKUP(D70,Routes!$A$2:$D$31,2,FALSE)</f>
        <v>Mumbai</v>
      </c>
      <c r="R70" s="1" t="str">
        <f ca="1">VLOOKUP(D70,Routes!$A$2:$D$31,3,FALSE)</f>
        <v>Delhi</v>
      </c>
      <c r="S70" s="3">
        <f ca="1">VLOOKUP(D70,Routes!$A$2:$D$31,4,FALSE)</f>
        <v>1450</v>
      </c>
      <c r="T70" s="3" t="str">
        <f ca="1">VLOOKUP(E70,Vehicles!$A$2:$D$21,2,FALSE)</f>
        <v>Container</v>
      </c>
      <c r="U70" s="3">
        <f ca="1">VLOOKUP(E70,Vehicles!$A$2:$D$21,3,FALSE)</f>
        <v>28</v>
      </c>
      <c r="V70" s="3" t="str">
        <f ca="1">VLOOKUP(E70,Vehicles!$A$2:$D$21,4,FALSE)</f>
        <v>Diesel</v>
      </c>
      <c r="W70" s="3">
        <f ca="1">VLOOKUP(V70,Fuel_Rates!$A$2:$B$3,2,FALSE)</f>
        <v>95</v>
      </c>
      <c r="X70" s="3">
        <f t="shared" ca="1" si="29"/>
        <v>38.99</v>
      </c>
      <c r="Y70" s="3">
        <f t="shared" ca="1" si="30"/>
        <v>75508</v>
      </c>
      <c r="Z70" s="3" t="str">
        <f t="shared" ca="1" si="31"/>
        <v>Feb</v>
      </c>
      <c r="AA70" s="3" t="str">
        <f t="shared" ca="1" si="32"/>
        <v>Q1</v>
      </c>
      <c r="AB70" s="4" t="str">
        <f t="shared" ca="1" si="33"/>
        <v>Long Haul</v>
      </c>
    </row>
    <row r="71" spans="1:28" x14ac:dyDescent="0.3">
      <c r="A71" s="8" t="str">
        <f t="shared" si="28"/>
        <v>S0070</v>
      </c>
      <c r="B71" s="3">
        <f t="shared" ca="1" si="17"/>
        <v>45875</v>
      </c>
      <c r="C71" s="3" t="str">
        <f ca="1">INDEX(Customers!$A$2:$A$21,RANDBETWEEN(1,20))</f>
        <v>C015</v>
      </c>
      <c r="D71" s="3" t="str">
        <f ca="1">INDEX(Routes!$A$2:$A$31,RANDBETWEEN(1,30))</f>
        <v>R017</v>
      </c>
      <c r="E71" s="3" t="str">
        <f ca="1">INDEX(Vehicles!$A$2:$A$21,RANDBETWEEN(1,20))</f>
        <v>V013</v>
      </c>
      <c r="F71" s="3" t="str">
        <f ca="1">INDEX(Drivers!$A$2:$A$31,RANDBETWEEN(1,30))</f>
        <v>D029</v>
      </c>
      <c r="G71" s="3">
        <f t="shared" ca="1" si="18"/>
        <v>23.8</v>
      </c>
      <c r="H71" s="3">
        <f t="shared" ca="1" si="19"/>
        <v>53965</v>
      </c>
      <c r="I71" s="3">
        <f t="shared" ca="1" si="20"/>
        <v>15110</v>
      </c>
      <c r="J71" s="3">
        <f t="shared" ca="1" si="21"/>
        <v>2318</v>
      </c>
      <c r="K71" s="3">
        <f t="shared" ca="1" si="22"/>
        <v>20</v>
      </c>
      <c r="L71" s="3">
        <f t="shared" ca="1" si="23"/>
        <v>26</v>
      </c>
      <c r="M71" s="3">
        <f t="shared" ca="1" si="24"/>
        <v>6</v>
      </c>
      <c r="N71" s="3" t="str">
        <f t="shared" ca="1" si="25"/>
        <v>Delayed</v>
      </c>
      <c r="O71" s="3" t="str">
        <f t="shared" ca="1" si="26"/>
        <v>Low</v>
      </c>
      <c r="P71" s="3">
        <f t="shared" ca="1" si="27"/>
        <v>79.3</v>
      </c>
      <c r="Q71" s="1" t="str">
        <f ca="1">VLOOKUP(D71,Routes!$A$2:$D$31,2,FALSE)</f>
        <v>Kolkata</v>
      </c>
      <c r="R71" s="1" t="str">
        <f ca="1">VLOOKUP(D71,Routes!$A$2:$D$31,3,FALSE)</f>
        <v>Patna</v>
      </c>
      <c r="S71" s="3">
        <f ca="1">VLOOKUP(D71,Routes!$A$2:$D$31,4,FALSE)</f>
        <v>620</v>
      </c>
      <c r="T71" s="3" t="str">
        <f ca="1">VLOOKUP(E71,Vehicles!$A$2:$D$21,2,FALSE)</f>
        <v>LCV</v>
      </c>
      <c r="U71" s="3">
        <f ca="1">VLOOKUP(E71,Vehicles!$A$2:$D$21,3,FALSE)</f>
        <v>4</v>
      </c>
      <c r="V71" s="3" t="str">
        <f ca="1">VLOOKUP(E71,Vehicles!$A$2:$D$21,4,FALSE)</f>
        <v>CNG</v>
      </c>
      <c r="W71" s="3">
        <f ca="1">VLOOKUP(V71,Fuel_Rates!$A$2:$B$3,2,FALSE)</f>
        <v>78</v>
      </c>
      <c r="X71" s="3">
        <f t="shared" ca="1" si="29"/>
        <v>87.04</v>
      </c>
      <c r="Y71" s="3">
        <f t="shared" ca="1" si="30"/>
        <v>71393</v>
      </c>
      <c r="Z71" s="3" t="str">
        <f t="shared" ca="1" si="31"/>
        <v>Aug</v>
      </c>
      <c r="AA71" s="3" t="str">
        <f t="shared" ca="1" si="32"/>
        <v>Q3</v>
      </c>
      <c r="AB71" s="4" t="str">
        <f t="shared" ca="1" si="33"/>
        <v>Medium Haul</v>
      </c>
    </row>
    <row r="72" spans="1:28" x14ac:dyDescent="0.3">
      <c r="A72" s="8" t="str">
        <f t="shared" si="28"/>
        <v>S0071</v>
      </c>
      <c r="B72" s="3">
        <f t="shared" ca="1" si="17"/>
        <v>46018</v>
      </c>
      <c r="C72" s="3" t="str">
        <f ca="1">INDEX(Customers!$A$2:$A$21,RANDBETWEEN(1,20))</f>
        <v>C004</v>
      </c>
      <c r="D72" s="3" t="str">
        <f ca="1">INDEX(Routes!$A$2:$A$31,RANDBETWEEN(1,30))</f>
        <v>R004</v>
      </c>
      <c r="E72" s="3" t="str">
        <f ca="1">INDEX(Vehicles!$A$2:$A$21,RANDBETWEEN(1,20))</f>
        <v>V011</v>
      </c>
      <c r="F72" s="3" t="str">
        <f ca="1">INDEX(Drivers!$A$2:$A$31,RANDBETWEEN(1,30))</f>
        <v>D016</v>
      </c>
      <c r="G72" s="3">
        <f t="shared" ca="1" si="18"/>
        <v>21.8</v>
      </c>
      <c r="H72" s="3">
        <f t="shared" ca="1" si="19"/>
        <v>51231</v>
      </c>
      <c r="I72" s="3">
        <f t="shared" ca="1" si="20"/>
        <v>14345</v>
      </c>
      <c r="J72" s="3">
        <f t="shared" ca="1" si="21"/>
        <v>796</v>
      </c>
      <c r="K72" s="3">
        <f t="shared" ca="1" si="22"/>
        <v>11</v>
      </c>
      <c r="L72" s="3">
        <f t="shared" ca="1" si="23"/>
        <v>14</v>
      </c>
      <c r="M72" s="3">
        <f t="shared" ca="1" si="24"/>
        <v>3</v>
      </c>
      <c r="N72" s="3" t="str">
        <f t="shared" ca="1" si="25"/>
        <v>Delayed</v>
      </c>
      <c r="O72" s="3" t="str">
        <f t="shared" ca="1" si="26"/>
        <v>High</v>
      </c>
      <c r="P72" s="3">
        <f t="shared" ca="1" si="27"/>
        <v>72.7</v>
      </c>
      <c r="Q72" s="1" t="str">
        <f ca="1">VLOOKUP(D72,Routes!$A$2:$D$31,2,FALSE)</f>
        <v>Mumbai</v>
      </c>
      <c r="R72" s="1" t="str">
        <f ca="1">VLOOKUP(D72,Routes!$A$2:$D$31,3,FALSE)</f>
        <v>Bengaluru</v>
      </c>
      <c r="S72" s="3">
        <f ca="1">VLOOKUP(D72,Routes!$A$2:$D$31,4,FALSE)</f>
        <v>980</v>
      </c>
      <c r="T72" s="3" t="str">
        <f ca="1">VLOOKUP(E72,Vehicles!$A$2:$D$21,2,FALSE)</f>
        <v>Truck</v>
      </c>
      <c r="U72" s="3">
        <f ca="1">VLOOKUP(E72,Vehicles!$A$2:$D$21,3,FALSE)</f>
        <v>18</v>
      </c>
      <c r="V72" s="3" t="str">
        <f ca="1">VLOOKUP(E72,Vehicles!$A$2:$D$21,4,FALSE)</f>
        <v>CNG</v>
      </c>
      <c r="W72" s="3">
        <f ca="1">VLOOKUP(V72,Fuel_Rates!$A$2:$B$3,2,FALSE)</f>
        <v>78</v>
      </c>
      <c r="X72" s="3">
        <f t="shared" ca="1" si="29"/>
        <v>52.28</v>
      </c>
      <c r="Y72" s="3">
        <f t="shared" ca="1" si="30"/>
        <v>66372</v>
      </c>
      <c r="Z72" s="3" t="str">
        <f t="shared" ca="1" si="31"/>
        <v>Dec</v>
      </c>
      <c r="AA72" s="3" t="str">
        <f t="shared" ca="1" si="32"/>
        <v>Q4</v>
      </c>
      <c r="AB72" s="4" t="str">
        <f t="shared" ca="1" si="33"/>
        <v>Long Haul</v>
      </c>
    </row>
    <row r="73" spans="1:28" x14ac:dyDescent="0.3">
      <c r="A73" s="8" t="str">
        <f t="shared" si="28"/>
        <v>S0072</v>
      </c>
      <c r="B73" s="3">
        <f t="shared" ca="1" si="17"/>
        <v>45847</v>
      </c>
      <c r="C73" s="3" t="str">
        <f ca="1">INDEX(Customers!$A$2:$A$21,RANDBETWEEN(1,20))</f>
        <v>C015</v>
      </c>
      <c r="D73" s="3" t="str">
        <f ca="1">INDEX(Routes!$A$2:$A$31,RANDBETWEEN(1,30))</f>
        <v>R002</v>
      </c>
      <c r="E73" s="3" t="str">
        <f ca="1">INDEX(Vehicles!$A$2:$A$21,RANDBETWEEN(1,20))</f>
        <v>V006</v>
      </c>
      <c r="F73" s="3" t="str">
        <f ca="1">INDEX(Drivers!$A$2:$A$31,RANDBETWEEN(1,30))</f>
        <v>D014</v>
      </c>
      <c r="G73" s="3">
        <f t="shared" ca="1" si="18"/>
        <v>11.1</v>
      </c>
      <c r="H73" s="3">
        <f t="shared" ca="1" si="19"/>
        <v>30973</v>
      </c>
      <c r="I73" s="3">
        <f t="shared" ca="1" si="20"/>
        <v>8672</v>
      </c>
      <c r="J73" s="3">
        <f t="shared" ca="1" si="21"/>
        <v>1314</v>
      </c>
      <c r="K73" s="3">
        <f t="shared" ca="1" si="22"/>
        <v>8</v>
      </c>
      <c r="L73" s="3">
        <f t="shared" ca="1" si="23"/>
        <v>16</v>
      </c>
      <c r="M73" s="3">
        <f t="shared" ca="1" si="24"/>
        <v>8</v>
      </c>
      <c r="N73" s="3" t="str">
        <f t="shared" ca="1" si="25"/>
        <v>Delayed</v>
      </c>
      <c r="O73" s="3" t="str">
        <f t="shared" ca="1" si="26"/>
        <v>Low</v>
      </c>
      <c r="P73" s="3">
        <f t="shared" ca="1" si="27"/>
        <v>37</v>
      </c>
      <c r="Q73" s="1" t="str">
        <f ca="1">VLOOKUP(D73,Routes!$A$2:$D$31,2,FALSE)</f>
        <v>Mumbai</v>
      </c>
      <c r="R73" s="1" t="str">
        <f ca="1">VLOOKUP(D73,Routes!$A$2:$D$31,3,FALSE)</f>
        <v>Ahmedabad</v>
      </c>
      <c r="S73" s="3">
        <f ca="1">VLOOKUP(D73,Routes!$A$2:$D$31,4,FALSE)</f>
        <v>530</v>
      </c>
      <c r="T73" s="3" t="str">
        <f ca="1">VLOOKUP(E73,Vehicles!$A$2:$D$21,2,FALSE)</f>
        <v>Container</v>
      </c>
      <c r="U73" s="3">
        <f ca="1">VLOOKUP(E73,Vehicles!$A$2:$D$21,3,FALSE)</f>
        <v>18</v>
      </c>
      <c r="V73" s="3" t="str">
        <f ca="1">VLOOKUP(E73,Vehicles!$A$2:$D$21,4,FALSE)</f>
        <v>Diesel</v>
      </c>
      <c r="W73" s="3">
        <f ca="1">VLOOKUP(V73,Fuel_Rates!$A$2:$B$3,2,FALSE)</f>
        <v>95</v>
      </c>
      <c r="X73" s="3">
        <f t="shared" ca="1" si="29"/>
        <v>58.44</v>
      </c>
      <c r="Y73" s="3">
        <f t="shared" ca="1" si="30"/>
        <v>40959</v>
      </c>
      <c r="Z73" s="3" t="str">
        <f t="shared" ca="1" si="31"/>
        <v>Jul</v>
      </c>
      <c r="AA73" s="3" t="str">
        <f t="shared" ca="1" si="32"/>
        <v>Q3</v>
      </c>
      <c r="AB73" s="4" t="str">
        <f t="shared" ca="1" si="33"/>
        <v>Medium Haul</v>
      </c>
    </row>
    <row r="74" spans="1:28" x14ac:dyDescent="0.3">
      <c r="A74" s="8" t="str">
        <f t="shared" si="28"/>
        <v>S0073</v>
      </c>
      <c r="B74" s="3">
        <f t="shared" ca="1" si="17"/>
        <v>45740</v>
      </c>
      <c r="C74" s="3" t="str">
        <f ca="1">INDEX(Customers!$A$2:$A$21,RANDBETWEEN(1,20))</f>
        <v>C016</v>
      </c>
      <c r="D74" s="3" t="str">
        <f ca="1">INDEX(Routes!$A$2:$A$31,RANDBETWEEN(1,30))</f>
        <v>R023</v>
      </c>
      <c r="E74" s="3" t="str">
        <f ca="1">INDEX(Vehicles!$A$2:$A$21,RANDBETWEEN(1,20))</f>
        <v>V010</v>
      </c>
      <c r="F74" s="3" t="str">
        <f ca="1">INDEX(Drivers!$A$2:$A$31,RANDBETWEEN(1,30))</f>
        <v>D007</v>
      </c>
      <c r="G74" s="3">
        <f t="shared" ca="1" si="18"/>
        <v>4.5</v>
      </c>
      <c r="H74" s="3">
        <f t="shared" ca="1" si="19"/>
        <v>17371</v>
      </c>
      <c r="I74" s="3">
        <f t="shared" ca="1" si="20"/>
        <v>4864</v>
      </c>
      <c r="J74" s="3">
        <f t="shared" ca="1" si="21"/>
        <v>1288</v>
      </c>
      <c r="K74" s="3">
        <f t="shared" ca="1" si="22"/>
        <v>26</v>
      </c>
      <c r="L74" s="3">
        <f t="shared" ca="1" si="23"/>
        <v>28</v>
      </c>
      <c r="M74" s="3">
        <f t="shared" ca="1" si="24"/>
        <v>2</v>
      </c>
      <c r="N74" s="3" t="str">
        <f t="shared" ca="1" si="25"/>
        <v>On Time</v>
      </c>
      <c r="O74" s="3" t="str">
        <f t="shared" ca="1" si="26"/>
        <v>Low</v>
      </c>
      <c r="P74" s="3">
        <f t="shared" ca="1" si="27"/>
        <v>15</v>
      </c>
      <c r="Q74" s="1" t="str">
        <f ca="1">VLOOKUP(D74,Routes!$A$2:$D$31,2,FALSE)</f>
        <v>Kochi</v>
      </c>
      <c r="R74" s="1" t="str">
        <f ca="1">VLOOKUP(D74,Routes!$A$2:$D$31,3,FALSE)</f>
        <v>Bengaluru</v>
      </c>
      <c r="S74" s="3">
        <f ca="1">VLOOKUP(D74,Routes!$A$2:$D$31,4,FALSE)</f>
        <v>550</v>
      </c>
      <c r="T74" s="3" t="str">
        <f ca="1">VLOOKUP(E74,Vehicles!$A$2:$D$21,2,FALSE)</f>
        <v>LCV</v>
      </c>
      <c r="U74" s="3">
        <f ca="1">VLOOKUP(E74,Vehicles!$A$2:$D$21,3,FALSE)</f>
        <v>7</v>
      </c>
      <c r="V74" s="3" t="str">
        <f ca="1">VLOOKUP(E74,Vehicles!$A$2:$D$21,4,FALSE)</f>
        <v>Diesel</v>
      </c>
      <c r="W74" s="3">
        <f ca="1">VLOOKUP(V74,Fuel_Rates!$A$2:$B$3,2,FALSE)</f>
        <v>95</v>
      </c>
      <c r="X74" s="3">
        <f t="shared" ca="1" si="29"/>
        <v>31.58</v>
      </c>
      <c r="Y74" s="3">
        <f t="shared" ca="1" si="30"/>
        <v>23523</v>
      </c>
      <c r="Z74" s="3" t="str">
        <f t="shared" ca="1" si="31"/>
        <v>Mar</v>
      </c>
      <c r="AA74" s="3" t="str">
        <f t="shared" ca="1" si="32"/>
        <v>Q1</v>
      </c>
      <c r="AB74" s="4" t="str">
        <f t="shared" ca="1" si="33"/>
        <v>Medium Haul</v>
      </c>
    </row>
    <row r="75" spans="1:28" x14ac:dyDescent="0.3">
      <c r="A75" s="8" t="str">
        <f t="shared" si="28"/>
        <v>S0074</v>
      </c>
      <c r="B75" s="3">
        <f t="shared" ca="1" si="17"/>
        <v>45895</v>
      </c>
      <c r="C75" s="3" t="str">
        <f ca="1">INDEX(Customers!$A$2:$A$21,RANDBETWEEN(1,20))</f>
        <v>C016</v>
      </c>
      <c r="D75" s="3" t="str">
        <f ca="1">INDEX(Routes!$A$2:$A$31,RANDBETWEEN(1,30))</f>
        <v>R030</v>
      </c>
      <c r="E75" s="3" t="str">
        <f ca="1">INDEX(Vehicles!$A$2:$A$21,RANDBETWEEN(1,20))</f>
        <v>V008</v>
      </c>
      <c r="F75" s="3" t="str">
        <f ca="1">INDEX(Drivers!$A$2:$A$31,RANDBETWEEN(1,30))</f>
        <v>D009</v>
      </c>
      <c r="G75" s="3">
        <f t="shared" ca="1" si="18"/>
        <v>19.899999999999999</v>
      </c>
      <c r="H75" s="3">
        <f t="shared" ca="1" si="19"/>
        <v>48845</v>
      </c>
      <c r="I75" s="3">
        <f t="shared" ca="1" si="20"/>
        <v>13677</v>
      </c>
      <c r="J75" s="3">
        <f t="shared" ca="1" si="21"/>
        <v>1454</v>
      </c>
      <c r="K75" s="3">
        <f t="shared" ca="1" si="22"/>
        <v>40</v>
      </c>
      <c r="L75" s="3">
        <f t="shared" ca="1" si="23"/>
        <v>48</v>
      </c>
      <c r="M75" s="3">
        <f t="shared" ca="1" si="24"/>
        <v>8</v>
      </c>
      <c r="N75" s="3" t="str">
        <f t="shared" ca="1" si="25"/>
        <v>Delayed</v>
      </c>
      <c r="O75" s="3" t="str">
        <f t="shared" ca="1" si="26"/>
        <v>High</v>
      </c>
      <c r="P75" s="3">
        <f t="shared" ca="1" si="27"/>
        <v>66.3</v>
      </c>
      <c r="Q75" s="1" t="str">
        <f ca="1">VLOOKUP(D75,Routes!$A$2:$D$31,2,FALSE)</f>
        <v>Bhubaneswar</v>
      </c>
      <c r="R75" s="1" t="str">
        <f ca="1">VLOOKUP(D75,Routes!$A$2:$D$31,3,FALSE)</f>
        <v>Kolkata</v>
      </c>
      <c r="S75" s="3">
        <f ca="1">VLOOKUP(D75,Routes!$A$2:$D$31,4,FALSE)</f>
        <v>440</v>
      </c>
      <c r="T75" s="3" t="str">
        <f ca="1">VLOOKUP(E75,Vehicles!$A$2:$D$21,2,FALSE)</f>
        <v>Container</v>
      </c>
      <c r="U75" s="3">
        <f ca="1">VLOOKUP(E75,Vehicles!$A$2:$D$21,3,FALSE)</f>
        <v>25</v>
      </c>
      <c r="V75" s="3" t="str">
        <f ca="1">VLOOKUP(E75,Vehicles!$A$2:$D$21,4,FALSE)</f>
        <v>Diesel</v>
      </c>
      <c r="W75" s="3">
        <f ca="1">VLOOKUP(V75,Fuel_Rates!$A$2:$B$3,2,FALSE)</f>
        <v>95</v>
      </c>
      <c r="X75" s="3">
        <f t="shared" ca="1" si="29"/>
        <v>111.01</v>
      </c>
      <c r="Y75" s="3">
        <f t="shared" ca="1" si="30"/>
        <v>63976</v>
      </c>
      <c r="Z75" s="3" t="str">
        <f t="shared" ca="1" si="31"/>
        <v>Aug</v>
      </c>
      <c r="AA75" s="3" t="str">
        <f t="shared" ca="1" si="32"/>
        <v>Q3</v>
      </c>
      <c r="AB75" s="4" t="str">
        <f t="shared" ca="1" si="33"/>
        <v>Medium Haul</v>
      </c>
    </row>
    <row r="76" spans="1:28" x14ac:dyDescent="0.3">
      <c r="A76" s="8" t="str">
        <f t="shared" si="28"/>
        <v>S0075</v>
      </c>
      <c r="B76" s="3">
        <f t="shared" ca="1" si="17"/>
        <v>45720</v>
      </c>
      <c r="C76" s="3" t="str">
        <f ca="1">INDEX(Customers!$A$2:$A$21,RANDBETWEEN(1,20))</f>
        <v>C020</v>
      </c>
      <c r="D76" s="3" t="str">
        <f ca="1">INDEX(Routes!$A$2:$A$31,RANDBETWEEN(1,30))</f>
        <v>R014</v>
      </c>
      <c r="E76" s="3" t="str">
        <f ca="1">INDEX(Vehicles!$A$2:$A$21,RANDBETWEEN(1,20))</f>
        <v>V005</v>
      </c>
      <c r="F76" s="3" t="str">
        <f ca="1">INDEX(Drivers!$A$2:$A$31,RANDBETWEEN(1,30))</f>
        <v>D030</v>
      </c>
      <c r="G76" s="3">
        <f t="shared" ca="1" si="18"/>
        <v>29.1</v>
      </c>
      <c r="H76" s="3">
        <f t="shared" ca="1" si="19"/>
        <v>58058</v>
      </c>
      <c r="I76" s="3">
        <f t="shared" ca="1" si="20"/>
        <v>16256</v>
      </c>
      <c r="J76" s="3">
        <f t="shared" ca="1" si="21"/>
        <v>2943</v>
      </c>
      <c r="K76" s="3">
        <f t="shared" ca="1" si="22"/>
        <v>45</v>
      </c>
      <c r="L76" s="3">
        <f t="shared" ca="1" si="23"/>
        <v>48</v>
      </c>
      <c r="M76" s="3">
        <f t="shared" ca="1" si="24"/>
        <v>3</v>
      </c>
      <c r="N76" s="3" t="str">
        <f t="shared" ca="1" si="25"/>
        <v>Delayed</v>
      </c>
      <c r="O76" s="3" t="str">
        <f t="shared" ca="1" si="26"/>
        <v>Low</v>
      </c>
      <c r="P76" s="3">
        <f t="shared" ca="1" si="27"/>
        <v>97</v>
      </c>
      <c r="Q76" s="1" t="str">
        <f ca="1">VLOOKUP(D76,Routes!$A$2:$D$31,2,FALSE)</f>
        <v>Hyderabad</v>
      </c>
      <c r="R76" s="1" t="str">
        <f ca="1">VLOOKUP(D76,Routes!$A$2:$D$31,3,FALSE)</f>
        <v>Nagpur</v>
      </c>
      <c r="S76" s="3">
        <f ca="1">VLOOKUP(D76,Routes!$A$2:$D$31,4,FALSE)</f>
        <v>500</v>
      </c>
      <c r="T76" s="3" t="str">
        <f ca="1">VLOOKUP(E76,Vehicles!$A$2:$D$21,2,FALSE)</f>
        <v>Trailer</v>
      </c>
      <c r="U76" s="3">
        <f ca="1">VLOOKUP(E76,Vehicles!$A$2:$D$21,3,FALSE)</f>
        <v>32</v>
      </c>
      <c r="V76" s="3" t="str">
        <f ca="1">VLOOKUP(E76,Vehicles!$A$2:$D$21,4,FALSE)</f>
        <v>Diesel</v>
      </c>
      <c r="W76" s="3">
        <f ca="1">VLOOKUP(V76,Fuel_Rates!$A$2:$B$3,2,FALSE)</f>
        <v>95</v>
      </c>
      <c r="X76" s="3">
        <f t="shared" ca="1" si="29"/>
        <v>116.12</v>
      </c>
      <c r="Y76" s="3">
        <f t="shared" ca="1" si="30"/>
        <v>77257</v>
      </c>
      <c r="Z76" s="3" t="str">
        <f t="shared" ca="1" si="31"/>
        <v>Mar</v>
      </c>
      <c r="AA76" s="3" t="str">
        <f t="shared" ca="1" si="32"/>
        <v>Q1</v>
      </c>
      <c r="AB76" s="4" t="str">
        <f t="shared" ca="1" si="33"/>
        <v>Medium Haul</v>
      </c>
    </row>
    <row r="77" spans="1:28" x14ac:dyDescent="0.3">
      <c r="A77" s="8" t="str">
        <f t="shared" si="28"/>
        <v>S0076</v>
      </c>
      <c r="B77" s="3">
        <f t="shared" ca="1" si="17"/>
        <v>45673</v>
      </c>
      <c r="C77" s="3" t="str">
        <f ca="1">INDEX(Customers!$A$2:$A$21,RANDBETWEEN(1,20))</f>
        <v>C001</v>
      </c>
      <c r="D77" s="3" t="str">
        <f ca="1">INDEX(Routes!$A$2:$A$31,RANDBETWEEN(1,30))</f>
        <v>R002</v>
      </c>
      <c r="E77" s="3" t="str">
        <f ca="1">INDEX(Vehicles!$A$2:$A$21,RANDBETWEEN(1,20))</f>
        <v>V008</v>
      </c>
      <c r="F77" s="3" t="str">
        <f ca="1">INDEX(Drivers!$A$2:$A$31,RANDBETWEEN(1,30))</f>
        <v>D017</v>
      </c>
      <c r="G77" s="3">
        <f t="shared" ca="1" si="18"/>
        <v>21</v>
      </c>
      <c r="H77" s="3">
        <f t="shared" ca="1" si="19"/>
        <v>42390</v>
      </c>
      <c r="I77" s="3">
        <f t="shared" ca="1" si="20"/>
        <v>11869</v>
      </c>
      <c r="J77" s="3">
        <f t="shared" ca="1" si="21"/>
        <v>3105</v>
      </c>
      <c r="K77" s="3">
        <f t="shared" ca="1" si="22"/>
        <v>41</v>
      </c>
      <c r="L77" s="3">
        <f t="shared" ca="1" si="23"/>
        <v>48</v>
      </c>
      <c r="M77" s="3">
        <f t="shared" ca="1" si="24"/>
        <v>7</v>
      </c>
      <c r="N77" s="3" t="str">
        <f t="shared" ca="1" si="25"/>
        <v>Delayed</v>
      </c>
      <c r="O77" s="3" t="str">
        <f t="shared" ca="1" si="26"/>
        <v>Low</v>
      </c>
      <c r="P77" s="3">
        <f t="shared" ca="1" si="27"/>
        <v>70</v>
      </c>
      <c r="Q77" s="1" t="str">
        <f ca="1">VLOOKUP(D77,Routes!$A$2:$D$31,2,FALSE)</f>
        <v>Mumbai</v>
      </c>
      <c r="R77" s="1" t="str">
        <f ca="1">VLOOKUP(D77,Routes!$A$2:$D$31,3,FALSE)</f>
        <v>Ahmedabad</v>
      </c>
      <c r="S77" s="3">
        <f ca="1">VLOOKUP(D77,Routes!$A$2:$D$31,4,FALSE)</f>
        <v>530</v>
      </c>
      <c r="T77" s="3" t="str">
        <f ca="1">VLOOKUP(E77,Vehicles!$A$2:$D$21,2,FALSE)</f>
        <v>Container</v>
      </c>
      <c r="U77" s="3">
        <f ca="1">VLOOKUP(E77,Vehicles!$A$2:$D$21,3,FALSE)</f>
        <v>25</v>
      </c>
      <c r="V77" s="3" t="str">
        <f ca="1">VLOOKUP(E77,Vehicles!$A$2:$D$21,4,FALSE)</f>
        <v>Diesel</v>
      </c>
      <c r="W77" s="3">
        <f ca="1">VLOOKUP(V77,Fuel_Rates!$A$2:$B$3,2,FALSE)</f>
        <v>95</v>
      </c>
      <c r="X77" s="3">
        <f t="shared" ca="1" si="29"/>
        <v>79.98</v>
      </c>
      <c r="Y77" s="3">
        <f t="shared" ca="1" si="30"/>
        <v>57364</v>
      </c>
      <c r="Z77" s="3" t="str">
        <f t="shared" ca="1" si="31"/>
        <v>Jan</v>
      </c>
      <c r="AA77" s="3" t="str">
        <f t="shared" ca="1" si="32"/>
        <v>Q1</v>
      </c>
      <c r="AB77" s="4" t="str">
        <f t="shared" ca="1" si="33"/>
        <v>Medium Haul</v>
      </c>
    </row>
    <row r="78" spans="1:28" x14ac:dyDescent="0.3">
      <c r="A78" s="8" t="str">
        <f t="shared" si="28"/>
        <v>S0077</v>
      </c>
      <c r="B78" s="3">
        <f t="shared" ca="1" si="17"/>
        <v>45773</v>
      </c>
      <c r="C78" s="3" t="str">
        <f ca="1">INDEX(Customers!$A$2:$A$21,RANDBETWEEN(1,20))</f>
        <v>C016</v>
      </c>
      <c r="D78" s="3" t="str">
        <f ca="1">INDEX(Routes!$A$2:$A$31,RANDBETWEEN(1,30))</f>
        <v>R023</v>
      </c>
      <c r="E78" s="3" t="str">
        <f ca="1">INDEX(Vehicles!$A$2:$A$21,RANDBETWEEN(1,20))</f>
        <v>V015</v>
      </c>
      <c r="F78" s="3" t="str">
        <f ca="1">INDEX(Drivers!$A$2:$A$31,RANDBETWEEN(1,30))</f>
        <v>D028</v>
      </c>
      <c r="G78" s="3">
        <f t="shared" ca="1" si="18"/>
        <v>22.8</v>
      </c>
      <c r="H78" s="3">
        <f t="shared" ca="1" si="19"/>
        <v>46331</v>
      </c>
      <c r="I78" s="3">
        <f t="shared" ca="1" si="20"/>
        <v>12973</v>
      </c>
      <c r="J78" s="3">
        <f t="shared" ca="1" si="21"/>
        <v>622</v>
      </c>
      <c r="K78" s="3">
        <f t="shared" ca="1" si="22"/>
        <v>45</v>
      </c>
      <c r="L78" s="3">
        <f t="shared" ca="1" si="23"/>
        <v>46</v>
      </c>
      <c r="M78" s="3">
        <f t="shared" ca="1" si="24"/>
        <v>1</v>
      </c>
      <c r="N78" s="3" t="str">
        <f t="shared" ca="1" si="25"/>
        <v>On Time</v>
      </c>
      <c r="O78" s="3" t="str">
        <f t="shared" ca="1" si="26"/>
        <v>Medium</v>
      </c>
      <c r="P78" s="3">
        <f t="shared" ca="1" si="27"/>
        <v>76</v>
      </c>
      <c r="Q78" s="1" t="str">
        <f ca="1">VLOOKUP(D78,Routes!$A$2:$D$31,2,FALSE)</f>
        <v>Kochi</v>
      </c>
      <c r="R78" s="1" t="str">
        <f ca="1">VLOOKUP(D78,Routes!$A$2:$D$31,3,FALSE)</f>
        <v>Bengaluru</v>
      </c>
      <c r="S78" s="3">
        <f ca="1">VLOOKUP(D78,Routes!$A$2:$D$31,4,FALSE)</f>
        <v>550</v>
      </c>
      <c r="T78" s="3" t="str">
        <f ca="1">VLOOKUP(E78,Vehicles!$A$2:$D$21,2,FALSE)</f>
        <v>Trailer</v>
      </c>
      <c r="U78" s="3">
        <f ca="1">VLOOKUP(E78,Vehicles!$A$2:$D$21,3,FALSE)</f>
        <v>30</v>
      </c>
      <c r="V78" s="3" t="str">
        <f ca="1">VLOOKUP(E78,Vehicles!$A$2:$D$21,4,FALSE)</f>
        <v>Diesel</v>
      </c>
      <c r="W78" s="3">
        <f ca="1">VLOOKUP(V78,Fuel_Rates!$A$2:$B$3,2,FALSE)</f>
        <v>95</v>
      </c>
      <c r="X78" s="3">
        <f t="shared" ca="1" si="29"/>
        <v>84.24</v>
      </c>
      <c r="Y78" s="3">
        <f t="shared" ca="1" si="30"/>
        <v>59926</v>
      </c>
      <c r="Z78" s="3" t="str">
        <f t="shared" ca="1" si="31"/>
        <v>Apr</v>
      </c>
      <c r="AA78" s="3" t="str">
        <f t="shared" ca="1" si="32"/>
        <v>Q2</v>
      </c>
      <c r="AB78" s="4" t="str">
        <f t="shared" ca="1" si="33"/>
        <v>Medium Haul</v>
      </c>
    </row>
    <row r="79" spans="1:28" x14ac:dyDescent="0.3">
      <c r="A79" s="8" t="str">
        <f t="shared" si="28"/>
        <v>S0078</v>
      </c>
      <c r="B79" s="3">
        <f t="shared" ca="1" si="17"/>
        <v>45662</v>
      </c>
      <c r="C79" s="3" t="str">
        <f ca="1">INDEX(Customers!$A$2:$A$21,RANDBETWEEN(1,20))</f>
        <v>C020</v>
      </c>
      <c r="D79" s="3" t="str">
        <f ca="1">INDEX(Routes!$A$2:$A$31,RANDBETWEEN(1,30))</f>
        <v>R017</v>
      </c>
      <c r="E79" s="3" t="str">
        <f ca="1">INDEX(Vehicles!$A$2:$A$21,RANDBETWEEN(1,20))</f>
        <v>V016</v>
      </c>
      <c r="F79" s="3" t="str">
        <f ca="1">INDEX(Drivers!$A$2:$A$31,RANDBETWEEN(1,30))</f>
        <v>D027</v>
      </c>
      <c r="G79" s="3">
        <f t="shared" ca="1" si="18"/>
        <v>27.8</v>
      </c>
      <c r="H79" s="3">
        <f t="shared" ca="1" si="19"/>
        <v>60569</v>
      </c>
      <c r="I79" s="3">
        <f t="shared" ca="1" si="20"/>
        <v>16959</v>
      </c>
      <c r="J79" s="3">
        <f t="shared" ca="1" si="21"/>
        <v>3351</v>
      </c>
      <c r="K79" s="3">
        <f t="shared" ca="1" si="22"/>
        <v>24</v>
      </c>
      <c r="L79" s="3">
        <f t="shared" ca="1" si="23"/>
        <v>30</v>
      </c>
      <c r="M79" s="3">
        <f t="shared" ca="1" si="24"/>
        <v>6</v>
      </c>
      <c r="N79" s="3" t="str">
        <f t="shared" ca="1" si="25"/>
        <v>Delayed</v>
      </c>
      <c r="O79" s="3" t="str">
        <f t="shared" ca="1" si="26"/>
        <v>Medium</v>
      </c>
      <c r="P79" s="3">
        <f t="shared" ca="1" si="27"/>
        <v>92.7</v>
      </c>
      <c r="Q79" s="1" t="str">
        <f ca="1">VLOOKUP(D79,Routes!$A$2:$D$31,2,FALSE)</f>
        <v>Kolkata</v>
      </c>
      <c r="R79" s="1" t="str">
        <f ca="1">VLOOKUP(D79,Routes!$A$2:$D$31,3,FALSE)</f>
        <v>Patna</v>
      </c>
      <c r="S79" s="3">
        <f ca="1">VLOOKUP(D79,Routes!$A$2:$D$31,4,FALSE)</f>
        <v>620</v>
      </c>
      <c r="T79" s="3" t="str">
        <f ca="1">VLOOKUP(E79,Vehicles!$A$2:$D$21,2,FALSE)</f>
        <v>Container</v>
      </c>
      <c r="U79" s="3">
        <f ca="1">VLOOKUP(E79,Vehicles!$A$2:$D$21,3,FALSE)</f>
        <v>22</v>
      </c>
      <c r="V79" s="3" t="str">
        <f ca="1">VLOOKUP(E79,Vehicles!$A$2:$D$21,4,FALSE)</f>
        <v>Diesel</v>
      </c>
      <c r="W79" s="3">
        <f ca="1">VLOOKUP(V79,Fuel_Rates!$A$2:$B$3,2,FALSE)</f>
        <v>95</v>
      </c>
      <c r="X79" s="3">
        <f t="shared" ca="1" si="29"/>
        <v>97.69</v>
      </c>
      <c r="Y79" s="3">
        <f t="shared" ca="1" si="30"/>
        <v>80879</v>
      </c>
      <c r="Z79" s="3" t="str">
        <f t="shared" ca="1" si="31"/>
        <v>Jan</v>
      </c>
      <c r="AA79" s="3" t="str">
        <f t="shared" ca="1" si="32"/>
        <v>Q1</v>
      </c>
      <c r="AB79" s="4" t="str">
        <f t="shared" ca="1" si="33"/>
        <v>Medium Haul</v>
      </c>
    </row>
    <row r="80" spans="1:28" x14ac:dyDescent="0.3">
      <c r="A80" s="8" t="str">
        <f t="shared" si="28"/>
        <v>S0079</v>
      </c>
      <c r="B80" s="3">
        <f t="shared" ca="1" si="17"/>
        <v>46010</v>
      </c>
      <c r="C80" s="3" t="str">
        <f ca="1">INDEX(Customers!$A$2:$A$21,RANDBETWEEN(1,20))</f>
        <v>C015</v>
      </c>
      <c r="D80" s="3" t="str">
        <f ca="1">INDEX(Routes!$A$2:$A$31,RANDBETWEEN(1,30))</f>
        <v>R023</v>
      </c>
      <c r="E80" s="3" t="str">
        <f ca="1">INDEX(Vehicles!$A$2:$A$21,RANDBETWEEN(1,20))</f>
        <v>V014</v>
      </c>
      <c r="F80" s="3" t="str">
        <f ca="1">INDEX(Drivers!$A$2:$A$31,RANDBETWEEN(1,30))</f>
        <v>D016</v>
      </c>
      <c r="G80" s="3">
        <f t="shared" ca="1" si="18"/>
        <v>25.5</v>
      </c>
      <c r="H80" s="3">
        <f t="shared" ca="1" si="19"/>
        <v>55601</v>
      </c>
      <c r="I80" s="3">
        <f t="shared" ca="1" si="20"/>
        <v>15568</v>
      </c>
      <c r="J80" s="3">
        <f t="shared" ca="1" si="21"/>
        <v>2527</v>
      </c>
      <c r="K80" s="3">
        <f t="shared" ca="1" si="22"/>
        <v>15</v>
      </c>
      <c r="L80" s="3">
        <f t="shared" ca="1" si="23"/>
        <v>20</v>
      </c>
      <c r="M80" s="3">
        <f t="shared" ca="1" si="24"/>
        <v>5</v>
      </c>
      <c r="N80" s="3" t="str">
        <f t="shared" ca="1" si="25"/>
        <v>Delayed</v>
      </c>
      <c r="O80" s="3" t="str">
        <f t="shared" ca="1" si="26"/>
        <v>Low</v>
      </c>
      <c r="P80" s="3">
        <f t="shared" ca="1" si="27"/>
        <v>85</v>
      </c>
      <c r="Q80" s="1" t="str">
        <f ca="1">VLOOKUP(D80,Routes!$A$2:$D$31,2,FALSE)</f>
        <v>Kochi</v>
      </c>
      <c r="R80" s="1" t="str">
        <f ca="1">VLOOKUP(D80,Routes!$A$2:$D$31,3,FALSE)</f>
        <v>Bengaluru</v>
      </c>
      <c r="S80" s="3">
        <f ca="1">VLOOKUP(D80,Routes!$A$2:$D$31,4,FALSE)</f>
        <v>550</v>
      </c>
      <c r="T80" s="3" t="str">
        <f ca="1">VLOOKUP(E80,Vehicles!$A$2:$D$21,2,FALSE)</f>
        <v>LCV</v>
      </c>
      <c r="U80" s="3">
        <f ca="1">VLOOKUP(E80,Vehicles!$A$2:$D$21,3,FALSE)</f>
        <v>6</v>
      </c>
      <c r="V80" s="3" t="str">
        <f ca="1">VLOOKUP(E80,Vehicles!$A$2:$D$21,4,FALSE)</f>
        <v>CNG</v>
      </c>
      <c r="W80" s="3">
        <f ca="1">VLOOKUP(V80,Fuel_Rates!$A$2:$B$3,2,FALSE)</f>
        <v>78</v>
      </c>
      <c r="X80" s="3">
        <f t="shared" ca="1" si="29"/>
        <v>101.09</v>
      </c>
      <c r="Y80" s="3">
        <f t="shared" ca="1" si="30"/>
        <v>73696</v>
      </c>
      <c r="Z80" s="3" t="str">
        <f t="shared" ca="1" si="31"/>
        <v>Dec</v>
      </c>
      <c r="AA80" s="3" t="str">
        <f t="shared" ca="1" si="32"/>
        <v>Q4</v>
      </c>
      <c r="AB80" s="4" t="str">
        <f t="shared" ca="1" si="33"/>
        <v>Medium Haul</v>
      </c>
    </row>
    <row r="81" spans="1:28" x14ac:dyDescent="0.3">
      <c r="A81" s="8" t="str">
        <f t="shared" si="28"/>
        <v>S0080</v>
      </c>
      <c r="B81" s="3">
        <f t="shared" ca="1" si="17"/>
        <v>45811</v>
      </c>
      <c r="C81" s="3" t="str">
        <f ca="1">INDEX(Customers!$A$2:$A$21,RANDBETWEEN(1,20))</f>
        <v>C002</v>
      </c>
      <c r="D81" s="3" t="str">
        <f ca="1">INDEX(Routes!$A$2:$A$31,RANDBETWEEN(1,30))</f>
        <v>R010</v>
      </c>
      <c r="E81" s="3" t="str">
        <f ca="1">INDEX(Vehicles!$A$2:$A$21,RANDBETWEEN(1,20))</f>
        <v>V013</v>
      </c>
      <c r="F81" s="3" t="str">
        <f ca="1">INDEX(Drivers!$A$2:$A$31,RANDBETWEEN(1,30))</f>
        <v>D022</v>
      </c>
      <c r="G81" s="3">
        <f t="shared" ca="1" si="18"/>
        <v>25.4</v>
      </c>
      <c r="H81" s="3">
        <f t="shared" ca="1" si="19"/>
        <v>50553</v>
      </c>
      <c r="I81" s="3">
        <f t="shared" ca="1" si="20"/>
        <v>14155</v>
      </c>
      <c r="J81" s="3">
        <f t="shared" ca="1" si="21"/>
        <v>1956</v>
      </c>
      <c r="K81" s="3">
        <f t="shared" ca="1" si="22"/>
        <v>22</v>
      </c>
      <c r="L81" s="3">
        <f t="shared" ca="1" si="23"/>
        <v>25</v>
      </c>
      <c r="M81" s="3">
        <f t="shared" ca="1" si="24"/>
        <v>3</v>
      </c>
      <c r="N81" s="3" t="str">
        <f t="shared" ca="1" si="25"/>
        <v>Delayed</v>
      </c>
      <c r="O81" s="3" t="str">
        <f t="shared" ca="1" si="26"/>
        <v>Low</v>
      </c>
      <c r="P81" s="3">
        <f t="shared" ca="1" si="27"/>
        <v>84.7</v>
      </c>
      <c r="Q81" s="1" t="str">
        <f ca="1">VLOOKUP(D81,Routes!$A$2:$D$31,2,FALSE)</f>
        <v>Bengaluru</v>
      </c>
      <c r="R81" s="1" t="str">
        <f ca="1">VLOOKUP(D81,Routes!$A$2:$D$31,3,FALSE)</f>
        <v>Hyderabad</v>
      </c>
      <c r="S81" s="3">
        <f ca="1">VLOOKUP(D81,Routes!$A$2:$D$31,4,FALSE)</f>
        <v>570</v>
      </c>
      <c r="T81" s="3" t="str">
        <f ca="1">VLOOKUP(E81,Vehicles!$A$2:$D$21,2,FALSE)</f>
        <v>LCV</v>
      </c>
      <c r="U81" s="3">
        <f ca="1">VLOOKUP(E81,Vehicles!$A$2:$D$21,3,FALSE)</f>
        <v>4</v>
      </c>
      <c r="V81" s="3" t="str">
        <f ca="1">VLOOKUP(E81,Vehicles!$A$2:$D$21,4,FALSE)</f>
        <v>CNG</v>
      </c>
      <c r="W81" s="3">
        <f ca="1">VLOOKUP(V81,Fuel_Rates!$A$2:$B$3,2,FALSE)</f>
        <v>78</v>
      </c>
      <c r="X81" s="3">
        <f t="shared" ca="1" si="29"/>
        <v>88.69</v>
      </c>
      <c r="Y81" s="3">
        <f t="shared" ca="1" si="30"/>
        <v>66664</v>
      </c>
      <c r="Z81" s="3" t="str">
        <f t="shared" ca="1" si="31"/>
        <v>Jun</v>
      </c>
      <c r="AA81" s="3" t="str">
        <f t="shared" ca="1" si="32"/>
        <v>Q2</v>
      </c>
      <c r="AB81" s="4" t="str">
        <f t="shared" ca="1" si="33"/>
        <v>Medium Haul</v>
      </c>
    </row>
    <row r="82" spans="1:28" x14ac:dyDescent="0.3">
      <c r="A82" s="8" t="str">
        <f t="shared" si="28"/>
        <v>S0081</v>
      </c>
      <c r="B82" s="3">
        <f t="shared" ca="1" si="17"/>
        <v>45912</v>
      </c>
      <c r="C82" s="3" t="str">
        <f ca="1">INDEX(Customers!$A$2:$A$21,RANDBETWEEN(1,20))</f>
        <v>C014</v>
      </c>
      <c r="D82" s="3" t="str">
        <f ca="1">INDEX(Routes!$A$2:$A$31,RANDBETWEEN(1,30))</f>
        <v>R002</v>
      </c>
      <c r="E82" s="3" t="str">
        <f ca="1">INDEX(Vehicles!$A$2:$A$21,RANDBETWEEN(1,20))</f>
        <v>V012</v>
      </c>
      <c r="F82" s="3" t="str">
        <f ca="1">INDEX(Drivers!$A$2:$A$31,RANDBETWEEN(1,30))</f>
        <v>D001</v>
      </c>
      <c r="G82" s="3">
        <f t="shared" ca="1" si="18"/>
        <v>22.9</v>
      </c>
      <c r="H82" s="3">
        <f t="shared" ca="1" si="19"/>
        <v>46438</v>
      </c>
      <c r="I82" s="3">
        <f t="shared" ca="1" si="20"/>
        <v>13003</v>
      </c>
      <c r="J82" s="3">
        <f t="shared" ca="1" si="21"/>
        <v>3330</v>
      </c>
      <c r="K82" s="3">
        <f t="shared" ca="1" si="22"/>
        <v>21</v>
      </c>
      <c r="L82" s="3">
        <f t="shared" ca="1" si="23"/>
        <v>24</v>
      </c>
      <c r="M82" s="3">
        <f t="shared" ca="1" si="24"/>
        <v>3</v>
      </c>
      <c r="N82" s="3" t="str">
        <f t="shared" ca="1" si="25"/>
        <v>Delayed</v>
      </c>
      <c r="O82" s="3" t="str">
        <f t="shared" ca="1" si="26"/>
        <v>Medium</v>
      </c>
      <c r="P82" s="3">
        <f t="shared" ca="1" si="27"/>
        <v>76.3</v>
      </c>
      <c r="Q82" s="1" t="str">
        <f ca="1">VLOOKUP(D82,Routes!$A$2:$D$31,2,FALSE)</f>
        <v>Mumbai</v>
      </c>
      <c r="R82" s="1" t="str">
        <f ca="1">VLOOKUP(D82,Routes!$A$2:$D$31,3,FALSE)</f>
        <v>Ahmedabad</v>
      </c>
      <c r="S82" s="3">
        <f ca="1">VLOOKUP(D82,Routes!$A$2:$D$31,4,FALSE)</f>
        <v>530</v>
      </c>
      <c r="T82" s="3" t="str">
        <f ca="1">VLOOKUP(E82,Vehicles!$A$2:$D$21,2,FALSE)</f>
        <v>Truck</v>
      </c>
      <c r="U82" s="3">
        <f ca="1">VLOOKUP(E82,Vehicles!$A$2:$D$21,3,FALSE)</f>
        <v>20</v>
      </c>
      <c r="V82" s="3" t="str">
        <f ca="1">VLOOKUP(E82,Vehicles!$A$2:$D$21,4,FALSE)</f>
        <v>CNG</v>
      </c>
      <c r="W82" s="3">
        <f ca="1">VLOOKUP(V82,Fuel_Rates!$A$2:$B$3,2,FALSE)</f>
        <v>78</v>
      </c>
      <c r="X82" s="3">
        <f t="shared" ca="1" si="29"/>
        <v>87.62</v>
      </c>
      <c r="Y82" s="3">
        <f t="shared" ca="1" si="30"/>
        <v>62771</v>
      </c>
      <c r="Z82" s="3" t="str">
        <f t="shared" ca="1" si="31"/>
        <v>Sep</v>
      </c>
      <c r="AA82" s="3" t="str">
        <f t="shared" ca="1" si="32"/>
        <v>Q3</v>
      </c>
      <c r="AB82" s="4" t="str">
        <f t="shared" ca="1" si="33"/>
        <v>Medium Haul</v>
      </c>
    </row>
    <row r="83" spans="1:28" x14ac:dyDescent="0.3">
      <c r="A83" s="8" t="str">
        <f t="shared" si="28"/>
        <v>S0082</v>
      </c>
      <c r="B83" s="3">
        <f t="shared" ca="1" si="17"/>
        <v>45902</v>
      </c>
      <c r="C83" s="3" t="str">
        <f ca="1">INDEX(Customers!$A$2:$A$21,RANDBETWEEN(1,20))</f>
        <v>C007</v>
      </c>
      <c r="D83" s="3" t="str">
        <f ca="1">INDEX(Routes!$A$2:$A$31,RANDBETWEEN(1,30))</f>
        <v>R001</v>
      </c>
      <c r="E83" s="3" t="str">
        <f ca="1">INDEX(Vehicles!$A$2:$A$21,RANDBETWEEN(1,20))</f>
        <v>V006</v>
      </c>
      <c r="F83" s="3" t="str">
        <f ca="1">INDEX(Drivers!$A$2:$A$31,RANDBETWEEN(1,30))</f>
        <v>D026</v>
      </c>
      <c r="G83" s="3">
        <f t="shared" ca="1" si="18"/>
        <v>22.3</v>
      </c>
      <c r="H83" s="3">
        <f t="shared" ca="1" si="19"/>
        <v>47896</v>
      </c>
      <c r="I83" s="3">
        <f t="shared" ca="1" si="20"/>
        <v>13411</v>
      </c>
      <c r="J83" s="3">
        <f t="shared" ca="1" si="21"/>
        <v>1571</v>
      </c>
      <c r="K83" s="3">
        <f t="shared" ca="1" si="22"/>
        <v>5</v>
      </c>
      <c r="L83" s="3">
        <f t="shared" ca="1" si="23"/>
        <v>9</v>
      </c>
      <c r="M83" s="3">
        <f t="shared" ca="1" si="24"/>
        <v>4</v>
      </c>
      <c r="N83" s="3" t="str">
        <f t="shared" ca="1" si="25"/>
        <v>Delayed</v>
      </c>
      <c r="O83" s="3" t="str">
        <f t="shared" ca="1" si="26"/>
        <v>Medium</v>
      </c>
      <c r="P83" s="3">
        <f t="shared" ca="1" si="27"/>
        <v>74.3</v>
      </c>
      <c r="Q83" s="1" t="str">
        <f ca="1">VLOOKUP(D83,Routes!$A$2:$D$31,2,FALSE)</f>
        <v>Mumbai</v>
      </c>
      <c r="R83" s="1" t="str">
        <f ca="1">VLOOKUP(D83,Routes!$A$2:$D$31,3,FALSE)</f>
        <v>Pune</v>
      </c>
      <c r="S83" s="3">
        <f ca="1">VLOOKUP(D83,Routes!$A$2:$D$31,4,FALSE)</f>
        <v>150</v>
      </c>
      <c r="T83" s="3" t="str">
        <f ca="1">VLOOKUP(E83,Vehicles!$A$2:$D$21,2,FALSE)</f>
        <v>Container</v>
      </c>
      <c r="U83" s="3">
        <f ca="1">VLOOKUP(E83,Vehicles!$A$2:$D$21,3,FALSE)</f>
        <v>18</v>
      </c>
      <c r="V83" s="3" t="str">
        <f ca="1">VLOOKUP(E83,Vehicles!$A$2:$D$21,4,FALSE)</f>
        <v>Diesel</v>
      </c>
      <c r="W83" s="3">
        <f ca="1">VLOOKUP(V83,Fuel_Rates!$A$2:$B$3,2,FALSE)</f>
        <v>95</v>
      </c>
      <c r="X83" s="3">
        <f t="shared" ca="1" si="29"/>
        <v>319.31</v>
      </c>
      <c r="Y83" s="3">
        <f t="shared" ca="1" si="30"/>
        <v>62878</v>
      </c>
      <c r="Z83" s="3" t="str">
        <f t="shared" ca="1" si="31"/>
        <v>Sep</v>
      </c>
      <c r="AA83" s="3" t="str">
        <f t="shared" ca="1" si="32"/>
        <v>Q3</v>
      </c>
      <c r="AB83" s="4" t="str">
        <f t="shared" ca="1" si="33"/>
        <v>Short Haul</v>
      </c>
    </row>
    <row r="84" spans="1:28" x14ac:dyDescent="0.3">
      <c r="A84" s="8" t="str">
        <f t="shared" si="28"/>
        <v>S0083</v>
      </c>
      <c r="B84" s="3">
        <f t="shared" ca="1" si="17"/>
        <v>45758</v>
      </c>
      <c r="C84" s="3" t="str">
        <f ca="1">INDEX(Customers!$A$2:$A$21,RANDBETWEEN(1,20))</f>
        <v>C019</v>
      </c>
      <c r="D84" s="3" t="str">
        <f ca="1">INDEX(Routes!$A$2:$A$31,RANDBETWEEN(1,30))</f>
        <v>R030</v>
      </c>
      <c r="E84" s="3" t="str">
        <f ca="1">INDEX(Vehicles!$A$2:$A$21,RANDBETWEEN(1,20))</f>
        <v>V014</v>
      </c>
      <c r="F84" s="3" t="str">
        <f ca="1">INDEX(Drivers!$A$2:$A$31,RANDBETWEEN(1,30))</f>
        <v>D023</v>
      </c>
      <c r="G84" s="3">
        <f t="shared" ca="1" si="18"/>
        <v>21.4</v>
      </c>
      <c r="H84" s="3">
        <f t="shared" ca="1" si="19"/>
        <v>51040</v>
      </c>
      <c r="I84" s="3">
        <f t="shared" ca="1" si="20"/>
        <v>14291</v>
      </c>
      <c r="J84" s="3">
        <f t="shared" ca="1" si="21"/>
        <v>2791</v>
      </c>
      <c r="K84" s="3">
        <f t="shared" ca="1" si="22"/>
        <v>44</v>
      </c>
      <c r="L84" s="3">
        <f t="shared" ca="1" si="23"/>
        <v>51</v>
      </c>
      <c r="M84" s="3">
        <f t="shared" ca="1" si="24"/>
        <v>7</v>
      </c>
      <c r="N84" s="3" t="str">
        <f t="shared" ca="1" si="25"/>
        <v>Delayed</v>
      </c>
      <c r="O84" s="3" t="str">
        <f t="shared" ca="1" si="26"/>
        <v>High</v>
      </c>
      <c r="P84" s="3">
        <f t="shared" ca="1" si="27"/>
        <v>71.3</v>
      </c>
      <c r="Q84" s="1" t="str">
        <f ca="1">VLOOKUP(D84,Routes!$A$2:$D$31,2,FALSE)</f>
        <v>Bhubaneswar</v>
      </c>
      <c r="R84" s="1" t="str">
        <f ca="1">VLOOKUP(D84,Routes!$A$2:$D$31,3,FALSE)</f>
        <v>Kolkata</v>
      </c>
      <c r="S84" s="3">
        <f ca="1">VLOOKUP(D84,Routes!$A$2:$D$31,4,FALSE)</f>
        <v>440</v>
      </c>
      <c r="T84" s="3" t="str">
        <f ca="1">VLOOKUP(E84,Vehicles!$A$2:$D$21,2,FALSE)</f>
        <v>LCV</v>
      </c>
      <c r="U84" s="3">
        <f ca="1">VLOOKUP(E84,Vehicles!$A$2:$D$21,3,FALSE)</f>
        <v>6</v>
      </c>
      <c r="V84" s="3" t="str">
        <f ca="1">VLOOKUP(E84,Vehicles!$A$2:$D$21,4,FALSE)</f>
        <v>CNG</v>
      </c>
      <c r="W84" s="3">
        <f ca="1">VLOOKUP(V84,Fuel_Rates!$A$2:$B$3,2,FALSE)</f>
        <v>78</v>
      </c>
      <c r="X84" s="3">
        <f t="shared" ca="1" si="29"/>
        <v>116</v>
      </c>
      <c r="Y84" s="3">
        <f t="shared" ca="1" si="30"/>
        <v>68122</v>
      </c>
      <c r="Z84" s="3" t="str">
        <f t="shared" ca="1" si="31"/>
        <v>Apr</v>
      </c>
      <c r="AA84" s="3" t="str">
        <f t="shared" ca="1" si="32"/>
        <v>Q2</v>
      </c>
      <c r="AB84" s="4" t="str">
        <f t="shared" ca="1" si="33"/>
        <v>Medium Haul</v>
      </c>
    </row>
    <row r="85" spans="1:28" x14ac:dyDescent="0.3">
      <c r="A85" s="8" t="str">
        <f t="shared" si="28"/>
        <v>S0084</v>
      </c>
      <c r="B85" s="3">
        <f t="shared" ca="1" si="17"/>
        <v>45877</v>
      </c>
      <c r="C85" s="3" t="str">
        <f ca="1">INDEX(Customers!$A$2:$A$21,RANDBETWEEN(1,20))</f>
        <v>C020</v>
      </c>
      <c r="D85" s="3" t="str">
        <f ca="1">INDEX(Routes!$A$2:$A$31,RANDBETWEEN(1,30))</f>
        <v>R017</v>
      </c>
      <c r="E85" s="3" t="str">
        <f ca="1">INDEX(Vehicles!$A$2:$A$21,RANDBETWEEN(1,20))</f>
        <v>V008</v>
      </c>
      <c r="F85" s="3" t="str">
        <f ca="1">INDEX(Drivers!$A$2:$A$31,RANDBETWEEN(1,30))</f>
        <v>D019</v>
      </c>
      <c r="G85" s="3">
        <f t="shared" ca="1" si="18"/>
        <v>25.2</v>
      </c>
      <c r="H85" s="3">
        <f t="shared" ca="1" si="19"/>
        <v>57121</v>
      </c>
      <c r="I85" s="3">
        <f t="shared" ca="1" si="20"/>
        <v>15994</v>
      </c>
      <c r="J85" s="3">
        <f t="shared" ca="1" si="21"/>
        <v>1496</v>
      </c>
      <c r="K85" s="3">
        <f t="shared" ca="1" si="22"/>
        <v>45</v>
      </c>
      <c r="L85" s="3">
        <f t="shared" ca="1" si="23"/>
        <v>47</v>
      </c>
      <c r="M85" s="3">
        <f t="shared" ca="1" si="24"/>
        <v>2</v>
      </c>
      <c r="N85" s="3" t="str">
        <f t="shared" ca="1" si="25"/>
        <v>On Time</v>
      </c>
      <c r="O85" s="3" t="str">
        <f t="shared" ca="1" si="26"/>
        <v>High</v>
      </c>
      <c r="P85" s="3">
        <f t="shared" ca="1" si="27"/>
        <v>84</v>
      </c>
      <c r="Q85" s="1" t="str">
        <f ca="1">VLOOKUP(D85,Routes!$A$2:$D$31,2,FALSE)</f>
        <v>Kolkata</v>
      </c>
      <c r="R85" s="1" t="str">
        <f ca="1">VLOOKUP(D85,Routes!$A$2:$D$31,3,FALSE)</f>
        <v>Patna</v>
      </c>
      <c r="S85" s="3">
        <f ca="1">VLOOKUP(D85,Routes!$A$2:$D$31,4,FALSE)</f>
        <v>620</v>
      </c>
      <c r="T85" s="3" t="str">
        <f ca="1">VLOOKUP(E85,Vehicles!$A$2:$D$21,2,FALSE)</f>
        <v>Container</v>
      </c>
      <c r="U85" s="3">
        <f ca="1">VLOOKUP(E85,Vehicles!$A$2:$D$21,3,FALSE)</f>
        <v>25</v>
      </c>
      <c r="V85" s="3" t="str">
        <f ca="1">VLOOKUP(E85,Vehicles!$A$2:$D$21,4,FALSE)</f>
        <v>Diesel</v>
      </c>
      <c r="W85" s="3">
        <f ca="1">VLOOKUP(V85,Fuel_Rates!$A$2:$B$3,2,FALSE)</f>
        <v>95</v>
      </c>
      <c r="X85" s="3">
        <f t="shared" ca="1" si="29"/>
        <v>92.13</v>
      </c>
      <c r="Y85" s="3">
        <f t="shared" ca="1" si="30"/>
        <v>74611</v>
      </c>
      <c r="Z85" s="3" t="str">
        <f t="shared" ca="1" si="31"/>
        <v>Aug</v>
      </c>
      <c r="AA85" s="3" t="str">
        <f t="shared" ca="1" si="32"/>
        <v>Q3</v>
      </c>
      <c r="AB85" s="4" t="str">
        <f t="shared" ca="1" si="33"/>
        <v>Medium Haul</v>
      </c>
    </row>
    <row r="86" spans="1:28" x14ac:dyDescent="0.3">
      <c r="A86" s="8" t="str">
        <f t="shared" si="28"/>
        <v>S0085</v>
      </c>
      <c r="B86" s="3">
        <f t="shared" ca="1" si="17"/>
        <v>45992</v>
      </c>
      <c r="C86" s="3" t="str">
        <f ca="1">INDEX(Customers!$A$2:$A$21,RANDBETWEEN(1,20))</f>
        <v>C011</v>
      </c>
      <c r="D86" s="3" t="str">
        <f ca="1">INDEX(Routes!$A$2:$A$31,RANDBETWEEN(1,30))</f>
        <v>R018</v>
      </c>
      <c r="E86" s="3" t="str">
        <f ca="1">INDEX(Vehicles!$A$2:$A$21,RANDBETWEEN(1,20))</f>
        <v>V017</v>
      </c>
      <c r="F86" s="3" t="str">
        <f ca="1">INDEX(Drivers!$A$2:$A$31,RANDBETWEEN(1,30))</f>
        <v>D030</v>
      </c>
      <c r="G86" s="3">
        <f t="shared" ca="1" si="18"/>
        <v>8</v>
      </c>
      <c r="H86" s="3">
        <f t="shared" ca="1" si="19"/>
        <v>20881</v>
      </c>
      <c r="I86" s="3">
        <f t="shared" ca="1" si="20"/>
        <v>5847</v>
      </c>
      <c r="J86" s="3">
        <f t="shared" ca="1" si="21"/>
        <v>2595</v>
      </c>
      <c r="K86" s="3">
        <f t="shared" ca="1" si="22"/>
        <v>19</v>
      </c>
      <c r="L86" s="3">
        <f t="shared" ca="1" si="23"/>
        <v>27</v>
      </c>
      <c r="M86" s="3">
        <f t="shared" ca="1" si="24"/>
        <v>8</v>
      </c>
      <c r="N86" s="3" t="str">
        <f t="shared" ca="1" si="25"/>
        <v>Delayed</v>
      </c>
      <c r="O86" s="3" t="str">
        <f t="shared" ca="1" si="26"/>
        <v>Medium</v>
      </c>
      <c r="P86" s="3">
        <f t="shared" ca="1" si="27"/>
        <v>26.7</v>
      </c>
      <c r="Q86" s="1" t="str">
        <f ca="1">VLOOKUP(D86,Routes!$A$2:$D$31,2,FALSE)</f>
        <v>Ahmedabad</v>
      </c>
      <c r="R86" s="1" t="str">
        <f ca="1">VLOOKUP(D86,Routes!$A$2:$D$31,3,FALSE)</f>
        <v>Jaipur</v>
      </c>
      <c r="S86" s="3">
        <f ca="1">VLOOKUP(D86,Routes!$A$2:$D$31,4,FALSE)</f>
        <v>670</v>
      </c>
      <c r="T86" s="3" t="str">
        <f ca="1">VLOOKUP(E86,Vehicles!$A$2:$D$21,2,FALSE)</f>
        <v>Truck</v>
      </c>
      <c r="U86" s="3">
        <f ca="1">VLOOKUP(E86,Vehicles!$A$2:$D$21,3,FALSE)</f>
        <v>24</v>
      </c>
      <c r="V86" s="3" t="str">
        <f ca="1">VLOOKUP(E86,Vehicles!$A$2:$D$21,4,FALSE)</f>
        <v>Diesel</v>
      </c>
      <c r="W86" s="3">
        <f ca="1">VLOOKUP(V86,Fuel_Rates!$A$2:$B$3,2,FALSE)</f>
        <v>95</v>
      </c>
      <c r="X86" s="3">
        <f t="shared" ca="1" si="29"/>
        <v>31.17</v>
      </c>
      <c r="Y86" s="3">
        <f t="shared" ca="1" si="30"/>
        <v>29323</v>
      </c>
      <c r="Z86" s="3" t="str">
        <f t="shared" ca="1" si="31"/>
        <v>Dec</v>
      </c>
      <c r="AA86" s="3" t="str">
        <f t="shared" ca="1" si="32"/>
        <v>Q4</v>
      </c>
      <c r="AB86" s="4" t="str">
        <f t="shared" ca="1" si="33"/>
        <v>Medium Haul</v>
      </c>
    </row>
    <row r="87" spans="1:28" x14ac:dyDescent="0.3">
      <c r="A87" s="8" t="str">
        <f t="shared" si="28"/>
        <v>S0086</v>
      </c>
      <c r="B87" s="3">
        <f t="shared" ca="1" si="17"/>
        <v>45884</v>
      </c>
      <c r="C87" s="3" t="str">
        <f ca="1">INDEX(Customers!$A$2:$A$21,RANDBETWEEN(1,20))</f>
        <v>C009</v>
      </c>
      <c r="D87" s="3" t="str">
        <f ca="1">INDEX(Routes!$A$2:$A$31,RANDBETWEEN(1,30))</f>
        <v>R027</v>
      </c>
      <c r="E87" s="3" t="str">
        <f ca="1">INDEX(Vehicles!$A$2:$A$21,RANDBETWEEN(1,20))</f>
        <v>V015</v>
      </c>
      <c r="F87" s="3" t="str">
        <f ca="1">INDEX(Drivers!$A$2:$A$31,RANDBETWEEN(1,30))</f>
        <v>D019</v>
      </c>
      <c r="G87" s="3">
        <f t="shared" ca="1" si="18"/>
        <v>4.0999999999999996</v>
      </c>
      <c r="H87" s="3">
        <f t="shared" ca="1" si="19"/>
        <v>12585</v>
      </c>
      <c r="I87" s="3">
        <f t="shared" ca="1" si="20"/>
        <v>3524</v>
      </c>
      <c r="J87" s="3">
        <f t="shared" ca="1" si="21"/>
        <v>3273</v>
      </c>
      <c r="K87" s="3">
        <f t="shared" ca="1" si="22"/>
        <v>38</v>
      </c>
      <c r="L87" s="3">
        <f t="shared" ca="1" si="23"/>
        <v>46</v>
      </c>
      <c r="M87" s="3">
        <f t="shared" ca="1" si="24"/>
        <v>8</v>
      </c>
      <c r="N87" s="3" t="str">
        <f t="shared" ca="1" si="25"/>
        <v>Delayed</v>
      </c>
      <c r="O87" s="3" t="str">
        <f t="shared" ca="1" si="26"/>
        <v>Low</v>
      </c>
      <c r="P87" s="3">
        <f t="shared" ca="1" si="27"/>
        <v>13.7</v>
      </c>
      <c r="Q87" s="1" t="str">
        <f ca="1">VLOOKUP(D87,Routes!$A$2:$D$31,2,FALSE)</f>
        <v>Patna</v>
      </c>
      <c r="R87" s="1" t="str">
        <f ca="1">VLOOKUP(D87,Routes!$A$2:$D$31,3,FALSE)</f>
        <v>Ranchi</v>
      </c>
      <c r="S87" s="3">
        <f ca="1">VLOOKUP(D87,Routes!$A$2:$D$31,4,FALSE)</f>
        <v>330</v>
      </c>
      <c r="T87" s="3" t="str">
        <f ca="1">VLOOKUP(E87,Vehicles!$A$2:$D$21,2,FALSE)</f>
        <v>Trailer</v>
      </c>
      <c r="U87" s="3">
        <f ca="1">VLOOKUP(E87,Vehicles!$A$2:$D$21,3,FALSE)</f>
        <v>30</v>
      </c>
      <c r="V87" s="3" t="str">
        <f ca="1">VLOOKUP(E87,Vehicles!$A$2:$D$21,4,FALSE)</f>
        <v>Diesel</v>
      </c>
      <c r="W87" s="3">
        <f ca="1">VLOOKUP(V87,Fuel_Rates!$A$2:$B$3,2,FALSE)</f>
        <v>95</v>
      </c>
      <c r="X87" s="3">
        <f t="shared" ca="1" si="29"/>
        <v>38.14</v>
      </c>
      <c r="Y87" s="3">
        <f t="shared" ca="1" si="30"/>
        <v>19382</v>
      </c>
      <c r="Z87" s="3" t="str">
        <f t="shared" ca="1" si="31"/>
        <v>Aug</v>
      </c>
      <c r="AA87" s="3" t="str">
        <f t="shared" ca="1" si="32"/>
        <v>Q3</v>
      </c>
      <c r="AB87" s="4" t="str">
        <f t="shared" ca="1" si="33"/>
        <v>Medium Haul</v>
      </c>
    </row>
    <row r="88" spans="1:28" x14ac:dyDescent="0.3">
      <c r="A88" s="8" t="str">
        <f t="shared" si="28"/>
        <v>S0087</v>
      </c>
      <c r="B88" s="3">
        <f t="shared" ca="1" si="17"/>
        <v>45737</v>
      </c>
      <c r="C88" s="3" t="str">
        <f ca="1">INDEX(Customers!$A$2:$A$21,RANDBETWEEN(1,20))</f>
        <v>C017</v>
      </c>
      <c r="D88" s="3" t="str">
        <f ca="1">INDEX(Routes!$A$2:$A$31,RANDBETWEEN(1,30))</f>
        <v>R014</v>
      </c>
      <c r="E88" s="3" t="str">
        <f ca="1">INDEX(Vehicles!$A$2:$A$21,RANDBETWEEN(1,20))</f>
        <v>V008</v>
      </c>
      <c r="F88" s="3" t="str">
        <f ca="1">INDEX(Drivers!$A$2:$A$31,RANDBETWEEN(1,30))</f>
        <v>D010</v>
      </c>
      <c r="G88" s="3">
        <f t="shared" ca="1" si="18"/>
        <v>3.8</v>
      </c>
      <c r="H88" s="3">
        <f t="shared" ca="1" si="19"/>
        <v>16942</v>
      </c>
      <c r="I88" s="3">
        <f t="shared" ca="1" si="20"/>
        <v>4744</v>
      </c>
      <c r="J88" s="3">
        <f t="shared" ca="1" si="21"/>
        <v>1973</v>
      </c>
      <c r="K88" s="3">
        <f t="shared" ca="1" si="22"/>
        <v>21</v>
      </c>
      <c r="L88" s="3">
        <f t="shared" ca="1" si="23"/>
        <v>21</v>
      </c>
      <c r="M88" s="3">
        <f t="shared" ca="1" si="24"/>
        <v>0</v>
      </c>
      <c r="N88" s="3" t="str">
        <f t="shared" ca="1" si="25"/>
        <v>On Time</v>
      </c>
      <c r="O88" s="3" t="str">
        <f t="shared" ca="1" si="26"/>
        <v>High</v>
      </c>
      <c r="P88" s="3">
        <f t="shared" ca="1" si="27"/>
        <v>12.7</v>
      </c>
      <c r="Q88" s="1" t="str">
        <f ca="1">VLOOKUP(D88,Routes!$A$2:$D$31,2,FALSE)</f>
        <v>Hyderabad</v>
      </c>
      <c r="R88" s="1" t="str">
        <f ca="1">VLOOKUP(D88,Routes!$A$2:$D$31,3,FALSE)</f>
        <v>Nagpur</v>
      </c>
      <c r="S88" s="3">
        <f ca="1">VLOOKUP(D88,Routes!$A$2:$D$31,4,FALSE)</f>
        <v>500</v>
      </c>
      <c r="T88" s="3" t="str">
        <f ca="1">VLOOKUP(E88,Vehicles!$A$2:$D$21,2,FALSE)</f>
        <v>Container</v>
      </c>
      <c r="U88" s="3">
        <f ca="1">VLOOKUP(E88,Vehicles!$A$2:$D$21,3,FALSE)</f>
        <v>25</v>
      </c>
      <c r="V88" s="3" t="str">
        <f ca="1">VLOOKUP(E88,Vehicles!$A$2:$D$21,4,FALSE)</f>
        <v>Diesel</v>
      </c>
      <c r="W88" s="3">
        <f ca="1">VLOOKUP(V88,Fuel_Rates!$A$2:$B$3,2,FALSE)</f>
        <v>95</v>
      </c>
      <c r="X88" s="3">
        <f t="shared" ca="1" si="29"/>
        <v>33.880000000000003</v>
      </c>
      <c r="Y88" s="3">
        <f t="shared" ca="1" si="30"/>
        <v>23659</v>
      </c>
      <c r="Z88" s="3" t="str">
        <f t="shared" ca="1" si="31"/>
        <v>Mar</v>
      </c>
      <c r="AA88" s="3" t="str">
        <f t="shared" ca="1" si="32"/>
        <v>Q1</v>
      </c>
      <c r="AB88" s="4" t="str">
        <f t="shared" ca="1" si="33"/>
        <v>Medium Haul</v>
      </c>
    </row>
    <row r="89" spans="1:28" x14ac:dyDescent="0.3">
      <c r="A89" s="8" t="str">
        <f t="shared" si="28"/>
        <v>S0088</v>
      </c>
      <c r="B89" s="3">
        <f t="shared" ca="1" si="17"/>
        <v>45677</v>
      </c>
      <c r="C89" s="3" t="str">
        <f ca="1">INDEX(Customers!$A$2:$A$21,RANDBETWEEN(1,20))</f>
        <v>C011</v>
      </c>
      <c r="D89" s="3" t="str">
        <f ca="1">INDEX(Routes!$A$2:$A$31,RANDBETWEEN(1,30))</f>
        <v>R002</v>
      </c>
      <c r="E89" s="3" t="str">
        <f ca="1">INDEX(Vehicles!$A$2:$A$21,RANDBETWEEN(1,20))</f>
        <v>V012</v>
      </c>
      <c r="F89" s="3" t="str">
        <f ca="1">INDEX(Drivers!$A$2:$A$31,RANDBETWEEN(1,30))</f>
        <v>D023</v>
      </c>
      <c r="G89" s="3">
        <f t="shared" ca="1" si="18"/>
        <v>24.5</v>
      </c>
      <c r="H89" s="3">
        <f t="shared" ca="1" si="19"/>
        <v>58883</v>
      </c>
      <c r="I89" s="3">
        <f t="shared" ca="1" si="20"/>
        <v>16487</v>
      </c>
      <c r="J89" s="3">
        <f t="shared" ca="1" si="21"/>
        <v>2245</v>
      </c>
      <c r="K89" s="3">
        <f t="shared" ca="1" si="22"/>
        <v>30</v>
      </c>
      <c r="L89" s="3">
        <f t="shared" ca="1" si="23"/>
        <v>38</v>
      </c>
      <c r="M89" s="3">
        <f t="shared" ca="1" si="24"/>
        <v>8</v>
      </c>
      <c r="N89" s="3" t="str">
        <f t="shared" ca="1" si="25"/>
        <v>Delayed</v>
      </c>
      <c r="O89" s="3" t="str">
        <f t="shared" ca="1" si="26"/>
        <v>Low</v>
      </c>
      <c r="P89" s="3">
        <f t="shared" ca="1" si="27"/>
        <v>81.7</v>
      </c>
      <c r="Q89" s="1" t="str">
        <f ca="1">VLOOKUP(D89,Routes!$A$2:$D$31,2,FALSE)</f>
        <v>Mumbai</v>
      </c>
      <c r="R89" s="1" t="str">
        <f ca="1">VLOOKUP(D89,Routes!$A$2:$D$31,3,FALSE)</f>
        <v>Ahmedabad</v>
      </c>
      <c r="S89" s="3">
        <f ca="1">VLOOKUP(D89,Routes!$A$2:$D$31,4,FALSE)</f>
        <v>530</v>
      </c>
      <c r="T89" s="3" t="str">
        <f ca="1">VLOOKUP(E89,Vehicles!$A$2:$D$21,2,FALSE)</f>
        <v>Truck</v>
      </c>
      <c r="U89" s="3">
        <f ca="1">VLOOKUP(E89,Vehicles!$A$2:$D$21,3,FALSE)</f>
        <v>20</v>
      </c>
      <c r="V89" s="3" t="str">
        <f ca="1">VLOOKUP(E89,Vehicles!$A$2:$D$21,4,FALSE)</f>
        <v>CNG</v>
      </c>
      <c r="W89" s="3">
        <f ca="1">VLOOKUP(V89,Fuel_Rates!$A$2:$B$3,2,FALSE)</f>
        <v>78</v>
      </c>
      <c r="X89" s="3">
        <f t="shared" ca="1" si="29"/>
        <v>111.1</v>
      </c>
      <c r="Y89" s="3">
        <f t="shared" ca="1" si="30"/>
        <v>77615</v>
      </c>
      <c r="Z89" s="3" t="str">
        <f t="shared" ca="1" si="31"/>
        <v>Jan</v>
      </c>
      <c r="AA89" s="3" t="str">
        <f t="shared" ca="1" si="32"/>
        <v>Q1</v>
      </c>
      <c r="AB89" s="4" t="str">
        <f t="shared" ca="1" si="33"/>
        <v>Medium Haul</v>
      </c>
    </row>
    <row r="90" spans="1:28" x14ac:dyDescent="0.3">
      <c r="A90" s="8" t="str">
        <f t="shared" si="28"/>
        <v>S0089</v>
      </c>
      <c r="B90" s="3">
        <f t="shared" ca="1" si="17"/>
        <v>45973</v>
      </c>
      <c r="C90" s="3" t="str">
        <f ca="1">INDEX(Customers!$A$2:$A$21,RANDBETWEEN(1,20))</f>
        <v>C016</v>
      </c>
      <c r="D90" s="3" t="str">
        <f ca="1">INDEX(Routes!$A$2:$A$31,RANDBETWEEN(1,30))</f>
        <v>R029</v>
      </c>
      <c r="E90" s="3" t="str">
        <f ca="1">INDEX(Vehicles!$A$2:$A$21,RANDBETWEEN(1,20))</f>
        <v>V016</v>
      </c>
      <c r="F90" s="3" t="str">
        <f ca="1">INDEX(Drivers!$A$2:$A$31,RANDBETWEEN(1,30))</f>
        <v>D004</v>
      </c>
      <c r="G90" s="3">
        <f t="shared" ca="1" si="18"/>
        <v>18.7</v>
      </c>
      <c r="H90" s="3">
        <f t="shared" ca="1" si="19"/>
        <v>47953</v>
      </c>
      <c r="I90" s="3">
        <f t="shared" ca="1" si="20"/>
        <v>13427</v>
      </c>
      <c r="J90" s="3">
        <f t="shared" ca="1" si="21"/>
        <v>859</v>
      </c>
      <c r="K90" s="3">
        <f t="shared" ca="1" si="22"/>
        <v>30</v>
      </c>
      <c r="L90" s="3">
        <f t="shared" ca="1" si="23"/>
        <v>38</v>
      </c>
      <c r="M90" s="3">
        <f t="shared" ca="1" si="24"/>
        <v>8</v>
      </c>
      <c r="N90" s="3" t="str">
        <f t="shared" ca="1" si="25"/>
        <v>Delayed</v>
      </c>
      <c r="O90" s="3" t="str">
        <f t="shared" ca="1" si="26"/>
        <v>Medium</v>
      </c>
      <c r="P90" s="3">
        <f t="shared" ca="1" si="27"/>
        <v>62.3</v>
      </c>
      <c r="Q90" s="1" t="str">
        <f ca="1">VLOOKUP(D90,Routes!$A$2:$D$31,2,FALSE)</f>
        <v>Chandigarh</v>
      </c>
      <c r="R90" s="1" t="str">
        <f ca="1">VLOOKUP(D90,Routes!$A$2:$D$31,3,FALSE)</f>
        <v>Delhi</v>
      </c>
      <c r="S90" s="3">
        <f ca="1">VLOOKUP(D90,Routes!$A$2:$D$31,4,FALSE)</f>
        <v>250</v>
      </c>
      <c r="T90" s="3" t="str">
        <f ca="1">VLOOKUP(E90,Vehicles!$A$2:$D$21,2,FALSE)</f>
        <v>Container</v>
      </c>
      <c r="U90" s="3">
        <f ca="1">VLOOKUP(E90,Vehicles!$A$2:$D$21,3,FALSE)</f>
        <v>22</v>
      </c>
      <c r="V90" s="3" t="str">
        <f ca="1">VLOOKUP(E90,Vehicles!$A$2:$D$21,4,FALSE)</f>
        <v>Diesel</v>
      </c>
      <c r="W90" s="3">
        <f ca="1">VLOOKUP(V90,Fuel_Rates!$A$2:$B$3,2,FALSE)</f>
        <v>95</v>
      </c>
      <c r="X90" s="3">
        <f t="shared" ca="1" si="29"/>
        <v>191.81</v>
      </c>
      <c r="Y90" s="3">
        <f t="shared" ca="1" si="30"/>
        <v>62239</v>
      </c>
      <c r="Z90" s="3" t="str">
        <f t="shared" ca="1" si="31"/>
        <v>Nov</v>
      </c>
      <c r="AA90" s="3" t="str">
        <f t="shared" ca="1" si="32"/>
        <v>Q4</v>
      </c>
      <c r="AB90" s="4" t="str">
        <f t="shared" ca="1" si="33"/>
        <v>Short Haul</v>
      </c>
    </row>
    <row r="91" spans="1:28" x14ac:dyDescent="0.3">
      <c r="A91" s="8" t="str">
        <f t="shared" si="28"/>
        <v>S0090</v>
      </c>
      <c r="B91" s="3">
        <f t="shared" ca="1" si="17"/>
        <v>45689</v>
      </c>
      <c r="C91" s="3" t="str">
        <f ca="1">INDEX(Customers!$A$2:$A$21,RANDBETWEEN(1,20))</f>
        <v>C014</v>
      </c>
      <c r="D91" s="3" t="str">
        <f ca="1">INDEX(Routes!$A$2:$A$31,RANDBETWEEN(1,30))</f>
        <v>R008</v>
      </c>
      <c r="E91" s="3" t="str">
        <f ca="1">INDEX(Vehicles!$A$2:$A$21,RANDBETWEEN(1,20))</f>
        <v>V014</v>
      </c>
      <c r="F91" s="3" t="str">
        <f ca="1">INDEX(Drivers!$A$2:$A$31,RANDBETWEEN(1,30))</f>
        <v>D020</v>
      </c>
      <c r="G91" s="3">
        <f t="shared" ca="1" si="18"/>
        <v>28.3</v>
      </c>
      <c r="H91" s="3">
        <f t="shared" ca="1" si="19"/>
        <v>59113</v>
      </c>
      <c r="I91" s="3">
        <f t="shared" ca="1" si="20"/>
        <v>16552</v>
      </c>
      <c r="J91" s="3">
        <f t="shared" ca="1" si="21"/>
        <v>3612</v>
      </c>
      <c r="K91" s="3">
        <f t="shared" ca="1" si="22"/>
        <v>31</v>
      </c>
      <c r="L91" s="3">
        <f t="shared" ca="1" si="23"/>
        <v>36</v>
      </c>
      <c r="M91" s="3">
        <f t="shared" ca="1" si="24"/>
        <v>5</v>
      </c>
      <c r="N91" s="3" t="str">
        <f t="shared" ca="1" si="25"/>
        <v>Delayed</v>
      </c>
      <c r="O91" s="3" t="str">
        <f t="shared" ca="1" si="26"/>
        <v>Medium</v>
      </c>
      <c r="P91" s="3">
        <f t="shared" ca="1" si="27"/>
        <v>94.3</v>
      </c>
      <c r="Q91" s="1" t="str">
        <f ca="1">VLOOKUP(D91,Routes!$A$2:$D$31,2,FALSE)</f>
        <v>Delhi</v>
      </c>
      <c r="R91" s="1" t="str">
        <f ca="1">VLOOKUP(D91,Routes!$A$2:$D$31,3,FALSE)</f>
        <v>Kolkata</v>
      </c>
      <c r="S91" s="3">
        <f ca="1">VLOOKUP(D91,Routes!$A$2:$D$31,4,FALSE)</f>
        <v>1500</v>
      </c>
      <c r="T91" s="3" t="str">
        <f ca="1">VLOOKUP(E91,Vehicles!$A$2:$D$21,2,FALSE)</f>
        <v>LCV</v>
      </c>
      <c r="U91" s="3">
        <f ca="1">VLOOKUP(E91,Vehicles!$A$2:$D$21,3,FALSE)</f>
        <v>6</v>
      </c>
      <c r="V91" s="3" t="str">
        <f ca="1">VLOOKUP(E91,Vehicles!$A$2:$D$21,4,FALSE)</f>
        <v>CNG</v>
      </c>
      <c r="W91" s="3">
        <f ca="1">VLOOKUP(V91,Fuel_Rates!$A$2:$B$3,2,FALSE)</f>
        <v>78</v>
      </c>
      <c r="X91" s="3">
        <f t="shared" ca="1" si="29"/>
        <v>39.409999999999997</v>
      </c>
      <c r="Y91" s="3">
        <f t="shared" ca="1" si="30"/>
        <v>79277</v>
      </c>
      <c r="Z91" s="3" t="str">
        <f t="shared" ca="1" si="31"/>
        <v>Feb</v>
      </c>
      <c r="AA91" s="3" t="str">
        <f t="shared" ca="1" si="32"/>
        <v>Q1</v>
      </c>
      <c r="AB91" s="4" t="str">
        <f t="shared" ca="1" si="33"/>
        <v>Long Haul</v>
      </c>
    </row>
    <row r="92" spans="1:28" x14ac:dyDescent="0.3">
      <c r="A92" s="8" t="str">
        <f t="shared" si="28"/>
        <v>S0091</v>
      </c>
      <c r="B92" s="3">
        <f t="shared" ca="1" si="17"/>
        <v>45705</v>
      </c>
      <c r="C92" s="3" t="str">
        <f ca="1">INDEX(Customers!$A$2:$A$21,RANDBETWEEN(1,20))</f>
        <v>C015</v>
      </c>
      <c r="D92" s="3" t="str">
        <f ca="1">INDEX(Routes!$A$2:$A$31,RANDBETWEEN(1,30))</f>
        <v>R004</v>
      </c>
      <c r="E92" s="3" t="str">
        <f ca="1">INDEX(Vehicles!$A$2:$A$21,RANDBETWEEN(1,20))</f>
        <v>V020</v>
      </c>
      <c r="F92" s="3" t="str">
        <f ca="1">INDEX(Drivers!$A$2:$A$31,RANDBETWEEN(1,30))</f>
        <v>D013</v>
      </c>
      <c r="G92" s="3">
        <f t="shared" ca="1" si="18"/>
        <v>16.8</v>
      </c>
      <c r="H92" s="3">
        <f t="shared" ca="1" si="19"/>
        <v>41671</v>
      </c>
      <c r="I92" s="3">
        <f t="shared" ca="1" si="20"/>
        <v>11668</v>
      </c>
      <c r="J92" s="3">
        <f t="shared" ca="1" si="21"/>
        <v>1354</v>
      </c>
      <c r="K92" s="3">
        <f t="shared" ca="1" si="22"/>
        <v>45</v>
      </c>
      <c r="L92" s="3">
        <f t="shared" ca="1" si="23"/>
        <v>49</v>
      </c>
      <c r="M92" s="3">
        <f t="shared" ca="1" si="24"/>
        <v>4</v>
      </c>
      <c r="N92" s="3" t="str">
        <f t="shared" ca="1" si="25"/>
        <v>Delayed</v>
      </c>
      <c r="O92" s="3" t="str">
        <f t="shared" ca="1" si="26"/>
        <v>Medium</v>
      </c>
      <c r="P92" s="3">
        <f t="shared" ca="1" si="27"/>
        <v>56</v>
      </c>
      <c r="Q92" s="1" t="str">
        <f ca="1">VLOOKUP(D92,Routes!$A$2:$D$31,2,FALSE)</f>
        <v>Mumbai</v>
      </c>
      <c r="R92" s="1" t="str">
        <f ca="1">VLOOKUP(D92,Routes!$A$2:$D$31,3,FALSE)</f>
        <v>Bengaluru</v>
      </c>
      <c r="S92" s="3">
        <f ca="1">VLOOKUP(D92,Routes!$A$2:$D$31,4,FALSE)</f>
        <v>980</v>
      </c>
      <c r="T92" s="3" t="str">
        <f ca="1">VLOOKUP(E92,Vehicles!$A$2:$D$21,2,FALSE)</f>
        <v>Container</v>
      </c>
      <c r="U92" s="3">
        <f ca="1">VLOOKUP(E92,Vehicles!$A$2:$D$21,3,FALSE)</f>
        <v>28</v>
      </c>
      <c r="V92" s="3" t="str">
        <f ca="1">VLOOKUP(E92,Vehicles!$A$2:$D$21,4,FALSE)</f>
        <v>Diesel</v>
      </c>
      <c r="W92" s="3">
        <f ca="1">VLOOKUP(V92,Fuel_Rates!$A$2:$B$3,2,FALSE)</f>
        <v>95</v>
      </c>
      <c r="X92" s="3">
        <f t="shared" ca="1" si="29"/>
        <v>42.52</v>
      </c>
      <c r="Y92" s="3">
        <f t="shared" ca="1" si="30"/>
        <v>54693</v>
      </c>
      <c r="Z92" s="3" t="str">
        <f t="shared" ca="1" si="31"/>
        <v>Feb</v>
      </c>
      <c r="AA92" s="3" t="str">
        <f t="shared" ca="1" si="32"/>
        <v>Q1</v>
      </c>
      <c r="AB92" s="4" t="str">
        <f t="shared" ca="1" si="33"/>
        <v>Long Haul</v>
      </c>
    </row>
    <row r="93" spans="1:28" x14ac:dyDescent="0.3">
      <c r="A93" s="8" t="str">
        <f t="shared" si="28"/>
        <v>S0092</v>
      </c>
      <c r="B93" s="3">
        <f t="shared" ca="1" si="17"/>
        <v>45658</v>
      </c>
      <c r="C93" s="3" t="str">
        <f ca="1">INDEX(Customers!$A$2:$A$21,RANDBETWEEN(1,20))</f>
        <v>C014</v>
      </c>
      <c r="D93" s="3" t="str">
        <f ca="1">INDEX(Routes!$A$2:$A$31,RANDBETWEEN(1,30))</f>
        <v>R005</v>
      </c>
      <c r="E93" s="3" t="str">
        <f ca="1">INDEX(Vehicles!$A$2:$A$21,RANDBETWEEN(1,20))</f>
        <v>V007</v>
      </c>
      <c r="F93" s="3" t="str">
        <f ca="1">INDEX(Drivers!$A$2:$A$31,RANDBETWEEN(1,30))</f>
        <v>D030</v>
      </c>
      <c r="G93" s="3">
        <f t="shared" ca="1" si="18"/>
        <v>21.7</v>
      </c>
      <c r="H93" s="3">
        <f t="shared" ca="1" si="19"/>
        <v>52792</v>
      </c>
      <c r="I93" s="3">
        <f t="shared" ca="1" si="20"/>
        <v>14782</v>
      </c>
      <c r="J93" s="3">
        <f t="shared" ca="1" si="21"/>
        <v>2424</v>
      </c>
      <c r="K93" s="3">
        <f t="shared" ca="1" si="22"/>
        <v>9</v>
      </c>
      <c r="L93" s="3">
        <f t="shared" ca="1" si="23"/>
        <v>10</v>
      </c>
      <c r="M93" s="3">
        <f t="shared" ca="1" si="24"/>
        <v>1</v>
      </c>
      <c r="N93" s="3" t="str">
        <f t="shared" ca="1" si="25"/>
        <v>On Time</v>
      </c>
      <c r="O93" s="3" t="str">
        <f t="shared" ca="1" si="26"/>
        <v>Low</v>
      </c>
      <c r="P93" s="3">
        <f t="shared" ca="1" si="27"/>
        <v>72.3</v>
      </c>
      <c r="Q93" s="1" t="str">
        <f ca="1">VLOOKUP(D93,Routes!$A$2:$D$31,2,FALSE)</f>
        <v>Delhi</v>
      </c>
      <c r="R93" s="1" t="str">
        <f ca="1">VLOOKUP(D93,Routes!$A$2:$D$31,3,FALSE)</f>
        <v>Jaipur</v>
      </c>
      <c r="S93" s="3">
        <f ca="1">VLOOKUP(D93,Routes!$A$2:$D$31,4,FALSE)</f>
        <v>280</v>
      </c>
      <c r="T93" s="3" t="str">
        <f ca="1">VLOOKUP(E93,Vehicles!$A$2:$D$21,2,FALSE)</f>
        <v>Container</v>
      </c>
      <c r="U93" s="3">
        <f ca="1">VLOOKUP(E93,Vehicles!$A$2:$D$21,3,FALSE)</f>
        <v>20</v>
      </c>
      <c r="V93" s="3" t="str">
        <f ca="1">VLOOKUP(E93,Vehicles!$A$2:$D$21,4,FALSE)</f>
        <v>Diesel</v>
      </c>
      <c r="W93" s="3">
        <f ca="1">VLOOKUP(V93,Fuel_Rates!$A$2:$B$3,2,FALSE)</f>
        <v>95</v>
      </c>
      <c r="X93" s="3">
        <f t="shared" ca="1" si="29"/>
        <v>188.54</v>
      </c>
      <c r="Y93" s="3">
        <f t="shared" ca="1" si="30"/>
        <v>69998</v>
      </c>
      <c r="Z93" s="3" t="str">
        <f t="shared" ca="1" si="31"/>
        <v>Jan</v>
      </c>
      <c r="AA93" s="3" t="str">
        <f t="shared" ca="1" si="32"/>
        <v>Q1</v>
      </c>
      <c r="AB93" s="4" t="str">
        <f t="shared" ca="1" si="33"/>
        <v>Short Haul</v>
      </c>
    </row>
    <row r="94" spans="1:28" x14ac:dyDescent="0.3">
      <c r="A94" s="8" t="str">
        <f t="shared" si="28"/>
        <v>S0093</v>
      </c>
      <c r="B94" s="3">
        <f t="shared" ca="1" si="17"/>
        <v>45965</v>
      </c>
      <c r="C94" s="3" t="str">
        <f ca="1">INDEX(Customers!$A$2:$A$21,RANDBETWEEN(1,20))</f>
        <v>C014</v>
      </c>
      <c r="D94" s="3" t="str">
        <f ca="1">INDEX(Routes!$A$2:$A$31,RANDBETWEEN(1,30))</f>
        <v>R020</v>
      </c>
      <c r="E94" s="3" t="str">
        <f ca="1">INDEX(Vehicles!$A$2:$A$21,RANDBETWEEN(1,20))</f>
        <v>V015</v>
      </c>
      <c r="F94" s="3" t="str">
        <f ca="1">INDEX(Drivers!$A$2:$A$31,RANDBETWEEN(1,30))</f>
        <v>D021</v>
      </c>
      <c r="G94" s="3">
        <f t="shared" ca="1" si="18"/>
        <v>21.9</v>
      </c>
      <c r="H94" s="3">
        <f t="shared" ca="1" si="19"/>
        <v>43916</v>
      </c>
      <c r="I94" s="3">
        <f t="shared" ca="1" si="20"/>
        <v>12296</v>
      </c>
      <c r="J94" s="3">
        <f t="shared" ca="1" si="21"/>
        <v>2412</v>
      </c>
      <c r="K94" s="3">
        <f t="shared" ca="1" si="22"/>
        <v>4</v>
      </c>
      <c r="L94" s="3">
        <f t="shared" ca="1" si="23"/>
        <v>6</v>
      </c>
      <c r="M94" s="3">
        <f t="shared" ca="1" si="24"/>
        <v>2</v>
      </c>
      <c r="N94" s="3" t="str">
        <f t="shared" ca="1" si="25"/>
        <v>On Time</v>
      </c>
      <c r="O94" s="3" t="str">
        <f t="shared" ca="1" si="26"/>
        <v>Medium</v>
      </c>
      <c r="P94" s="3">
        <f t="shared" ca="1" si="27"/>
        <v>73</v>
      </c>
      <c r="Q94" s="1" t="str">
        <f ca="1">VLOOKUP(D94,Routes!$A$2:$D$31,2,FALSE)</f>
        <v>Pune</v>
      </c>
      <c r="R94" s="1" t="str">
        <f ca="1">VLOOKUP(D94,Routes!$A$2:$D$31,3,FALSE)</f>
        <v>Nagpur</v>
      </c>
      <c r="S94" s="3">
        <f ca="1">VLOOKUP(D94,Routes!$A$2:$D$31,4,FALSE)</f>
        <v>720</v>
      </c>
      <c r="T94" s="3" t="str">
        <f ca="1">VLOOKUP(E94,Vehicles!$A$2:$D$21,2,FALSE)</f>
        <v>Trailer</v>
      </c>
      <c r="U94" s="3">
        <f ca="1">VLOOKUP(E94,Vehicles!$A$2:$D$21,3,FALSE)</f>
        <v>30</v>
      </c>
      <c r="V94" s="3" t="str">
        <f ca="1">VLOOKUP(E94,Vehicles!$A$2:$D$21,4,FALSE)</f>
        <v>Diesel</v>
      </c>
      <c r="W94" s="3">
        <f ca="1">VLOOKUP(V94,Fuel_Rates!$A$2:$B$3,2,FALSE)</f>
        <v>95</v>
      </c>
      <c r="X94" s="3">
        <f t="shared" ca="1" si="29"/>
        <v>60.99</v>
      </c>
      <c r="Y94" s="3">
        <f t="shared" ca="1" si="30"/>
        <v>58624</v>
      </c>
      <c r="Z94" s="3" t="str">
        <f t="shared" ca="1" si="31"/>
        <v>Nov</v>
      </c>
      <c r="AA94" s="3" t="str">
        <f t="shared" ca="1" si="32"/>
        <v>Q4</v>
      </c>
      <c r="AB94" s="4" t="str">
        <f t="shared" ca="1" si="33"/>
        <v>Medium Haul</v>
      </c>
    </row>
    <row r="95" spans="1:28" x14ac:dyDescent="0.3">
      <c r="A95" s="8" t="str">
        <f t="shared" si="28"/>
        <v>S0094</v>
      </c>
      <c r="B95" s="3">
        <f t="shared" ca="1" si="17"/>
        <v>45976</v>
      </c>
      <c r="C95" s="3" t="str">
        <f ca="1">INDEX(Customers!$A$2:$A$21,RANDBETWEEN(1,20))</f>
        <v>C010</v>
      </c>
      <c r="D95" s="3" t="str">
        <f ca="1">INDEX(Routes!$A$2:$A$31,RANDBETWEEN(1,30))</f>
        <v>R007</v>
      </c>
      <c r="E95" s="3" t="str">
        <f ca="1">INDEX(Vehicles!$A$2:$A$21,RANDBETWEEN(1,20))</f>
        <v>V010</v>
      </c>
      <c r="F95" s="3" t="str">
        <f ca="1">INDEX(Drivers!$A$2:$A$31,RANDBETWEEN(1,30))</f>
        <v>D018</v>
      </c>
      <c r="G95" s="3">
        <f t="shared" ca="1" si="18"/>
        <v>13.2</v>
      </c>
      <c r="H95" s="3">
        <f t="shared" ca="1" si="19"/>
        <v>29763</v>
      </c>
      <c r="I95" s="3">
        <f t="shared" ca="1" si="20"/>
        <v>8334</v>
      </c>
      <c r="J95" s="3">
        <f t="shared" ca="1" si="21"/>
        <v>1873</v>
      </c>
      <c r="K95" s="3">
        <f t="shared" ca="1" si="22"/>
        <v>32</v>
      </c>
      <c r="L95" s="3">
        <f t="shared" ca="1" si="23"/>
        <v>39</v>
      </c>
      <c r="M95" s="3">
        <f t="shared" ca="1" si="24"/>
        <v>7</v>
      </c>
      <c r="N95" s="3" t="str">
        <f t="shared" ca="1" si="25"/>
        <v>Delayed</v>
      </c>
      <c r="O95" s="3" t="str">
        <f t="shared" ca="1" si="26"/>
        <v>Low</v>
      </c>
      <c r="P95" s="3">
        <f t="shared" ca="1" si="27"/>
        <v>44</v>
      </c>
      <c r="Q95" s="1" t="str">
        <f ca="1">VLOOKUP(D95,Routes!$A$2:$D$31,2,FALSE)</f>
        <v>Delhi</v>
      </c>
      <c r="R95" s="1" t="str">
        <f ca="1">VLOOKUP(D95,Routes!$A$2:$D$31,3,FALSE)</f>
        <v>Chandigarh</v>
      </c>
      <c r="S95" s="3">
        <f ca="1">VLOOKUP(D95,Routes!$A$2:$D$31,4,FALSE)</f>
        <v>250</v>
      </c>
      <c r="T95" s="3" t="str">
        <f ca="1">VLOOKUP(E95,Vehicles!$A$2:$D$21,2,FALSE)</f>
        <v>LCV</v>
      </c>
      <c r="U95" s="3">
        <f ca="1">VLOOKUP(E95,Vehicles!$A$2:$D$21,3,FALSE)</f>
        <v>7</v>
      </c>
      <c r="V95" s="3" t="str">
        <f ca="1">VLOOKUP(E95,Vehicles!$A$2:$D$21,4,FALSE)</f>
        <v>Diesel</v>
      </c>
      <c r="W95" s="3">
        <f ca="1">VLOOKUP(V95,Fuel_Rates!$A$2:$B$3,2,FALSE)</f>
        <v>95</v>
      </c>
      <c r="X95" s="3">
        <f t="shared" ca="1" si="29"/>
        <v>119.05</v>
      </c>
      <c r="Y95" s="3">
        <f t="shared" ca="1" si="30"/>
        <v>39970</v>
      </c>
      <c r="Z95" s="3" t="str">
        <f t="shared" ca="1" si="31"/>
        <v>Nov</v>
      </c>
      <c r="AA95" s="3" t="str">
        <f t="shared" ca="1" si="32"/>
        <v>Q4</v>
      </c>
      <c r="AB95" s="4" t="str">
        <f t="shared" ca="1" si="33"/>
        <v>Short Haul</v>
      </c>
    </row>
    <row r="96" spans="1:28" x14ac:dyDescent="0.3">
      <c r="A96" s="8" t="str">
        <f t="shared" si="28"/>
        <v>S0095</v>
      </c>
      <c r="B96" s="3">
        <f t="shared" ca="1" si="17"/>
        <v>45923</v>
      </c>
      <c r="C96" s="3" t="str">
        <f ca="1">INDEX(Customers!$A$2:$A$21,RANDBETWEEN(1,20))</f>
        <v>C011</v>
      </c>
      <c r="D96" s="3" t="str">
        <f ca="1">INDEX(Routes!$A$2:$A$31,RANDBETWEEN(1,30))</f>
        <v>R019</v>
      </c>
      <c r="E96" s="3" t="str">
        <f ca="1">INDEX(Vehicles!$A$2:$A$21,RANDBETWEEN(1,20))</f>
        <v>V019</v>
      </c>
      <c r="F96" s="3" t="str">
        <f ca="1">INDEX(Drivers!$A$2:$A$31,RANDBETWEEN(1,30))</f>
        <v>D008</v>
      </c>
      <c r="G96" s="3">
        <f t="shared" ca="1" si="18"/>
        <v>28.5</v>
      </c>
      <c r="H96" s="3">
        <f t="shared" ca="1" si="19"/>
        <v>55969</v>
      </c>
      <c r="I96" s="3">
        <f t="shared" ca="1" si="20"/>
        <v>15671</v>
      </c>
      <c r="J96" s="3">
        <f t="shared" ca="1" si="21"/>
        <v>3819</v>
      </c>
      <c r="K96" s="3">
        <f t="shared" ca="1" si="22"/>
        <v>13</v>
      </c>
      <c r="L96" s="3">
        <f t="shared" ca="1" si="23"/>
        <v>18</v>
      </c>
      <c r="M96" s="3">
        <f t="shared" ca="1" si="24"/>
        <v>5</v>
      </c>
      <c r="N96" s="3" t="str">
        <f t="shared" ca="1" si="25"/>
        <v>Delayed</v>
      </c>
      <c r="O96" s="3" t="str">
        <f t="shared" ca="1" si="26"/>
        <v>Medium</v>
      </c>
      <c r="P96" s="3">
        <f t="shared" ca="1" si="27"/>
        <v>95</v>
      </c>
      <c r="Q96" s="1" t="str">
        <f ca="1">VLOOKUP(D96,Routes!$A$2:$D$31,2,FALSE)</f>
        <v>Ahmedabad</v>
      </c>
      <c r="R96" s="1" t="str">
        <f ca="1">VLOOKUP(D96,Routes!$A$2:$D$31,3,FALSE)</f>
        <v>Indore</v>
      </c>
      <c r="S96" s="3">
        <f ca="1">VLOOKUP(D96,Routes!$A$2:$D$31,4,FALSE)</f>
        <v>390</v>
      </c>
      <c r="T96" s="3" t="str">
        <f ca="1">VLOOKUP(E96,Vehicles!$A$2:$D$21,2,FALSE)</f>
        <v>Trailer</v>
      </c>
      <c r="U96" s="3">
        <f ca="1">VLOOKUP(E96,Vehicles!$A$2:$D$21,3,FALSE)</f>
        <v>35</v>
      </c>
      <c r="V96" s="3" t="str">
        <f ca="1">VLOOKUP(E96,Vehicles!$A$2:$D$21,4,FALSE)</f>
        <v>Diesel</v>
      </c>
      <c r="W96" s="3">
        <f ca="1">VLOOKUP(V96,Fuel_Rates!$A$2:$B$3,2,FALSE)</f>
        <v>95</v>
      </c>
      <c r="X96" s="3">
        <f t="shared" ca="1" si="29"/>
        <v>143.51</v>
      </c>
      <c r="Y96" s="3">
        <f t="shared" ca="1" si="30"/>
        <v>75459</v>
      </c>
      <c r="Z96" s="3" t="str">
        <f t="shared" ca="1" si="31"/>
        <v>Sep</v>
      </c>
      <c r="AA96" s="3" t="str">
        <f t="shared" ca="1" si="32"/>
        <v>Q3</v>
      </c>
      <c r="AB96" s="4" t="str">
        <f t="shared" ca="1" si="33"/>
        <v>Medium Haul</v>
      </c>
    </row>
    <row r="97" spans="1:28" x14ac:dyDescent="0.3">
      <c r="A97" s="8" t="str">
        <f t="shared" si="28"/>
        <v>S0096</v>
      </c>
      <c r="B97" s="3">
        <f t="shared" ca="1" si="17"/>
        <v>45672</v>
      </c>
      <c r="C97" s="3" t="str">
        <f ca="1">INDEX(Customers!$A$2:$A$21,RANDBETWEEN(1,20))</f>
        <v>C009</v>
      </c>
      <c r="D97" s="3" t="str">
        <f ca="1">INDEX(Routes!$A$2:$A$31,RANDBETWEEN(1,30))</f>
        <v>R005</v>
      </c>
      <c r="E97" s="3" t="str">
        <f ca="1">INDEX(Vehicles!$A$2:$A$21,RANDBETWEEN(1,20))</f>
        <v>V003</v>
      </c>
      <c r="F97" s="3" t="str">
        <f ca="1">INDEX(Drivers!$A$2:$A$31,RANDBETWEEN(1,30))</f>
        <v>D024</v>
      </c>
      <c r="G97" s="3">
        <f t="shared" ca="1" si="18"/>
        <v>2.9</v>
      </c>
      <c r="H97" s="3">
        <f t="shared" ca="1" si="19"/>
        <v>15376</v>
      </c>
      <c r="I97" s="3">
        <f t="shared" ca="1" si="20"/>
        <v>4305</v>
      </c>
      <c r="J97" s="3">
        <f t="shared" ca="1" si="21"/>
        <v>2276</v>
      </c>
      <c r="K97" s="3">
        <f t="shared" ca="1" si="22"/>
        <v>14</v>
      </c>
      <c r="L97" s="3">
        <f t="shared" ca="1" si="23"/>
        <v>20</v>
      </c>
      <c r="M97" s="3">
        <f t="shared" ca="1" si="24"/>
        <v>6</v>
      </c>
      <c r="N97" s="3" t="str">
        <f t="shared" ca="1" si="25"/>
        <v>Delayed</v>
      </c>
      <c r="O97" s="3" t="str">
        <f t="shared" ca="1" si="26"/>
        <v>Medium</v>
      </c>
      <c r="P97" s="3">
        <f t="shared" ca="1" si="27"/>
        <v>9.6999999999999993</v>
      </c>
      <c r="Q97" s="1" t="str">
        <f ca="1">VLOOKUP(D97,Routes!$A$2:$D$31,2,FALSE)</f>
        <v>Delhi</v>
      </c>
      <c r="R97" s="1" t="str">
        <f ca="1">VLOOKUP(D97,Routes!$A$2:$D$31,3,FALSE)</f>
        <v>Jaipur</v>
      </c>
      <c r="S97" s="3">
        <f ca="1">VLOOKUP(D97,Routes!$A$2:$D$31,4,FALSE)</f>
        <v>280</v>
      </c>
      <c r="T97" s="3" t="str">
        <f ca="1">VLOOKUP(E97,Vehicles!$A$2:$D$21,2,FALSE)</f>
        <v>Truck</v>
      </c>
      <c r="U97" s="3">
        <f ca="1">VLOOKUP(E97,Vehicles!$A$2:$D$21,3,FALSE)</f>
        <v>25</v>
      </c>
      <c r="V97" s="3" t="str">
        <f ca="1">VLOOKUP(E97,Vehicles!$A$2:$D$21,4,FALSE)</f>
        <v>Diesel</v>
      </c>
      <c r="W97" s="3">
        <f ca="1">VLOOKUP(V97,Fuel_Rates!$A$2:$B$3,2,FALSE)</f>
        <v>95</v>
      </c>
      <c r="X97" s="3">
        <f t="shared" ca="1" si="29"/>
        <v>54.91</v>
      </c>
      <c r="Y97" s="3">
        <f t="shared" ca="1" si="30"/>
        <v>21957</v>
      </c>
      <c r="Z97" s="3" t="str">
        <f t="shared" ca="1" si="31"/>
        <v>Jan</v>
      </c>
      <c r="AA97" s="3" t="str">
        <f t="shared" ca="1" si="32"/>
        <v>Q1</v>
      </c>
      <c r="AB97" s="4" t="str">
        <f t="shared" ca="1" si="33"/>
        <v>Short Haul</v>
      </c>
    </row>
    <row r="98" spans="1:28" x14ac:dyDescent="0.3">
      <c r="A98" s="8" t="str">
        <f t="shared" si="28"/>
        <v>S0097</v>
      </c>
      <c r="B98" s="3">
        <f t="shared" ca="1" si="17"/>
        <v>45877</v>
      </c>
      <c r="C98" s="3" t="str">
        <f ca="1">INDEX(Customers!$A$2:$A$21,RANDBETWEEN(1,20))</f>
        <v>C001</v>
      </c>
      <c r="D98" s="3" t="str">
        <f ca="1">INDEX(Routes!$A$2:$A$31,RANDBETWEEN(1,30))</f>
        <v>R021</v>
      </c>
      <c r="E98" s="3" t="str">
        <f ca="1">INDEX(Vehicles!$A$2:$A$21,RANDBETWEEN(1,20))</f>
        <v>V016</v>
      </c>
      <c r="F98" s="3" t="str">
        <f ca="1">INDEX(Drivers!$A$2:$A$31,RANDBETWEEN(1,30))</f>
        <v>D021</v>
      </c>
      <c r="G98" s="3">
        <f t="shared" ca="1" si="18"/>
        <v>29.6</v>
      </c>
      <c r="H98" s="3">
        <f t="shared" ca="1" si="19"/>
        <v>61866</v>
      </c>
      <c r="I98" s="3">
        <f t="shared" ca="1" si="20"/>
        <v>17322</v>
      </c>
      <c r="J98" s="3">
        <f t="shared" ca="1" si="21"/>
        <v>2907</v>
      </c>
      <c r="K98" s="3">
        <f t="shared" ca="1" si="22"/>
        <v>16</v>
      </c>
      <c r="L98" s="3">
        <f t="shared" ca="1" si="23"/>
        <v>18</v>
      </c>
      <c r="M98" s="3">
        <f t="shared" ca="1" si="24"/>
        <v>2</v>
      </c>
      <c r="N98" s="3" t="str">
        <f t="shared" ca="1" si="25"/>
        <v>On Time</v>
      </c>
      <c r="O98" s="3" t="str">
        <f t="shared" ca="1" si="26"/>
        <v>Low</v>
      </c>
      <c r="P98" s="3">
        <f t="shared" ca="1" si="27"/>
        <v>98.7</v>
      </c>
      <c r="Q98" s="1" t="str">
        <f ca="1">VLOOKUP(D98,Routes!$A$2:$D$31,2,FALSE)</f>
        <v>Lucknow</v>
      </c>
      <c r="R98" s="1" t="str">
        <f ca="1">VLOOKUP(D98,Routes!$A$2:$D$31,3,FALSE)</f>
        <v>Kanpur</v>
      </c>
      <c r="S98" s="3">
        <f ca="1">VLOOKUP(D98,Routes!$A$2:$D$31,4,FALSE)</f>
        <v>90</v>
      </c>
      <c r="T98" s="3" t="str">
        <f ca="1">VLOOKUP(E98,Vehicles!$A$2:$D$21,2,FALSE)</f>
        <v>Container</v>
      </c>
      <c r="U98" s="3">
        <f ca="1">VLOOKUP(E98,Vehicles!$A$2:$D$21,3,FALSE)</f>
        <v>22</v>
      </c>
      <c r="V98" s="3" t="str">
        <f ca="1">VLOOKUP(E98,Vehicles!$A$2:$D$21,4,FALSE)</f>
        <v>Diesel</v>
      </c>
      <c r="W98" s="3">
        <f ca="1">VLOOKUP(V98,Fuel_Rates!$A$2:$B$3,2,FALSE)</f>
        <v>95</v>
      </c>
      <c r="X98" s="3">
        <f t="shared" ca="1" si="29"/>
        <v>687.4</v>
      </c>
      <c r="Y98" s="3">
        <f t="shared" ca="1" si="30"/>
        <v>82095</v>
      </c>
      <c r="Z98" s="3" t="str">
        <f t="shared" ca="1" si="31"/>
        <v>Aug</v>
      </c>
      <c r="AA98" s="3" t="str">
        <f t="shared" ca="1" si="32"/>
        <v>Q3</v>
      </c>
      <c r="AB98" s="4" t="str">
        <f t="shared" ca="1" si="33"/>
        <v>Short Haul</v>
      </c>
    </row>
    <row r="99" spans="1:28" x14ac:dyDescent="0.3">
      <c r="A99" s="8" t="str">
        <f t="shared" si="28"/>
        <v>S0098</v>
      </c>
      <c r="B99" s="3">
        <f t="shared" ca="1" si="17"/>
        <v>45811</v>
      </c>
      <c r="C99" s="3" t="str">
        <f ca="1">INDEX(Customers!$A$2:$A$21,RANDBETWEEN(1,20))</f>
        <v>C007</v>
      </c>
      <c r="D99" s="3" t="str">
        <f ca="1">INDEX(Routes!$A$2:$A$31,RANDBETWEEN(1,30))</f>
        <v>R027</v>
      </c>
      <c r="E99" s="3" t="str">
        <f ca="1">INDEX(Vehicles!$A$2:$A$21,RANDBETWEEN(1,20))</f>
        <v>V001</v>
      </c>
      <c r="F99" s="3" t="str">
        <f ca="1">INDEX(Drivers!$A$2:$A$31,RANDBETWEEN(1,30))</f>
        <v>D007</v>
      </c>
      <c r="G99" s="3">
        <f t="shared" ca="1" si="18"/>
        <v>22</v>
      </c>
      <c r="H99" s="3">
        <f t="shared" ca="1" si="19"/>
        <v>52545</v>
      </c>
      <c r="I99" s="3">
        <f t="shared" ca="1" si="20"/>
        <v>14713</v>
      </c>
      <c r="J99" s="3">
        <f t="shared" ca="1" si="21"/>
        <v>2954</v>
      </c>
      <c r="K99" s="3">
        <f t="shared" ca="1" si="22"/>
        <v>31</v>
      </c>
      <c r="L99" s="3">
        <f t="shared" ca="1" si="23"/>
        <v>36</v>
      </c>
      <c r="M99" s="3">
        <f t="shared" ca="1" si="24"/>
        <v>5</v>
      </c>
      <c r="N99" s="3" t="str">
        <f t="shared" ca="1" si="25"/>
        <v>Delayed</v>
      </c>
      <c r="O99" s="3" t="str">
        <f t="shared" ca="1" si="26"/>
        <v>Low</v>
      </c>
      <c r="P99" s="3">
        <f t="shared" ca="1" si="27"/>
        <v>73.3</v>
      </c>
      <c r="Q99" s="1" t="str">
        <f ca="1">VLOOKUP(D99,Routes!$A$2:$D$31,2,FALSE)</f>
        <v>Patna</v>
      </c>
      <c r="R99" s="1" t="str">
        <f ca="1">VLOOKUP(D99,Routes!$A$2:$D$31,3,FALSE)</f>
        <v>Ranchi</v>
      </c>
      <c r="S99" s="3">
        <f ca="1">VLOOKUP(D99,Routes!$A$2:$D$31,4,FALSE)</f>
        <v>330</v>
      </c>
      <c r="T99" s="3" t="str">
        <f ca="1">VLOOKUP(E99,Vehicles!$A$2:$D$21,2,FALSE)</f>
        <v>Truck</v>
      </c>
      <c r="U99" s="3">
        <f ca="1">VLOOKUP(E99,Vehicles!$A$2:$D$21,3,FALSE)</f>
        <v>16</v>
      </c>
      <c r="V99" s="3" t="str">
        <f ca="1">VLOOKUP(E99,Vehicles!$A$2:$D$21,4,FALSE)</f>
        <v>Diesel</v>
      </c>
      <c r="W99" s="3">
        <f ca="1">VLOOKUP(V99,Fuel_Rates!$A$2:$B$3,2,FALSE)</f>
        <v>95</v>
      </c>
      <c r="X99" s="3">
        <f t="shared" ca="1" si="29"/>
        <v>159.22999999999999</v>
      </c>
      <c r="Y99" s="3">
        <f t="shared" ca="1" si="30"/>
        <v>70212</v>
      </c>
      <c r="Z99" s="3" t="str">
        <f t="shared" ca="1" si="31"/>
        <v>Jun</v>
      </c>
      <c r="AA99" s="3" t="str">
        <f t="shared" ca="1" si="32"/>
        <v>Q2</v>
      </c>
      <c r="AB99" s="4" t="str">
        <f t="shared" ca="1" si="33"/>
        <v>Medium Haul</v>
      </c>
    </row>
    <row r="100" spans="1:28" x14ac:dyDescent="0.3">
      <c r="A100" s="8" t="str">
        <f t="shared" si="28"/>
        <v>S0099</v>
      </c>
      <c r="B100" s="3">
        <f t="shared" ca="1" si="17"/>
        <v>45682</v>
      </c>
      <c r="C100" s="3" t="str">
        <f ca="1">INDEX(Customers!$A$2:$A$21,RANDBETWEEN(1,20))</f>
        <v>C009</v>
      </c>
      <c r="D100" s="3" t="str">
        <f ca="1">INDEX(Routes!$A$2:$A$31,RANDBETWEEN(1,30))</f>
        <v>R008</v>
      </c>
      <c r="E100" s="3" t="str">
        <f ca="1">INDEX(Vehicles!$A$2:$A$21,RANDBETWEEN(1,20))</f>
        <v>V020</v>
      </c>
      <c r="F100" s="3" t="str">
        <f ca="1">INDEX(Drivers!$A$2:$A$31,RANDBETWEEN(1,30))</f>
        <v>D014</v>
      </c>
      <c r="G100" s="3">
        <f t="shared" ca="1" si="18"/>
        <v>28.2</v>
      </c>
      <c r="H100" s="3">
        <f t="shared" ca="1" si="19"/>
        <v>57908</v>
      </c>
      <c r="I100" s="3">
        <f t="shared" ca="1" si="20"/>
        <v>16214</v>
      </c>
      <c r="J100" s="3">
        <f t="shared" ca="1" si="21"/>
        <v>1896</v>
      </c>
      <c r="K100" s="3">
        <f t="shared" ca="1" si="22"/>
        <v>14</v>
      </c>
      <c r="L100" s="3">
        <f t="shared" ca="1" si="23"/>
        <v>18</v>
      </c>
      <c r="M100" s="3">
        <f t="shared" ca="1" si="24"/>
        <v>4</v>
      </c>
      <c r="N100" s="3" t="str">
        <f t="shared" ca="1" si="25"/>
        <v>Delayed</v>
      </c>
      <c r="O100" s="3" t="str">
        <f t="shared" ca="1" si="26"/>
        <v>High</v>
      </c>
      <c r="P100" s="3">
        <f t="shared" ca="1" si="27"/>
        <v>94</v>
      </c>
      <c r="Q100" s="1" t="str">
        <f ca="1">VLOOKUP(D100,Routes!$A$2:$D$31,2,FALSE)</f>
        <v>Delhi</v>
      </c>
      <c r="R100" s="1" t="str">
        <f ca="1">VLOOKUP(D100,Routes!$A$2:$D$31,3,FALSE)</f>
        <v>Kolkata</v>
      </c>
      <c r="S100" s="3">
        <f ca="1">VLOOKUP(D100,Routes!$A$2:$D$31,4,FALSE)</f>
        <v>1500</v>
      </c>
      <c r="T100" s="3" t="str">
        <f ca="1">VLOOKUP(E100,Vehicles!$A$2:$D$21,2,FALSE)</f>
        <v>Container</v>
      </c>
      <c r="U100" s="3">
        <f ca="1">VLOOKUP(E100,Vehicles!$A$2:$D$21,3,FALSE)</f>
        <v>28</v>
      </c>
      <c r="V100" s="3" t="str">
        <f ca="1">VLOOKUP(E100,Vehicles!$A$2:$D$21,4,FALSE)</f>
        <v>Diesel</v>
      </c>
      <c r="W100" s="3">
        <f ca="1">VLOOKUP(V100,Fuel_Rates!$A$2:$B$3,2,FALSE)</f>
        <v>95</v>
      </c>
      <c r="X100" s="3">
        <f t="shared" ca="1" si="29"/>
        <v>38.61</v>
      </c>
      <c r="Y100" s="3">
        <f t="shared" ca="1" si="30"/>
        <v>76018</v>
      </c>
      <c r="Z100" s="3" t="str">
        <f t="shared" ca="1" si="31"/>
        <v>Jan</v>
      </c>
      <c r="AA100" s="3" t="str">
        <f t="shared" ca="1" si="32"/>
        <v>Q1</v>
      </c>
      <c r="AB100" s="4" t="str">
        <f t="shared" ca="1" si="33"/>
        <v>Long Haul</v>
      </c>
    </row>
    <row r="101" spans="1:28" x14ac:dyDescent="0.3">
      <c r="A101" s="8" t="str">
        <f t="shared" si="28"/>
        <v>S0100</v>
      </c>
      <c r="B101" s="3">
        <f t="shared" ca="1" si="17"/>
        <v>45884</v>
      </c>
      <c r="C101" s="3" t="str">
        <f ca="1">INDEX(Customers!$A$2:$A$21,RANDBETWEEN(1,20))</f>
        <v>C012</v>
      </c>
      <c r="D101" s="3" t="str">
        <f ca="1">INDEX(Routes!$A$2:$A$31,RANDBETWEEN(1,30))</f>
        <v>R016</v>
      </c>
      <c r="E101" s="3" t="str">
        <f ca="1">INDEX(Vehicles!$A$2:$A$21,RANDBETWEEN(1,20))</f>
        <v>V007</v>
      </c>
      <c r="F101" s="3" t="str">
        <f ca="1">INDEX(Drivers!$A$2:$A$31,RANDBETWEEN(1,30))</f>
        <v>D025</v>
      </c>
      <c r="G101" s="3">
        <f t="shared" ca="1" si="18"/>
        <v>14.3</v>
      </c>
      <c r="H101" s="3">
        <f t="shared" ca="1" si="19"/>
        <v>31625</v>
      </c>
      <c r="I101" s="3">
        <f t="shared" ca="1" si="20"/>
        <v>8855</v>
      </c>
      <c r="J101" s="3">
        <f t="shared" ca="1" si="21"/>
        <v>2279</v>
      </c>
      <c r="K101" s="3">
        <f t="shared" ca="1" si="22"/>
        <v>42</v>
      </c>
      <c r="L101" s="3">
        <f t="shared" ca="1" si="23"/>
        <v>48</v>
      </c>
      <c r="M101" s="3">
        <f t="shared" ca="1" si="24"/>
        <v>6</v>
      </c>
      <c r="N101" s="3" t="str">
        <f t="shared" ca="1" si="25"/>
        <v>Delayed</v>
      </c>
      <c r="O101" s="3" t="str">
        <f t="shared" ca="1" si="26"/>
        <v>Low</v>
      </c>
      <c r="P101" s="3">
        <f t="shared" ca="1" si="27"/>
        <v>47.7</v>
      </c>
      <c r="Q101" s="1" t="str">
        <f ca="1">VLOOKUP(D101,Routes!$A$2:$D$31,2,FALSE)</f>
        <v>Kolkata</v>
      </c>
      <c r="R101" s="1" t="str">
        <f ca="1">VLOOKUP(D101,Routes!$A$2:$D$31,3,FALSE)</f>
        <v>Bhubaneswar</v>
      </c>
      <c r="S101" s="3">
        <f ca="1">VLOOKUP(D101,Routes!$A$2:$D$31,4,FALSE)</f>
        <v>440</v>
      </c>
      <c r="T101" s="3" t="str">
        <f ca="1">VLOOKUP(E101,Vehicles!$A$2:$D$21,2,FALSE)</f>
        <v>Container</v>
      </c>
      <c r="U101" s="3">
        <f ca="1">VLOOKUP(E101,Vehicles!$A$2:$D$21,3,FALSE)</f>
        <v>20</v>
      </c>
      <c r="V101" s="3" t="str">
        <f ca="1">VLOOKUP(E101,Vehicles!$A$2:$D$21,4,FALSE)</f>
        <v>Diesel</v>
      </c>
      <c r="W101" s="3">
        <f ca="1">VLOOKUP(V101,Fuel_Rates!$A$2:$B$3,2,FALSE)</f>
        <v>95</v>
      </c>
      <c r="X101" s="3">
        <f t="shared" ca="1" si="29"/>
        <v>71.88</v>
      </c>
      <c r="Y101" s="3">
        <f t="shared" ca="1" si="30"/>
        <v>42759</v>
      </c>
      <c r="Z101" s="3" t="str">
        <f t="shared" ca="1" si="31"/>
        <v>Aug</v>
      </c>
      <c r="AA101" s="3" t="str">
        <f t="shared" ca="1" si="32"/>
        <v>Q3</v>
      </c>
      <c r="AB101" s="4" t="str">
        <f t="shared" ca="1" si="33"/>
        <v>Medium Haul</v>
      </c>
    </row>
    <row r="102" spans="1:28" x14ac:dyDescent="0.3">
      <c r="A102" s="8" t="str">
        <f t="shared" si="28"/>
        <v>S0101</v>
      </c>
      <c r="B102" s="3">
        <f t="shared" ca="1" si="17"/>
        <v>45660</v>
      </c>
      <c r="C102" s="3" t="str">
        <f ca="1">INDEX(Customers!$A$2:$A$21,RANDBETWEEN(1,20))</f>
        <v>C005</v>
      </c>
      <c r="D102" s="3" t="str">
        <f ca="1">INDEX(Routes!$A$2:$A$31,RANDBETWEEN(1,30))</f>
        <v>R022</v>
      </c>
      <c r="E102" s="3" t="str">
        <f ca="1">INDEX(Vehicles!$A$2:$A$21,RANDBETWEEN(1,20))</f>
        <v>V010</v>
      </c>
      <c r="F102" s="3" t="str">
        <f ca="1">INDEX(Drivers!$A$2:$A$31,RANDBETWEEN(1,30))</f>
        <v>D021</v>
      </c>
      <c r="G102" s="3">
        <f t="shared" ca="1" si="18"/>
        <v>22</v>
      </c>
      <c r="H102" s="3">
        <f t="shared" ca="1" si="19"/>
        <v>44250</v>
      </c>
      <c r="I102" s="3">
        <f t="shared" ca="1" si="20"/>
        <v>12390</v>
      </c>
      <c r="J102" s="3">
        <f t="shared" ca="1" si="21"/>
        <v>2513</v>
      </c>
      <c r="K102" s="3">
        <f t="shared" ca="1" si="22"/>
        <v>7</v>
      </c>
      <c r="L102" s="3">
        <f t="shared" ca="1" si="23"/>
        <v>15</v>
      </c>
      <c r="M102" s="3">
        <f t="shared" ca="1" si="24"/>
        <v>8</v>
      </c>
      <c r="N102" s="3" t="str">
        <f t="shared" ca="1" si="25"/>
        <v>Delayed</v>
      </c>
      <c r="O102" s="3" t="str">
        <f t="shared" ca="1" si="26"/>
        <v>Medium</v>
      </c>
      <c r="P102" s="3">
        <f t="shared" ca="1" si="27"/>
        <v>73.3</v>
      </c>
      <c r="Q102" s="1" t="str">
        <f ca="1">VLOOKUP(D102,Routes!$A$2:$D$31,2,FALSE)</f>
        <v>Jaipur</v>
      </c>
      <c r="R102" s="1" t="str">
        <f ca="1">VLOOKUP(D102,Routes!$A$2:$D$31,3,FALSE)</f>
        <v>Indore</v>
      </c>
      <c r="S102" s="3">
        <f ca="1">VLOOKUP(D102,Routes!$A$2:$D$31,4,FALSE)</f>
        <v>600</v>
      </c>
      <c r="T102" s="3" t="str">
        <f ca="1">VLOOKUP(E102,Vehicles!$A$2:$D$21,2,FALSE)</f>
        <v>LCV</v>
      </c>
      <c r="U102" s="3">
        <f ca="1">VLOOKUP(E102,Vehicles!$A$2:$D$21,3,FALSE)</f>
        <v>7</v>
      </c>
      <c r="V102" s="3" t="str">
        <f ca="1">VLOOKUP(E102,Vehicles!$A$2:$D$21,4,FALSE)</f>
        <v>Diesel</v>
      </c>
      <c r="W102" s="3">
        <f ca="1">VLOOKUP(V102,Fuel_Rates!$A$2:$B$3,2,FALSE)</f>
        <v>95</v>
      </c>
      <c r="X102" s="3">
        <f t="shared" ca="1" si="29"/>
        <v>73.75</v>
      </c>
      <c r="Y102" s="3">
        <f t="shared" ca="1" si="30"/>
        <v>59153</v>
      </c>
      <c r="Z102" s="3" t="str">
        <f t="shared" ca="1" si="31"/>
        <v>Jan</v>
      </c>
      <c r="AA102" s="3" t="str">
        <f t="shared" ca="1" si="32"/>
        <v>Q1</v>
      </c>
      <c r="AB102" s="4" t="str">
        <f t="shared" ca="1" si="33"/>
        <v>Medium Haul</v>
      </c>
    </row>
    <row r="103" spans="1:28" x14ac:dyDescent="0.3">
      <c r="A103" s="8" t="str">
        <f t="shared" si="28"/>
        <v>S0102</v>
      </c>
      <c r="B103" s="3">
        <f t="shared" ca="1" si="17"/>
        <v>45818</v>
      </c>
      <c r="C103" s="3" t="str">
        <f ca="1">INDEX(Customers!$A$2:$A$21,RANDBETWEEN(1,20))</f>
        <v>C004</v>
      </c>
      <c r="D103" s="3" t="str">
        <f ca="1">INDEX(Routes!$A$2:$A$31,RANDBETWEEN(1,30))</f>
        <v>R001</v>
      </c>
      <c r="E103" s="3" t="str">
        <f ca="1">INDEX(Vehicles!$A$2:$A$21,RANDBETWEEN(1,20))</f>
        <v>V004</v>
      </c>
      <c r="F103" s="3" t="str">
        <f ca="1">INDEX(Drivers!$A$2:$A$31,RANDBETWEEN(1,30))</f>
        <v>D028</v>
      </c>
      <c r="G103" s="3">
        <f t="shared" ca="1" si="18"/>
        <v>8.1999999999999993</v>
      </c>
      <c r="H103" s="3">
        <f t="shared" ca="1" si="19"/>
        <v>21841</v>
      </c>
      <c r="I103" s="3">
        <f t="shared" ca="1" si="20"/>
        <v>6115</v>
      </c>
      <c r="J103" s="3">
        <f t="shared" ca="1" si="21"/>
        <v>2450</v>
      </c>
      <c r="K103" s="3">
        <f t="shared" ca="1" si="22"/>
        <v>36</v>
      </c>
      <c r="L103" s="3">
        <f t="shared" ca="1" si="23"/>
        <v>37</v>
      </c>
      <c r="M103" s="3">
        <f t="shared" ca="1" si="24"/>
        <v>1</v>
      </c>
      <c r="N103" s="3" t="str">
        <f t="shared" ca="1" si="25"/>
        <v>On Time</v>
      </c>
      <c r="O103" s="3" t="str">
        <f t="shared" ca="1" si="26"/>
        <v>High</v>
      </c>
      <c r="P103" s="3">
        <f t="shared" ca="1" si="27"/>
        <v>27.3</v>
      </c>
      <c r="Q103" s="1" t="str">
        <f ca="1">VLOOKUP(D103,Routes!$A$2:$D$31,2,FALSE)</f>
        <v>Mumbai</v>
      </c>
      <c r="R103" s="1" t="str">
        <f ca="1">VLOOKUP(D103,Routes!$A$2:$D$31,3,FALSE)</f>
        <v>Pune</v>
      </c>
      <c r="S103" s="3">
        <f ca="1">VLOOKUP(D103,Routes!$A$2:$D$31,4,FALSE)</f>
        <v>150</v>
      </c>
      <c r="T103" s="3" t="str">
        <f ca="1">VLOOKUP(E103,Vehicles!$A$2:$D$21,2,FALSE)</f>
        <v>Trailer</v>
      </c>
      <c r="U103" s="3">
        <f ca="1">VLOOKUP(E103,Vehicles!$A$2:$D$21,3,FALSE)</f>
        <v>28</v>
      </c>
      <c r="V103" s="3" t="str">
        <f ca="1">VLOOKUP(E103,Vehicles!$A$2:$D$21,4,FALSE)</f>
        <v>Diesel</v>
      </c>
      <c r="W103" s="3">
        <f ca="1">VLOOKUP(V103,Fuel_Rates!$A$2:$B$3,2,FALSE)</f>
        <v>95</v>
      </c>
      <c r="X103" s="3">
        <f t="shared" ca="1" si="29"/>
        <v>145.61000000000001</v>
      </c>
      <c r="Y103" s="3">
        <f t="shared" ca="1" si="30"/>
        <v>30406</v>
      </c>
      <c r="Z103" s="3" t="str">
        <f t="shared" ca="1" si="31"/>
        <v>Jun</v>
      </c>
      <c r="AA103" s="3" t="str">
        <f t="shared" ca="1" si="32"/>
        <v>Q2</v>
      </c>
      <c r="AB103" s="4" t="str">
        <f t="shared" ca="1" si="33"/>
        <v>Short Haul</v>
      </c>
    </row>
    <row r="104" spans="1:28" x14ac:dyDescent="0.3">
      <c r="A104" s="8" t="str">
        <f t="shared" si="28"/>
        <v>S0103</v>
      </c>
      <c r="B104" s="3">
        <f t="shared" ca="1" si="17"/>
        <v>45772</v>
      </c>
      <c r="C104" s="3" t="str">
        <f ca="1">INDEX(Customers!$A$2:$A$21,RANDBETWEEN(1,20))</f>
        <v>C014</v>
      </c>
      <c r="D104" s="3" t="str">
        <f ca="1">INDEX(Routes!$A$2:$A$31,RANDBETWEEN(1,30))</f>
        <v>R009</v>
      </c>
      <c r="E104" s="3" t="str">
        <f ca="1">INDEX(Vehicles!$A$2:$A$21,RANDBETWEEN(1,20))</f>
        <v>V003</v>
      </c>
      <c r="F104" s="3" t="str">
        <f ca="1">INDEX(Drivers!$A$2:$A$31,RANDBETWEEN(1,30))</f>
        <v>D003</v>
      </c>
      <c r="G104" s="3">
        <f t="shared" ca="1" si="18"/>
        <v>27.5</v>
      </c>
      <c r="H104" s="3">
        <f t="shared" ca="1" si="19"/>
        <v>60530</v>
      </c>
      <c r="I104" s="3">
        <f t="shared" ca="1" si="20"/>
        <v>16948</v>
      </c>
      <c r="J104" s="3">
        <f t="shared" ca="1" si="21"/>
        <v>1326</v>
      </c>
      <c r="K104" s="3">
        <f t="shared" ca="1" si="22"/>
        <v>48</v>
      </c>
      <c r="L104" s="3">
        <f t="shared" ca="1" si="23"/>
        <v>56</v>
      </c>
      <c r="M104" s="3">
        <f t="shared" ca="1" si="24"/>
        <v>8</v>
      </c>
      <c r="N104" s="3" t="str">
        <f t="shared" ca="1" si="25"/>
        <v>Delayed</v>
      </c>
      <c r="O104" s="3" t="str">
        <f t="shared" ca="1" si="26"/>
        <v>Low</v>
      </c>
      <c r="P104" s="3">
        <f t="shared" ca="1" si="27"/>
        <v>91.7</v>
      </c>
      <c r="Q104" s="1" t="str">
        <f ca="1">VLOOKUP(D104,Routes!$A$2:$D$31,2,FALSE)</f>
        <v>Bengaluru</v>
      </c>
      <c r="R104" s="1" t="str">
        <f ca="1">VLOOKUP(D104,Routes!$A$2:$D$31,3,FALSE)</f>
        <v>Chennai</v>
      </c>
      <c r="S104" s="3">
        <f ca="1">VLOOKUP(D104,Routes!$A$2:$D$31,4,FALSE)</f>
        <v>350</v>
      </c>
      <c r="T104" s="3" t="str">
        <f ca="1">VLOOKUP(E104,Vehicles!$A$2:$D$21,2,FALSE)</f>
        <v>Truck</v>
      </c>
      <c r="U104" s="3">
        <f ca="1">VLOOKUP(E104,Vehicles!$A$2:$D$21,3,FALSE)</f>
        <v>25</v>
      </c>
      <c r="V104" s="3" t="str">
        <f ca="1">VLOOKUP(E104,Vehicles!$A$2:$D$21,4,FALSE)</f>
        <v>Diesel</v>
      </c>
      <c r="W104" s="3">
        <f ca="1">VLOOKUP(V104,Fuel_Rates!$A$2:$B$3,2,FALSE)</f>
        <v>95</v>
      </c>
      <c r="X104" s="3">
        <f t="shared" ca="1" si="29"/>
        <v>172.94</v>
      </c>
      <c r="Y104" s="3">
        <f t="shared" ca="1" si="30"/>
        <v>78804</v>
      </c>
      <c r="Z104" s="3" t="str">
        <f t="shared" ca="1" si="31"/>
        <v>Apr</v>
      </c>
      <c r="AA104" s="3" t="str">
        <f t="shared" ca="1" si="32"/>
        <v>Q2</v>
      </c>
      <c r="AB104" s="4" t="str">
        <f t="shared" ca="1" si="33"/>
        <v>Medium Haul</v>
      </c>
    </row>
    <row r="105" spans="1:28" x14ac:dyDescent="0.3">
      <c r="A105" s="8" t="str">
        <f t="shared" si="28"/>
        <v>S0104</v>
      </c>
      <c r="B105" s="3">
        <f t="shared" ca="1" si="17"/>
        <v>45955</v>
      </c>
      <c r="C105" s="3" t="str">
        <f ca="1">INDEX(Customers!$A$2:$A$21,RANDBETWEEN(1,20))</f>
        <v>C004</v>
      </c>
      <c r="D105" s="3" t="str">
        <f ca="1">INDEX(Routes!$A$2:$A$31,RANDBETWEEN(1,30))</f>
        <v>R014</v>
      </c>
      <c r="E105" s="3" t="str">
        <f ca="1">INDEX(Vehicles!$A$2:$A$21,RANDBETWEEN(1,20))</f>
        <v>V004</v>
      </c>
      <c r="F105" s="3" t="str">
        <f ca="1">INDEX(Drivers!$A$2:$A$31,RANDBETWEEN(1,30))</f>
        <v>D012</v>
      </c>
      <c r="G105" s="3">
        <f t="shared" ca="1" si="18"/>
        <v>8.6999999999999993</v>
      </c>
      <c r="H105" s="3">
        <f t="shared" ca="1" si="19"/>
        <v>27177</v>
      </c>
      <c r="I105" s="3">
        <f t="shared" ca="1" si="20"/>
        <v>7610</v>
      </c>
      <c r="J105" s="3">
        <f t="shared" ca="1" si="21"/>
        <v>2344</v>
      </c>
      <c r="K105" s="3">
        <f t="shared" ca="1" si="22"/>
        <v>35</v>
      </c>
      <c r="L105" s="3">
        <f t="shared" ca="1" si="23"/>
        <v>43</v>
      </c>
      <c r="M105" s="3">
        <f t="shared" ca="1" si="24"/>
        <v>8</v>
      </c>
      <c r="N105" s="3" t="str">
        <f t="shared" ca="1" si="25"/>
        <v>Delayed</v>
      </c>
      <c r="O105" s="3" t="str">
        <f t="shared" ca="1" si="26"/>
        <v>High</v>
      </c>
      <c r="P105" s="3">
        <f t="shared" ca="1" si="27"/>
        <v>29</v>
      </c>
      <c r="Q105" s="1" t="str">
        <f ca="1">VLOOKUP(D105,Routes!$A$2:$D$31,2,FALSE)</f>
        <v>Hyderabad</v>
      </c>
      <c r="R105" s="1" t="str">
        <f ca="1">VLOOKUP(D105,Routes!$A$2:$D$31,3,FALSE)</f>
        <v>Nagpur</v>
      </c>
      <c r="S105" s="3">
        <f ca="1">VLOOKUP(D105,Routes!$A$2:$D$31,4,FALSE)</f>
        <v>500</v>
      </c>
      <c r="T105" s="3" t="str">
        <f ca="1">VLOOKUP(E105,Vehicles!$A$2:$D$21,2,FALSE)</f>
        <v>Trailer</v>
      </c>
      <c r="U105" s="3">
        <f ca="1">VLOOKUP(E105,Vehicles!$A$2:$D$21,3,FALSE)</f>
        <v>28</v>
      </c>
      <c r="V105" s="3" t="str">
        <f ca="1">VLOOKUP(E105,Vehicles!$A$2:$D$21,4,FALSE)</f>
        <v>Diesel</v>
      </c>
      <c r="W105" s="3">
        <f ca="1">VLOOKUP(V105,Fuel_Rates!$A$2:$B$3,2,FALSE)</f>
        <v>95</v>
      </c>
      <c r="X105" s="3">
        <f t="shared" ca="1" si="29"/>
        <v>54.35</v>
      </c>
      <c r="Y105" s="3">
        <f t="shared" ca="1" si="30"/>
        <v>37131</v>
      </c>
      <c r="Z105" s="3" t="str">
        <f t="shared" ca="1" si="31"/>
        <v>Oct</v>
      </c>
      <c r="AA105" s="3" t="str">
        <f t="shared" ca="1" si="32"/>
        <v>Q4</v>
      </c>
      <c r="AB105" s="4" t="str">
        <f t="shared" ca="1" si="33"/>
        <v>Medium Haul</v>
      </c>
    </row>
    <row r="106" spans="1:28" x14ac:dyDescent="0.3">
      <c r="A106" s="8" t="str">
        <f t="shared" si="28"/>
        <v>S0105</v>
      </c>
      <c r="B106" s="3">
        <f t="shared" ca="1" si="17"/>
        <v>45736</v>
      </c>
      <c r="C106" s="3" t="str">
        <f ca="1">INDEX(Customers!$A$2:$A$21,RANDBETWEEN(1,20))</f>
        <v>C001</v>
      </c>
      <c r="D106" s="3" t="str">
        <f ca="1">INDEX(Routes!$A$2:$A$31,RANDBETWEEN(1,30))</f>
        <v>R021</v>
      </c>
      <c r="E106" s="3" t="str">
        <f ca="1">INDEX(Vehicles!$A$2:$A$21,RANDBETWEEN(1,20))</f>
        <v>V006</v>
      </c>
      <c r="F106" s="3" t="str">
        <f ca="1">INDEX(Drivers!$A$2:$A$31,RANDBETWEEN(1,30))</f>
        <v>D030</v>
      </c>
      <c r="G106" s="3">
        <f t="shared" ca="1" si="18"/>
        <v>10.8</v>
      </c>
      <c r="H106" s="3">
        <f t="shared" ca="1" si="19"/>
        <v>33491</v>
      </c>
      <c r="I106" s="3">
        <f t="shared" ca="1" si="20"/>
        <v>9377</v>
      </c>
      <c r="J106" s="3">
        <f t="shared" ca="1" si="21"/>
        <v>1625</v>
      </c>
      <c r="K106" s="3">
        <f t="shared" ca="1" si="22"/>
        <v>7</v>
      </c>
      <c r="L106" s="3">
        <f t="shared" ca="1" si="23"/>
        <v>9</v>
      </c>
      <c r="M106" s="3">
        <f t="shared" ca="1" si="24"/>
        <v>2</v>
      </c>
      <c r="N106" s="3" t="str">
        <f t="shared" ca="1" si="25"/>
        <v>On Time</v>
      </c>
      <c r="O106" s="3" t="str">
        <f t="shared" ca="1" si="26"/>
        <v>High</v>
      </c>
      <c r="P106" s="3">
        <f t="shared" ca="1" si="27"/>
        <v>36</v>
      </c>
      <c r="Q106" s="1" t="str">
        <f ca="1">VLOOKUP(D106,Routes!$A$2:$D$31,2,FALSE)</f>
        <v>Lucknow</v>
      </c>
      <c r="R106" s="1" t="str">
        <f ca="1">VLOOKUP(D106,Routes!$A$2:$D$31,3,FALSE)</f>
        <v>Kanpur</v>
      </c>
      <c r="S106" s="3">
        <f ca="1">VLOOKUP(D106,Routes!$A$2:$D$31,4,FALSE)</f>
        <v>90</v>
      </c>
      <c r="T106" s="3" t="str">
        <f ca="1">VLOOKUP(E106,Vehicles!$A$2:$D$21,2,FALSE)</f>
        <v>Container</v>
      </c>
      <c r="U106" s="3">
        <f ca="1">VLOOKUP(E106,Vehicles!$A$2:$D$21,3,FALSE)</f>
        <v>18</v>
      </c>
      <c r="V106" s="3" t="str">
        <f ca="1">VLOOKUP(E106,Vehicles!$A$2:$D$21,4,FALSE)</f>
        <v>Diesel</v>
      </c>
      <c r="W106" s="3">
        <f ca="1">VLOOKUP(V106,Fuel_Rates!$A$2:$B$3,2,FALSE)</f>
        <v>95</v>
      </c>
      <c r="X106" s="3">
        <f t="shared" ca="1" si="29"/>
        <v>372.12</v>
      </c>
      <c r="Y106" s="3">
        <f t="shared" ca="1" si="30"/>
        <v>44493</v>
      </c>
      <c r="Z106" s="3" t="str">
        <f t="shared" ca="1" si="31"/>
        <v>Mar</v>
      </c>
      <c r="AA106" s="3" t="str">
        <f t="shared" ca="1" si="32"/>
        <v>Q1</v>
      </c>
      <c r="AB106" s="4" t="str">
        <f t="shared" ca="1" si="33"/>
        <v>Short Haul</v>
      </c>
    </row>
    <row r="107" spans="1:28" x14ac:dyDescent="0.3">
      <c r="A107" s="8" t="str">
        <f t="shared" si="28"/>
        <v>S0106</v>
      </c>
      <c r="B107" s="3">
        <f t="shared" ca="1" si="17"/>
        <v>45919</v>
      </c>
      <c r="C107" s="3" t="str">
        <f ca="1">INDEX(Customers!$A$2:$A$21,RANDBETWEEN(1,20))</f>
        <v>C017</v>
      </c>
      <c r="D107" s="3" t="str">
        <f ca="1">INDEX(Routes!$A$2:$A$31,RANDBETWEEN(1,30))</f>
        <v>R025</v>
      </c>
      <c r="E107" s="3" t="str">
        <f ca="1">INDEX(Vehicles!$A$2:$A$21,RANDBETWEEN(1,20))</f>
        <v>V009</v>
      </c>
      <c r="F107" s="3" t="str">
        <f ca="1">INDEX(Drivers!$A$2:$A$31,RANDBETWEEN(1,30))</f>
        <v>D023</v>
      </c>
      <c r="G107" s="3">
        <f t="shared" ca="1" si="18"/>
        <v>20.5</v>
      </c>
      <c r="H107" s="3">
        <f t="shared" ca="1" si="19"/>
        <v>42196</v>
      </c>
      <c r="I107" s="3">
        <f t="shared" ca="1" si="20"/>
        <v>11815</v>
      </c>
      <c r="J107" s="3">
        <f t="shared" ca="1" si="21"/>
        <v>834</v>
      </c>
      <c r="K107" s="3">
        <f t="shared" ca="1" si="22"/>
        <v>43</v>
      </c>
      <c r="L107" s="3">
        <f t="shared" ca="1" si="23"/>
        <v>47</v>
      </c>
      <c r="M107" s="3">
        <f t="shared" ca="1" si="24"/>
        <v>4</v>
      </c>
      <c r="N107" s="3" t="str">
        <f t="shared" ca="1" si="25"/>
        <v>Delayed</v>
      </c>
      <c r="O107" s="3" t="str">
        <f t="shared" ca="1" si="26"/>
        <v>Low</v>
      </c>
      <c r="P107" s="3">
        <f t="shared" ca="1" si="27"/>
        <v>68.3</v>
      </c>
      <c r="Q107" s="1" t="str">
        <f ca="1">VLOOKUP(D107,Routes!$A$2:$D$31,2,FALSE)</f>
        <v>Visakhapatnam</v>
      </c>
      <c r="R107" s="1" t="str">
        <f ca="1">VLOOKUP(D107,Routes!$A$2:$D$31,3,FALSE)</f>
        <v>Hyderabad</v>
      </c>
      <c r="S107" s="3">
        <f ca="1">VLOOKUP(D107,Routes!$A$2:$D$31,4,FALSE)</f>
        <v>620</v>
      </c>
      <c r="T107" s="3" t="str">
        <f ca="1">VLOOKUP(E107,Vehicles!$A$2:$D$21,2,FALSE)</f>
        <v>LCV</v>
      </c>
      <c r="U107" s="3">
        <f ca="1">VLOOKUP(E107,Vehicles!$A$2:$D$21,3,FALSE)</f>
        <v>5</v>
      </c>
      <c r="V107" s="3" t="str">
        <f ca="1">VLOOKUP(E107,Vehicles!$A$2:$D$21,4,FALSE)</f>
        <v>Diesel</v>
      </c>
      <c r="W107" s="3">
        <f ca="1">VLOOKUP(V107,Fuel_Rates!$A$2:$B$3,2,FALSE)</f>
        <v>95</v>
      </c>
      <c r="X107" s="3">
        <f t="shared" ca="1" si="29"/>
        <v>68.06</v>
      </c>
      <c r="Y107" s="3">
        <f t="shared" ca="1" si="30"/>
        <v>54845</v>
      </c>
      <c r="Z107" s="3" t="str">
        <f t="shared" ca="1" si="31"/>
        <v>Sep</v>
      </c>
      <c r="AA107" s="3" t="str">
        <f t="shared" ca="1" si="32"/>
        <v>Q3</v>
      </c>
      <c r="AB107" s="4" t="str">
        <f t="shared" ca="1" si="33"/>
        <v>Medium Haul</v>
      </c>
    </row>
    <row r="108" spans="1:28" x14ac:dyDescent="0.3">
      <c r="A108" s="8" t="str">
        <f t="shared" si="28"/>
        <v>S0107</v>
      </c>
      <c r="B108" s="3">
        <f t="shared" ca="1" si="17"/>
        <v>45999</v>
      </c>
      <c r="C108" s="3" t="str">
        <f ca="1">INDEX(Customers!$A$2:$A$21,RANDBETWEEN(1,20))</f>
        <v>C014</v>
      </c>
      <c r="D108" s="3" t="str">
        <f ca="1">INDEX(Routes!$A$2:$A$31,RANDBETWEEN(1,30))</f>
        <v>R010</v>
      </c>
      <c r="E108" s="3" t="str">
        <f ca="1">INDEX(Vehicles!$A$2:$A$21,RANDBETWEEN(1,20))</f>
        <v>V017</v>
      </c>
      <c r="F108" s="3" t="str">
        <f ca="1">INDEX(Drivers!$A$2:$A$31,RANDBETWEEN(1,30))</f>
        <v>D005</v>
      </c>
      <c r="G108" s="3">
        <f t="shared" ca="1" si="18"/>
        <v>10.9</v>
      </c>
      <c r="H108" s="3">
        <f t="shared" ca="1" si="19"/>
        <v>26653</v>
      </c>
      <c r="I108" s="3">
        <f t="shared" ca="1" si="20"/>
        <v>7463</v>
      </c>
      <c r="J108" s="3">
        <f t="shared" ca="1" si="21"/>
        <v>2916</v>
      </c>
      <c r="K108" s="3">
        <f t="shared" ca="1" si="22"/>
        <v>9</v>
      </c>
      <c r="L108" s="3">
        <f t="shared" ca="1" si="23"/>
        <v>14</v>
      </c>
      <c r="M108" s="3">
        <f t="shared" ca="1" si="24"/>
        <v>5</v>
      </c>
      <c r="N108" s="3" t="str">
        <f t="shared" ca="1" si="25"/>
        <v>Delayed</v>
      </c>
      <c r="O108" s="3" t="str">
        <f t="shared" ca="1" si="26"/>
        <v>Low</v>
      </c>
      <c r="P108" s="3">
        <f t="shared" ca="1" si="27"/>
        <v>36.299999999999997</v>
      </c>
      <c r="Q108" s="1" t="str">
        <f ca="1">VLOOKUP(D108,Routes!$A$2:$D$31,2,FALSE)</f>
        <v>Bengaluru</v>
      </c>
      <c r="R108" s="1" t="str">
        <f ca="1">VLOOKUP(D108,Routes!$A$2:$D$31,3,FALSE)</f>
        <v>Hyderabad</v>
      </c>
      <c r="S108" s="3">
        <f ca="1">VLOOKUP(D108,Routes!$A$2:$D$31,4,FALSE)</f>
        <v>570</v>
      </c>
      <c r="T108" s="3" t="str">
        <f ca="1">VLOOKUP(E108,Vehicles!$A$2:$D$21,2,FALSE)</f>
        <v>Truck</v>
      </c>
      <c r="U108" s="3">
        <f ca="1">VLOOKUP(E108,Vehicles!$A$2:$D$21,3,FALSE)</f>
        <v>24</v>
      </c>
      <c r="V108" s="3" t="str">
        <f ca="1">VLOOKUP(E108,Vehicles!$A$2:$D$21,4,FALSE)</f>
        <v>Diesel</v>
      </c>
      <c r="W108" s="3">
        <f ca="1">VLOOKUP(V108,Fuel_Rates!$A$2:$B$3,2,FALSE)</f>
        <v>95</v>
      </c>
      <c r="X108" s="3">
        <f t="shared" ca="1" si="29"/>
        <v>46.76</v>
      </c>
      <c r="Y108" s="3">
        <f t="shared" ca="1" si="30"/>
        <v>37032</v>
      </c>
      <c r="Z108" s="3" t="str">
        <f t="shared" ca="1" si="31"/>
        <v>Dec</v>
      </c>
      <c r="AA108" s="3" t="str">
        <f t="shared" ca="1" si="32"/>
        <v>Q4</v>
      </c>
      <c r="AB108" s="4" t="str">
        <f t="shared" ca="1" si="33"/>
        <v>Medium Haul</v>
      </c>
    </row>
    <row r="109" spans="1:28" x14ac:dyDescent="0.3">
      <c r="A109" s="8" t="str">
        <f t="shared" si="28"/>
        <v>S0108</v>
      </c>
      <c r="B109" s="3">
        <f t="shared" ca="1" si="17"/>
        <v>45972</v>
      </c>
      <c r="C109" s="3" t="str">
        <f ca="1">INDEX(Customers!$A$2:$A$21,RANDBETWEEN(1,20))</f>
        <v>C008</v>
      </c>
      <c r="D109" s="3" t="str">
        <f ca="1">INDEX(Routes!$A$2:$A$31,RANDBETWEEN(1,30))</f>
        <v>R017</v>
      </c>
      <c r="E109" s="3" t="str">
        <f ca="1">INDEX(Vehicles!$A$2:$A$21,RANDBETWEEN(1,20))</f>
        <v>V016</v>
      </c>
      <c r="F109" s="3" t="str">
        <f ca="1">INDEX(Drivers!$A$2:$A$31,RANDBETWEEN(1,30))</f>
        <v>D030</v>
      </c>
      <c r="G109" s="3">
        <f t="shared" ca="1" si="18"/>
        <v>11.6</v>
      </c>
      <c r="H109" s="3">
        <f t="shared" ca="1" si="19"/>
        <v>31029</v>
      </c>
      <c r="I109" s="3">
        <f t="shared" ca="1" si="20"/>
        <v>8688</v>
      </c>
      <c r="J109" s="3">
        <f t="shared" ca="1" si="21"/>
        <v>1628</v>
      </c>
      <c r="K109" s="3">
        <f t="shared" ca="1" si="22"/>
        <v>13</v>
      </c>
      <c r="L109" s="3">
        <f t="shared" ca="1" si="23"/>
        <v>18</v>
      </c>
      <c r="M109" s="3">
        <f t="shared" ca="1" si="24"/>
        <v>5</v>
      </c>
      <c r="N109" s="3" t="str">
        <f t="shared" ca="1" si="25"/>
        <v>Delayed</v>
      </c>
      <c r="O109" s="3" t="str">
        <f t="shared" ca="1" si="26"/>
        <v>Low</v>
      </c>
      <c r="P109" s="3">
        <f t="shared" ca="1" si="27"/>
        <v>38.700000000000003</v>
      </c>
      <c r="Q109" s="1" t="str">
        <f ca="1">VLOOKUP(D109,Routes!$A$2:$D$31,2,FALSE)</f>
        <v>Kolkata</v>
      </c>
      <c r="R109" s="1" t="str">
        <f ca="1">VLOOKUP(D109,Routes!$A$2:$D$31,3,FALSE)</f>
        <v>Patna</v>
      </c>
      <c r="S109" s="3">
        <f ca="1">VLOOKUP(D109,Routes!$A$2:$D$31,4,FALSE)</f>
        <v>620</v>
      </c>
      <c r="T109" s="3" t="str">
        <f ca="1">VLOOKUP(E109,Vehicles!$A$2:$D$21,2,FALSE)</f>
        <v>Container</v>
      </c>
      <c r="U109" s="3">
        <f ca="1">VLOOKUP(E109,Vehicles!$A$2:$D$21,3,FALSE)</f>
        <v>22</v>
      </c>
      <c r="V109" s="3" t="str">
        <f ca="1">VLOOKUP(E109,Vehicles!$A$2:$D$21,4,FALSE)</f>
        <v>Diesel</v>
      </c>
      <c r="W109" s="3">
        <f ca="1">VLOOKUP(V109,Fuel_Rates!$A$2:$B$3,2,FALSE)</f>
        <v>95</v>
      </c>
      <c r="X109" s="3">
        <f t="shared" ca="1" si="29"/>
        <v>50.05</v>
      </c>
      <c r="Y109" s="3">
        <f t="shared" ca="1" si="30"/>
        <v>41345</v>
      </c>
      <c r="Z109" s="3" t="str">
        <f t="shared" ca="1" si="31"/>
        <v>Nov</v>
      </c>
      <c r="AA109" s="3" t="str">
        <f t="shared" ca="1" si="32"/>
        <v>Q4</v>
      </c>
      <c r="AB109" s="4" t="str">
        <f t="shared" ca="1" si="33"/>
        <v>Medium Haul</v>
      </c>
    </row>
    <row r="110" spans="1:28" x14ac:dyDescent="0.3">
      <c r="A110" s="8" t="str">
        <f t="shared" si="28"/>
        <v>S0109</v>
      </c>
      <c r="B110" s="3">
        <f t="shared" ca="1" si="17"/>
        <v>45957</v>
      </c>
      <c r="C110" s="3" t="str">
        <f ca="1">INDEX(Customers!$A$2:$A$21,RANDBETWEEN(1,20))</f>
        <v>C007</v>
      </c>
      <c r="D110" s="3" t="str">
        <f ca="1">INDEX(Routes!$A$2:$A$31,RANDBETWEEN(1,30))</f>
        <v>R004</v>
      </c>
      <c r="E110" s="3" t="str">
        <f ca="1">INDEX(Vehicles!$A$2:$A$21,RANDBETWEEN(1,20))</f>
        <v>V020</v>
      </c>
      <c r="F110" s="3" t="str">
        <f ca="1">INDEX(Drivers!$A$2:$A$31,RANDBETWEEN(1,30))</f>
        <v>D022</v>
      </c>
      <c r="G110" s="3">
        <f t="shared" ca="1" si="18"/>
        <v>13.4</v>
      </c>
      <c r="H110" s="3">
        <f t="shared" ca="1" si="19"/>
        <v>38485</v>
      </c>
      <c r="I110" s="3">
        <f t="shared" ca="1" si="20"/>
        <v>10776</v>
      </c>
      <c r="J110" s="3">
        <f t="shared" ca="1" si="21"/>
        <v>2862</v>
      </c>
      <c r="K110" s="3">
        <f t="shared" ca="1" si="22"/>
        <v>4</v>
      </c>
      <c r="L110" s="3">
        <f t="shared" ca="1" si="23"/>
        <v>7</v>
      </c>
      <c r="M110" s="3">
        <f t="shared" ca="1" si="24"/>
        <v>3</v>
      </c>
      <c r="N110" s="3" t="str">
        <f t="shared" ca="1" si="25"/>
        <v>Delayed</v>
      </c>
      <c r="O110" s="3" t="str">
        <f t="shared" ca="1" si="26"/>
        <v>Medium</v>
      </c>
      <c r="P110" s="3">
        <f t="shared" ca="1" si="27"/>
        <v>44.7</v>
      </c>
      <c r="Q110" s="1" t="str">
        <f ca="1">VLOOKUP(D110,Routes!$A$2:$D$31,2,FALSE)</f>
        <v>Mumbai</v>
      </c>
      <c r="R110" s="1" t="str">
        <f ca="1">VLOOKUP(D110,Routes!$A$2:$D$31,3,FALSE)</f>
        <v>Bengaluru</v>
      </c>
      <c r="S110" s="3">
        <f ca="1">VLOOKUP(D110,Routes!$A$2:$D$31,4,FALSE)</f>
        <v>980</v>
      </c>
      <c r="T110" s="3" t="str">
        <f ca="1">VLOOKUP(E110,Vehicles!$A$2:$D$21,2,FALSE)</f>
        <v>Container</v>
      </c>
      <c r="U110" s="3">
        <f ca="1">VLOOKUP(E110,Vehicles!$A$2:$D$21,3,FALSE)</f>
        <v>28</v>
      </c>
      <c r="V110" s="3" t="str">
        <f ca="1">VLOOKUP(E110,Vehicles!$A$2:$D$21,4,FALSE)</f>
        <v>Diesel</v>
      </c>
      <c r="W110" s="3">
        <f ca="1">VLOOKUP(V110,Fuel_Rates!$A$2:$B$3,2,FALSE)</f>
        <v>95</v>
      </c>
      <c r="X110" s="3">
        <f t="shared" ca="1" si="29"/>
        <v>39.270000000000003</v>
      </c>
      <c r="Y110" s="3">
        <f t="shared" ca="1" si="30"/>
        <v>52123</v>
      </c>
      <c r="Z110" s="3" t="str">
        <f t="shared" ca="1" si="31"/>
        <v>Oct</v>
      </c>
      <c r="AA110" s="3" t="str">
        <f t="shared" ca="1" si="32"/>
        <v>Q4</v>
      </c>
      <c r="AB110" s="4" t="str">
        <f t="shared" ca="1" si="33"/>
        <v>Long Haul</v>
      </c>
    </row>
    <row r="111" spans="1:28" x14ac:dyDescent="0.3">
      <c r="A111" s="8" t="str">
        <f t="shared" si="28"/>
        <v>S0110</v>
      </c>
      <c r="B111" s="3">
        <f t="shared" ca="1" si="17"/>
        <v>45976</v>
      </c>
      <c r="C111" s="3" t="str">
        <f ca="1">INDEX(Customers!$A$2:$A$21,RANDBETWEEN(1,20))</f>
        <v>C016</v>
      </c>
      <c r="D111" s="3" t="str">
        <f ca="1">INDEX(Routes!$A$2:$A$31,RANDBETWEEN(1,30))</f>
        <v>R024</v>
      </c>
      <c r="E111" s="3" t="str">
        <f ca="1">INDEX(Vehicles!$A$2:$A$21,RANDBETWEEN(1,20))</f>
        <v>V002</v>
      </c>
      <c r="F111" s="3" t="str">
        <f ca="1">INDEX(Drivers!$A$2:$A$31,RANDBETWEEN(1,30))</f>
        <v>D028</v>
      </c>
      <c r="G111" s="3">
        <f t="shared" ca="1" si="18"/>
        <v>6.4</v>
      </c>
      <c r="H111" s="3">
        <f t="shared" ca="1" si="19"/>
        <v>17167</v>
      </c>
      <c r="I111" s="3">
        <f t="shared" ca="1" si="20"/>
        <v>4807</v>
      </c>
      <c r="J111" s="3">
        <f t="shared" ca="1" si="21"/>
        <v>2096</v>
      </c>
      <c r="K111" s="3">
        <f t="shared" ca="1" si="22"/>
        <v>7</v>
      </c>
      <c r="L111" s="3">
        <f t="shared" ca="1" si="23"/>
        <v>11</v>
      </c>
      <c r="M111" s="3">
        <f t="shared" ca="1" si="24"/>
        <v>4</v>
      </c>
      <c r="N111" s="3" t="str">
        <f t="shared" ca="1" si="25"/>
        <v>Delayed</v>
      </c>
      <c r="O111" s="3" t="str">
        <f t="shared" ca="1" si="26"/>
        <v>Low</v>
      </c>
      <c r="P111" s="3">
        <f t="shared" ca="1" si="27"/>
        <v>21.3</v>
      </c>
      <c r="Q111" s="1" t="str">
        <f ca="1">VLOOKUP(D111,Routes!$A$2:$D$31,2,FALSE)</f>
        <v>Surat</v>
      </c>
      <c r="R111" s="1" t="str">
        <f ca="1">VLOOKUP(D111,Routes!$A$2:$D$31,3,FALSE)</f>
        <v>Mumbai</v>
      </c>
      <c r="S111" s="3">
        <f ca="1">VLOOKUP(D111,Routes!$A$2:$D$31,4,FALSE)</f>
        <v>280</v>
      </c>
      <c r="T111" s="3" t="str">
        <f ca="1">VLOOKUP(E111,Vehicles!$A$2:$D$21,2,FALSE)</f>
        <v>Truck</v>
      </c>
      <c r="U111" s="3">
        <f ca="1">VLOOKUP(E111,Vehicles!$A$2:$D$21,3,FALSE)</f>
        <v>20</v>
      </c>
      <c r="V111" s="3" t="str">
        <f ca="1">VLOOKUP(E111,Vehicles!$A$2:$D$21,4,FALSE)</f>
        <v>Diesel</v>
      </c>
      <c r="W111" s="3">
        <f ca="1">VLOOKUP(V111,Fuel_Rates!$A$2:$B$3,2,FALSE)</f>
        <v>95</v>
      </c>
      <c r="X111" s="3">
        <f t="shared" ca="1" si="29"/>
        <v>61.31</v>
      </c>
      <c r="Y111" s="3">
        <f t="shared" ca="1" si="30"/>
        <v>24070</v>
      </c>
      <c r="Z111" s="3" t="str">
        <f t="shared" ca="1" si="31"/>
        <v>Nov</v>
      </c>
      <c r="AA111" s="3" t="str">
        <f t="shared" ca="1" si="32"/>
        <v>Q4</v>
      </c>
      <c r="AB111" s="4" t="str">
        <f t="shared" ca="1" si="33"/>
        <v>Short Haul</v>
      </c>
    </row>
    <row r="112" spans="1:28" x14ac:dyDescent="0.3">
      <c r="A112" s="8" t="str">
        <f t="shared" si="28"/>
        <v>S0111</v>
      </c>
      <c r="B112" s="3">
        <f t="shared" ca="1" si="17"/>
        <v>45736</v>
      </c>
      <c r="C112" s="3" t="str">
        <f ca="1">INDEX(Customers!$A$2:$A$21,RANDBETWEEN(1,20))</f>
        <v>C005</v>
      </c>
      <c r="D112" s="3" t="str">
        <f ca="1">INDEX(Routes!$A$2:$A$31,RANDBETWEEN(1,30))</f>
        <v>R013</v>
      </c>
      <c r="E112" s="3" t="str">
        <f ca="1">INDEX(Vehicles!$A$2:$A$21,RANDBETWEEN(1,20))</f>
        <v>V014</v>
      </c>
      <c r="F112" s="3" t="str">
        <f ca="1">INDEX(Drivers!$A$2:$A$31,RANDBETWEEN(1,30))</f>
        <v>D029</v>
      </c>
      <c r="G112" s="3">
        <f t="shared" ca="1" si="18"/>
        <v>12.6</v>
      </c>
      <c r="H112" s="3">
        <f t="shared" ca="1" si="19"/>
        <v>35617</v>
      </c>
      <c r="I112" s="3">
        <f t="shared" ca="1" si="20"/>
        <v>9973</v>
      </c>
      <c r="J112" s="3">
        <f t="shared" ca="1" si="21"/>
        <v>1581</v>
      </c>
      <c r="K112" s="3">
        <f t="shared" ca="1" si="22"/>
        <v>11</v>
      </c>
      <c r="L112" s="3">
        <f t="shared" ca="1" si="23"/>
        <v>18</v>
      </c>
      <c r="M112" s="3">
        <f t="shared" ca="1" si="24"/>
        <v>7</v>
      </c>
      <c r="N112" s="3" t="str">
        <f t="shared" ca="1" si="25"/>
        <v>Delayed</v>
      </c>
      <c r="O112" s="3" t="str">
        <f t="shared" ca="1" si="26"/>
        <v>Medium</v>
      </c>
      <c r="P112" s="3">
        <f t="shared" ca="1" si="27"/>
        <v>42</v>
      </c>
      <c r="Q112" s="1" t="str">
        <f ca="1">VLOOKUP(D112,Routes!$A$2:$D$31,2,FALSE)</f>
        <v>Chennai</v>
      </c>
      <c r="R112" s="1" t="str">
        <f ca="1">VLOOKUP(D112,Routes!$A$2:$D$31,3,FALSE)</f>
        <v>Hyderabad</v>
      </c>
      <c r="S112" s="3">
        <f ca="1">VLOOKUP(D112,Routes!$A$2:$D$31,4,FALSE)</f>
        <v>630</v>
      </c>
      <c r="T112" s="3" t="str">
        <f ca="1">VLOOKUP(E112,Vehicles!$A$2:$D$21,2,FALSE)</f>
        <v>LCV</v>
      </c>
      <c r="U112" s="3">
        <f ca="1">VLOOKUP(E112,Vehicles!$A$2:$D$21,3,FALSE)</f>
        <v>6</v>
      </c>
      <c r="V112" s="3" t="str">
        <f ca="1">VLOOKUP(E112,Vehicles!$A$2:$D$21,4,FALSE)</f>
        <v>CNG</v>
      </c>
      <c r="W112" s="3">
        <f ca="1">VLOOKUP(V112,Fuel_Rates!$A$2:$B$3,2,FALSE)</f>
        <v>78</v>
      </c>
      <c r="X112" s="3">
        <f t="shared" ca="1" si="29"/>
        <v>56.53</v>
      </c>
      <c r="Y112" s="3">
        <f t="shared" ca="1" si="30"/>
        <v>47171</v>
      </c>
      <c r="Z112" s="3" t="str">
        <f t="shared" ca="1" si="31"/>
        <v>Mar</v>
      </c>
      <c r="AA112" s="3" t="str">
        <f t="shared" ca="1" si="32"/>
        <v>Q1</v>
      </c>
      <c r="AB112" s="4" t="str">
        <f t="shared" ca="1" si="33"/>
        <v>Medium Haul</v>
      </c>
    </row>
    <row r="113" spans="1:28" x14ac:dyDescent="0.3">
      <c r="A113" s="8" t="str">
        <f t="shared" si="28"/>
        <v>S0112</v>
      </c>
      <c r="B113" s="3">
        <f t="shared" ca="1" si="17"/>
        <v>45980</v>
      </c>
      <c r="C113" s="3" t="str">
        <f ca="1">INDEX(Customers!$A$2:$A$21,RANDBETWEEN(1,20))</f>
        <v>C013</v>
      </c>
      <c r="D113" s="3" t="str">
        <f ca="1">INDEX(Routes!$A$2:$A$31,RANDBETWEEN(1,30))</f>
        <v>R015</v>
      </c>
      <c r="E113" s="3" t="str">
        <f ca="1">INDEX(Vehicles!$A$2:$A$21,RANDBETWEEN(1,20))</f>
        <v>V017</v>
      </c>
      <c r="F113" s="3" t="str">
        <f ca="1">INDEX(Drivers!$A$2:$A$31,RANDBETWEEN(1,30))</f>
        <v>D010</v>
      </c>
      <c r="G113" s="3">
        <f t="shared" ca="1" si="18"/>
        <v>9.5</v>
      </c>
      <c r="H113" s="3">
        <f t="shared" ca="1" si="19"/>
        <v>20539</v>
      </c>
      <c r="I113" s="3">
        <f t="shared" ca="1" si="20"/>
        <v>5751</v>
      </c>
      <c r="J113" s="3">
        <f t="shared" ca="1" si="21"/>
        <v>3251</v>
      </c>
      <c r="K113" s="3">
        <f t="shared" ca="1" si="22"/>
        <v>34</v>
      </c>
      <c r="L113" s="3">
        <f t="shared" ca="1" si="23"/>
        <v>39</v>
      </c>
      <c r="M113" s="3">
        <f t="shared" ca="1" si="24"/>
        <v>5</v>
      </c>
      <c r="N113" s="3" t="str">
        <f t="shared" ca="1" si="25"/>
        <v>Delayed</v>
      </c>
      <c r="O113" s="3" t="str">
        <f t="shared" ca="1" si="26"/>
        <v>Medium</v>
      </c>
      <c r="P113" s="3">
        <f t="shared" ca="1" si="27"/>
        <v>31.7</v>
      </c>
      <c r="Q113" s="1" t="str">
        <f ca="1">VLOOKUP(D113,Routes!$A$2:$D$31,2,FALSE)</f>
        <v>Hyderabad</v>
      </c>
      <c r="R113" s="1" t="str">
        <f ca="1">VLOOKUP(D113,Routes!$A$2:$D$31,3,FALSE)</f>
        <v>Pune</v>
      </c>
      <c r="S113" s="3">
        <f ca="1">VLOOKUP(D113,Routes!$A$2:$D$31,4,FALSE)</f>
        <v>560</v>
      </c>
      <c r="T113" s="3" t="str">
        <f ca="1">VLOOKUP(E113,Vehicles!$A$2:$D$21,2,FALSE)</f>
        <v>Truck</v>
      </c>
      <c r="U113" s="3">
        <f ca="1">VLOOKUP(E113,Vehicles!$A$2:$D$21,3,FALSE)</f>
        <v>24</v>
      </c>
      <c r="V113" s="3" t="str">
        <f ca="1">VLOOKUP(E113,Vehicles!$A$2:$D$21,4,FALSE)</f>
        <v>Diesel</v>
      </c>
      <c r="W113" s="3">
        <f ca="1">VLOOKUP(V113,Fuel_Rates!$A$2:$B$3,2,FALSE)</f>
        <v>95</v>
      </c>
      <c r="X113" s="3">
        <f t="shared" ca="1" si="29"/>
        <v>36.68</v>
      </c>
      <c r="Y113" s="3">
        <f t="shared" ca="1" si="30"/>
        <v>29541</v>
      </c>
      <c r="Z113" s="3" t="str">
        <f t="shared" ca="1" si="31"/>
        <v>Nov</v>
      </c>
      <c r="AA113" s="3" t="str">
        <f t="shared" ca="1" si="32"/>
        <v>Q4</v>
      </c>
      <c r="AB113" s="4" t="str">
        <f t="shared" ca="1" si="33"/>
        <v>Medium Haul</v>
      </c>
    </row>
    <row r="114" spans="1:28" x14ac:dyDescent="0.3">
      <c r="A114" s="8" t="str">
        <f t="shared" si="28"/>
        <v>S0113</v>
      </c>
      <c r="B114" s="3">
        <f t="shared" ca="1" si="17"/>
        <v>45856</v>
      </c>
      <c r="C114" s="3" t="str">
        <f ca="1">INDEX(Customers!$A$2:$A$21,RANDBETWEEN(1,20))</f>
        <v>C002</v>
      </c>
      <c r="D114" s="3" t="str">
        <f ca="1">INDEX(Routes!$A$2:$A$31,RANDBETWEEN(1,30))</f>
        <v>R025</v>
      </c>
      <c r="E114" s="3" t="str">
        <f ca="1">INDEX(Vehicles!$A$2:$A$21,RANDBETWEEN(1,20))</f>
        <v>V020</v>
      </c>
      <c r="F114" s="3" t="str">
        <f ca="1">INDEX(Drivers!$A$2:$A$31,RANDBETWEEN(1,30))</f>
        <v>D016</v>
      </c>
      <c r="G114" s="3">
        <f t="shared" ca="1" si="18"/>
        <v>27.9</v>
      </c>
      <c r="H114" s="3">
        <f t="shared" ca="1" si="19"/>
        <v>58222</v>
      </c>
      <c r="I114" s="3">
        <f t="shared" ca="1" si="20"/>
        <v>16302</v>
      </c>
      <c r="J114" s="3">
        <f t="shared" ca="1" si="21"/>
        <v>2930</v>
      </c>
      <c r="K114" s="3">
        <f t="shared" ca="1" si="22"/>
        <v>25</v>
      </c>
      <c r="L114" s="3">
        <f t="shared" ca="1" si="23"/>
        <v>28</v>
      </c>
      <c r="M114" s="3">
        <f t="shared" ca="1" si="24"/>
        <v>3</v>
      </c>
      <c r="N114" s="3" t="str">
        <f t="shared" ca="1" si="25"/>
        <v>Delayed</v>
      </c>
      <c r="O114" s="3" t="str">
        <f t="shared" ca="1" si="26"/>
        <v>High</v>
      </c>
      <c r="P114" s="3">
        <f t="shared" ca="1" si="27"/>
        <v>93</v>
      </c>
      <c r="Q114" s="1" t="str">
        <f ca="1">VLOOKUP(D114,Routes!$A$2:$D$31,2,FALSE)</f>
        <v>Visakhapatnam</v>
      </c>
      <c r="R114" s="1" t="str">
        <f ca="1">VLOOKUP(D114,Routes!$A$2:$D$31,3,FALSE)</f>
        <v>Hyderabad</v>
      </c>
      <c r="S114" s="3">
        <f ca="1">VLOOKUP(D114,Routes!$A$2:$D$31,4,FALSE)</f>
        <v>620</v>
      </c>
      <c r="T114" s="3" t="str">
        <f ca="1">VLOOKUP(E114,Vehicles!$A$2:$D$21,2,FALSE)</f>
        <v>Container</v>
      </c>
      <c r="U114" s="3">
        <f ca="1">VLOOKUP(E114,Vehicles!$A$2:$D$21,3,FALSE)</f>
        <v>28</v>
      </c>
      <c r="V114" s="3" t="str">
        <f ca="1">VLOOKUP(E114,Vehicles!$A$2:$D$21,4,FALSE)</f>
        <v>Diesel</v>
      </c>
      <c r="W114" s="3">
        <f ca="1">VLOOKUP(V114,Fuel_Rates!$A$2:$B$3,2,FALSE)</f>
        <v>95</v>
      </c>
      <c r="X114" s="3">
        <f t="shared" ca="1" si="29"/>
        <v>93.91</v>
      </c>
      <c r="Y114" s="3">
        <f t="shared" ca="1" si="30"/>
        <v>77454</v>
      </c>
      <c r="Z114" s="3" t="str">
        <f t="shared" ca="1" si="31"/>
        <v>Jul</v>
      </c>
      <c r="AA114" s="3" t="str">
        <f t="shared" ca="1" si="32"/>
        <v>Q3</v>
      </c>
      <c r="AB114" s="4" t="str">
        <f t="shared" ca="1" si="33"/>
        <v>Medium Haul</v>
      </c>
    </row>
    <row r="115" spans="1:28" x14ac:dyDescent="0.3">
      <c r="A115" s="8" t="str">
        <f t="shared" si="28"/>
        <v>S0114</v>
      </c>
      <c r="B115" s="3">
        <f t="shared" ca="1" si="17"/>
        <v>45922</v>
      </c>
      <c r="C115" s="3" t="str">
        <f ca="1">INDEX(Customers!$A$2:$A$21,RANDBETWEEN(1,20))</f>
        <v>C011</v>
      </c>
      <c r="D115" s="3" t="str">
        <f ca="1">INDEX(Routes!$A$2:$A$31,RANDBETWEEN(1,30))</f>
        <v>R025</v>
      </c>
      <c r="E115" s="3" t="str">
        <f ca="1">INDEX(Vehicles!$A$2:$A$21,RANDBETWEEN(1,20))</f>
        <v>V010</v>
      </c>
      <c r="F115" s="3" t="str">
        <f ca="1">INDEX(Drivers!$A$2:$A$31,RANDBETWEEN(1,30))</f>
        <v>D011</v>
      </c>
      <c r="G115" s="3">
        <f t="shared" ca="1" si="18"/>
        <v>26.9</v>
      </c>
      <c r="H115" s="3">
        <f t="shared" ca="1" si="19"/>
        <v>55476</v>
      </c>
      <c r="I115" s="3">
        <f t="shared" ca="1" si="20"/>
        <v>15533</v>
      </c>
      <c r="J115" s="3">
        <f t="shared" ca="1" si="21"/>
        <v>1023</v>
      </c>
      <c r="K115" s="3">
        <f t="shared" ca="1" si="22"/>
        <v>33</v>
      </c>
      <c r="L115" s="3">
        <f t="shared" ca="1" si="23"/>
        <v>41</v>
      </c>
      <c r="M115" s="3">
        <f t="shared" ca="1" si="24"/>
        <v>8</v>
      </c>
      <c r="N115" s="3" t="str">
        <f t="shared" ca="1" si="25"/>
        <v>Delayed</v>
      </c>
      <c r="O115" s="3" t="str">
        <f t="shared" ca="1" si="26"/>
        <v>Low</v>
      </c>
      <c r="P115" s="3">
        <f t="shared" ca="1" si="27"/>
        <v>89.7</v>
      </c>
      <c r="Q115" s="1" t="str">
        <f ca="1">VLOOKUP(D115,Routes!$A$2:$D$31,2,FALSE)</f>
        <v>Visakhapatnam</v>
      </c>
      <c r="R115" s="1" t="str">
        <f ca="1">VLOOKUP(D115,Routes!$A$2:$D$31,3,FALSE)</f>
        <v>Hyderabad</v>
      </c>
      <c r="S115" s="3">
        <f ca="1">VLOOKUP(D115,Routes!$A$2:$D$31,4,FALSE)</f>
        <v>620</v>
      </c>
      <c r="T115" s="3" t="str">
        <f ca="1">VLOOKUP(E115,Vehicles!$A$2:$D$21,2,FALSE)</f>
        <v>LCV</v>
      </c>
      <c r="U115" s="3">
        <f ca="1">VLOOKUP(E115,Vehicles!$A$2:$D$21,3,FALSE)</f>
        <v>7</v>
      </c>
      <c r="V115" s="3" t="str">
        <f ca="1">VLOOKUP(E115,Vehicles!$A$2:$D$21,4,FALSE)</f>
        <v>Diesel</v>
      </c>
      <c r="W115" s="3">
        <f ca="1">VLOOKUP(V115,Fuel_Rates!$A$2:$B$3,2,FALSE)</f>
        <v>95</v>
      </c>
      <c r="X115" s="3">
        <f t="shared" ca="1" si="29"/>
        <v>89.48</v>
      </c>
      <c r="Y115" s="3">
        <f t="shared" ca="1" si="30"/>
        <v>72032</v>
      </c>
      <c r="Z115" s="3" t="str">
        <f t="shared" ca="1" si="31"/>
        <v>Sep</v>
      </c>
      <c r="AA115" s="3" t="str">
        <f t="shared" ca="1" si="32"/>
        <v>Q3</v>
      </c>
      <c r="AB115" s="4" t="str">
        <f t="shared" ca="1" si="33"/>
        <v>Medium Haul</v>
      </c>
    </row>
    <row r="116" spans="1:28" x14ac:dyDescent="0.3">
      <c r="A116" s="8" t="str">
        <f t="shared" si="28"/>
        <v>S0115</v>
      </c>
      <c r="B116" s="3">
        <f t="shared" ca="1" si="17"/>
        <v>45717</v>
      </c>
      <c r="C116" s="3" t="str">
        <f ca="1">INDEX(Customers!$A$2:$A$21,RANDBETWEEN(1,20))</f>
        <v>C012</v>
      </c>
      <c r="D116" s="3" t="str">
        <f ca="1">INDEX(Routes!$A$2:$A$31,RANDBETWEEN(1,30))</f>
        <v>R027</v>
      </c>
      <c r="E116" s="3" t="str">
        <f ca="1">INDEX(Vehicles!$A$2:$A$21,RANDBETWEEN(1,20))</f>
        <v>V014</v>
      </c>
      <c r="F116" s="3" t="str">
        <f ca="1">INDEX(Drivers!$A$2:$A$31,RANDBETWEEN(1,30))</f>
        <v>D018</v>
      </c>
      <c r="G116" s="3">
        <f t="shared" ca="1" si="18"/>
        <v>25.9</v>
      </c>
      <c r="H116" s="3">
        <f t="shared" ca="1" si="19"/>
        <v>55926</v>
      </c>
      <c r="I116" s="3">
        <f t="shared" ca="1" si="20"/>
        <v>15659</v>
      </c>
      <c r="J116" s="3">
        <f t="shared" ca="1" si="21"/>
        <v>3287</v>
      </c>
      <c r="K116" s="3">
        <f t="shared" ca="1" si="22"/>
        <v>30</v>
      </c>
      <c r="L116" s="3">
        <f t="shared" ca="1" si="23"/>
        <v>31</v>
      </c>
      <c r="M116" s="3">
        <f t="shared" ca="1" si="24"/>
        <v>1</v>
      </c>
      <c r="N116" s="3" t="str">
        <f t="shared" ca="1" si="25"/>
        <v>On Time</v>
      </c>
      <c r="O116" s="3" t="str">
        <f t="shared" ca="1" si="26"/>
        <v>Medium</v>
      </c>
      <c r="P116" s="3">
        <f t="shared" ca="1" si="27"/>
        <v>86.3</v>
      </c>
      <c r="Q116" s="1" t="str">
        <f ca="1">VLOOKUP(D116,Routes!$A$2:$D$31,2,FALSE)</f>
        <v>Patna</v>
      </c>
      <c r="R116" s="1" t="str">
        <f ca="1">VLOOKUP(D116,Routes!$A$2:$D$31,3,FALSE)</f>
        <v>Ranchi</v>
      </c>
      <c r="S116" s="3">
        <f ca="1">VLOOKUP(D116,Routes!$A$2:$D$31,4,FALSE)</f>
        <v>330</v>
      </c>
      <c r="T116" s="3" t="str">
        <f ca="1">VLOOKUP(E116,Vehicles!$A$2:$D$21,2,FALSE)</f>
        <v>LCV</v>
      </c>
      <c r="U116" s="3">
        <f ca="1">VLOOKUP(E116,Vehicles!$A$2:$D$21,3,FALSE)</f>
        <v>6</v>
      </c>
      <c r="V116" s="3" t="str">
        <f ca="1">VLOOKUP(E116,Vehicles!$A$2:$D$21,4,FALSE)</f>
        <v>CNG</v>
      </c>
      <c r="W116" s="3">
        <f ca="1">VLOOKUP(V116,Fuel_Rates!$A$2:$B$3,2,FALSE)</f>
        <v>78</v>
      </c>
      <c r="X116" s="3">
        <f t="shared" ca="1" si="29"/>
        <v>169.47</v>
      </c>
      <c r="Y116" s="3">
        <f t="shared" ca="1" si="30"/>
        <v>74872</v>
      </c>
      <c r="Z116" s="3" t="str">
        <f t="shared" ca="1" si="31"/>
        <v>Mar</v>
      </c>
      <c r="AA116" s="3" t="str">
        <f t="shared" ca="1" si="32"/>
        <v>Q1</v>
      </c>
      <c r="AB116" s="4" t="str">
        <f t="shared" ca="1" si="33"/>
        <v>Medium Haul</v>
      </c>
    </row>
    <row r="117" spans="1:28" x14ac:dyDescent="0.3">
      <c r="A117" s="8" t="str">
        <f t="shared" si="28"/>
        <v>S0116</v>
      </c>
      <c r="B117" s="3">
        <f t="shared" ca="1" si="17"/>
        <v>45780</v>
      </c>
      <c r="C117" s="3" t="str">
        <f ca="1">INDEX(Customers!$A$2:$A$21,RANDBETWEEN(1,20))</f>
        <v>C020</v>
      </c>
      <c r="D117" s="3" t="str">
        <f ca="1">INDEX(Routes!$A$2:$A$31,RANDBETWEEN(1,30))</f>
        <v>R007</v>
      </c>
      <c r="E117" s="3" t="str">
        <f ca="1">INDEX(Vehicles!$A$2:$A$21,RANDBETWEEN(1,20))</f>
        <v>V012</v>
      </c>
      <c r="F117" s="3" t="str">
        <f ca="1">INDEX(Drivers!$A$2:$A$31,RANDBETWEEN(1,30))</f>
        <v>D014</v>
      </c>
      <c r="G117" s="3">
        <f t="shared" ca="1" si="18"/>
        <v>5.9</v>
      </c>
      <c r="H117" s="3">
        <f t="shared" ca="1" si="19"/>
        <v>20429</v>
      </c>
      <c r="I117" s="3">
        <f t="shared" ca="1" si="20"/>
        <v>5720</v>
      </c>
      <c r="J117" s="3">
        <f t="shared" ca="1" si="21"/>
        <v>2634</v>
      </c>
      <c r="K117" s="3">
        <f t="shared" ca="1" si="22"/>
        <v>16</v>
      </c>
      <c r="L117" s="3">
        <f t="shared" ca="1" si="23"/>
        <v>21</v>
      </c>
      <c r="M117" s="3">
        <f t="shared" ca="1" si="24"/>
        <v>5</v>
      </c>
      <c r="N117" s="3" t="str">
        <f t="shared" ca="1" si="25"/>
        <v>Delayed</v>
      </c>
      <c r="O117" s="3" t="str">
        <f t="shared" ca="1" si="26"/>
        <v>Low</v>
      </c>
      <c r="P117" s="3">
        <f t="shared" ca="1" si="27"/>
        <v>19.7</v>
      </c>
      <c r="Q117" s="1" t="str">
        <f ca="1">VLOOKUP(D117,Routes!$A$2:$D$31,2,FALSE)</f>
        <v>Delhi</v>
      </c>
      <c r="R117" s="1" t="str">
        <f ca="1">VLOOKUP(D117,Routes!$A$2:$D$31,3,FALSE)</f>
        <v>Chandigarh</v>
      </c>
      <c r="S117" s="3">
        <f ca="1">VLOOKUP(D117,Routes!$A$2:$D$31,4,FALSE)</f>
        <v>250</v>
      </c>
      <c r="T117" s="3" t="str">
        <f ca="1">VLOOKUP(E117,Vehicles!$A$2:$D$21,2,FALSE)</f>
        <v>Truck</v>
      </c>
      <c r="U117" s="3">
        <f ca="1">VLOOKUP(E117,Vehicles!$A$2:$D$21,3,FALSE)</f>
        <v>20</v>
      </c>
      <c r="V117" s="3" t="str">
        <f ca="1">VLOOKUP(E117,Vehicles!$A$2:$D$21,4,FALSE)</f>
        <v>CNG</v>
      </c>
      <c r="W117" s="3">
        <f ca="1">VLOOKUP(V117,Fuel_Rates!$A$2:$B$3,2,FALSE)</f>
        <v>78</v>
      </c>
      <c r="X117" s="3">
        <f t="shared" ca="1" si="29"/>
        <v>81.72</v>
      </c>
      <c r="Y117" s="3">
        <f t="shared" ca="1" si="30"/>
        <v>28783</v>
      </c>
      <c r="Z117" s="3" t="str">
        <f t="shared" ca="1" si="31"/>
        <v>May</v>
      </c>
      <c r="AA117" s="3" t="str">
        <f t="shared" ca="1" si="32"/>
        <v>Q2</v>
      </c>
      <c r="AB117" s="4" t="str">
        <f t="shared" ca="1" si="33"/>
        <v>Short Haul</v>
      </c>
    </row>
    <row r="118" spans="1:28" x14ac:dyDescent="0.3">
      <c r="A118" s="8" t="str">
        <f t="shared" si="28"/>
        <v>S0117</v>
      </c>
      <c r="B118" s="3">
        <f t="shared" ca="1" si="17"/>
        <v>45665</v>
      </c>
      <c r="C118" s="3" t="str">
        <f ca="1">INDEX(Customers!$A$2:$A$21,RANDBETWEEN(1,20))</f>
        <v>C002</v>
      </c>
      <c r="D118" s="3" t="str">
        <f ca="1">INDEX(Routes!$A$2:$A$31,RANDBETWEEN(1,30))</f>
        <v>R023</v>
      </c>
      <c r="E118" s="3" t="str">
        <f ca="1">INDEX(Vehicles!$A$2:$A$21,RANDBETWEEN(1,20))</f>
        <v>V016</v>
      </c>
      <c r="F118" s="3" t="str">
        <f ca="1">INDEX(Drivers!$A$2:$A$31,RANDBETWEEN(1,30))</f>
        <v>D026</v>
      </c>
      <c r="G118" s="3">
        <f t="shared" ca="1" si="18"/>
        <v>12</v>
      </c>
      <c r="H118" s="3">
        <f t="shared" ca="1" si="19"/>
        <v>29252</v>
      </c>
      <c r="I118" s="3">
        <f t="shared" ca="1" si="20"/>
        <v>8191</v>
      </c>
      <c r="J118" s="3">
        <f t="shared" ca="1" si="21"/>
        <v>573</v>
      </c>
      <c r="K118" s="3">
        <f t="shared" ca="1" si="22"/>
        <v>39</v>
      </c>
      <c r="L118" s="3">
        <f t="shared" ca="1" si="23"/>
        <v>44</v>
      </c>
      <c r="M118" s="3">
        <f t="shared" ca="1" si="24"/>
        <v>5</v>
      </c>
      <c r="N118" s="3" t="str">
        <f t="shared" ca="1" si="25"/>
        <v>Delayed</v>
      </c>
      <c r="O118" s="3" t="str">
        <f t="shared" ca="1" si="26"/>
        <v>Low</v>
      </c>
      <c r="P118" s="3">
        <f t="shared" ca="1" si="27"/>
        <v>40</v>
      </c>
      <c r="Q118" s="1" t="str">
        <f ca="1">VLOOKUP(D118,Routes!$A$2:$D$31,2,FALSE)</f>
        <v>Kochi</v>
      </c>
      <c r="R118" s="1" t="str">
        <f ca="1">VLOOKUP(D118,Routes!$A$2:$D$31,3,FALSE)</f>
        <v>Bengaluru</v>
      </c>
      <c r="S118" s="3">
        <f ca="1">VLOOKUP(D118,Routes!$A$2:$D$31,4,FALSE)</f>
        <v>550</v>
      </c>
      <c r="T118" s="3" t="str">
        <f ca="1">VLOOKUP(E118,Vehicles!$A$2:$D$21,2,FALSE)</f>
        <v>Container</v>
      </c>
      <c r="U118" s="3">
        <f ca="1">VLOOKUP(E118,Vehicles!$A$2:$D$21,3,FALSE)</f>
        <v>22</v>
      </c>
      <c r="V118" s="3" t="str">
        <f ca="1">VLOOKUP(E118,Vehicles!$A$2:$D$21,4,FALSE)</f>
        <v>Diesel</v>
      </c>
      <c r="W118" s="3">
        <f ca="1">VLOOKUP(V118,Fuel_Rates!$A$2:$B$3,2,FALSE)</f>
        <v>95</v>
      </c>
      <c r="X118" s="3">
        <f t="shared" ca="1" si="29"/>
        <v>53.19</v>
      </c>
      <c r="Y118" s="3">
        <f t="shared" ca="1" si="30"/>
        <v>38016</v>
      </c>
      <c r="Z118" s="3" t="str">
        <f t="shared" ca="1" si="31"/>
        <v>Jan</v>
      </c>
      <c r="AA118" s="3" t="str">
        <f t="shared" ca="1" si="32"/>
        <v>Q1</v>
      </c>
      <c r="AB118" s="4" t="str">
        <f t="shared" ca="1" si="33"/>
        <v>Medium Haul</v>
      </c>
    </row>
    <row r="119" spans="1:28" x14ac:dyDescent="0.3">
      <c r="A119" s="8" t="str">
        <f t="shared" si="28"/>
        <v>S0118</v>
      </c>
      <c r="B119" s="3">
        <f t="shared" ca="1" si="17"/>
        <v>46010</v>
      </c>
      <c r="C119" s="3" t="str">
        <f ca="1">INDEX(Customers!$A$2:$A$21,RANDBETWEEN(1,20))</f>
        <v>C009</v>
      </c>
      <c r="D119" s="3" t="str">
        <f ca="1">INDEX(Routes!$A$2:$A$31,RANDBETWEEN(1,30))</f>
        <v>R015</v>
      </c>
      <c r="E119" s="3" t="str">
        <f ca="1">INDEX(Vehicles!$A$2:$A$21,RANDBETWEEN(1,20))</f>
        <v>V001</v>
      </c>
      <c r="F119" s="3" t="str">
        <f ca="1">INDEX(Drivers!$A$2:$A$31,RANDBETWEEN(1,30))</f>
        <v>D001</v>
      </c>
      <c r="G119" s="3">
        <f t="shared" ca="1" si="18"/>
        <v>25.8</v>
      </c>
      <c r="H119" s="3">
        <f t="shared" ca="1" si="19"/>
        <v>58206</v>
      </c>
      <c r="I119" s="3">
        <f t="shared" ca="1" si="20"/>
        <v>16298</v>
      </c>
      <c r="J119" s="3">
        <f t="shared" ca="1" si="21"/>
        <v>2488</v>
      </c>
      <c r="K119" s="3">
        <f t="shared" ca="1" si="22"/>
        <v>31</v>
      </c>
      <c r="L119" s="3">
        <f t="shared" ca="1" si="23"/>
        <v>33</v>
      </c>
      <c r="M119" s="3">
        <f t="shared" ca="1" si="24"/>
        <v>2</v>
      </c>
      <c r="N119" s="3" t="str">
        <f t="shared" ca="1" si="25"/>
        <v>On Time</v>
      </c>
      <c r="O119" s="3" t="str">
        <f t="shared" ca="1" si="26"/>
        <v>High</v>
      </c>
      <c r="P119" s="3">
        <f t="shared" ca="1" si="27"/>
        <v>86</v>
      </c>
      <c r="Q119" s="1" t="str">
        <f ca="1">VLOOKUP(D119,Routes!$A$2:$D$31,2,FALSE)</f>
        <v>Hyderabad</v>
      </c>
      <c r="R119" s="1" t="str">
        <f ca="1">VLOOKUP(D119,Routes!$A$2:$D$31,3,FALSE)</f>
        <v>Pune</v>
      </c>
      <c r="S119" s="3">
        <f ca="1">VLOOKUP(D119,Routes!$A$2:$D$31,4,FALSE)</f>
        <v>560</v>
      </c>
      <c r="T119" s="3" t="str">
        <f ca="1">VLOOKUP(E119,Vehicles!$A$2:$D$21,2,FALSE)</f>
        <v>Truck</v>
      </c>
      <c r="U119" s="3">
        <f ca="1">VLOOKUP(E119,Vehicles!$A$2:$D$21,3,FALSE)</f>
        <v>16</v>
      </c>
      <c r="V119" s="3" t="str">
        <f ca="1">VLOOKUP(E119,Vehicles!$A$2:$D$21,4,FALSE)</f>
        <v>Diesel</v>
      </c>
      <c r="W119" s="3">
        <f ca="1">VLOOKUP(V119,Fuel_Rates!$A$2:$B$3,2,FALSE)</f>
        <v>95</v>
      </c>
      <c r="X119" s="3">
        <f t="shared" ca="1" si="29"/>
        <v>103.94</v>
      </c>
      <c r="Y119" s="3">
        <f t="shared" ca="1" si="30"/>
        <v>76992</v>
      </c>
      <c r="Z119" s="3" t="str">
        <f t="shared" ca="1" si="31"/>
        <v>Dec</v>
      </c>
      <c r="AA119" s="3" t="str">
        <f t="shared" ca="1" si="32"/>
        <v>Q4</v>
      </c>
      <c r="AB119" s="4" t="str">
        <f t="shared" ca="1" si="33"/>
        <v>Medium Haul</v>
      </c>
    </row>
    <row r="120" spans="1:28" x14ac:dyDescent="0.3">
      <c r="A120" s="8" t="str">
        <f t="shared" si="28"/>
        <v>S0119</v>
      </c>
      <c r="B120" s="3">
        <f t="shared" ca="1" si="17"/>
        <v>45704</v>
      </c>
      <c r="C120" s="3" t="str">
        <f ca="1">INDEX(Customers!$A$2:$A$21,RANDBETWEEN(1,20))</f>
        <v>C006</v>
      </c>
      <c r="D120" s="3" t="str">
        <f ca="1">INDEX(Routes!$A$2:$A$31,RANDBETWEEN(1,30))</f>
        <v>R009</v>
      </c>
      <c r="E120" s="3" t="str">
        <f ca="1">INDEX(Vehicles!$A$2:$A$21,RANDBETWEEN(1,20))</f>
        <v>V012</v>
      </c>
      <c r="F120" s="3" t="str">
        <f ca="1">INDEX(Drivers!$A$2:$A$31,RANDBETWEEN(1,30))</f>
        <v>D016</v>
      </c>
      <c r="G120" s="3">
        <f t="shared" ca="1" si="18"/>
        <v>6.4</v>
      </c>
      <c r="H120" s="3">
        <f t="shared" ca="1" si="19"/>
        <v>24906</v>
      </c>
      <c r="I120" s="3">
        <f t="shared" ca="1" si="20"/>
        <v>6974</v>
      </c>
      <c r="J120" s="3">
        <f t="shared" ca="1" si="21"/>
        <v>3250</v>
      </c>
      <c r="K120" s="3">
        <f t="shared" ca="1" si="22"/>
        <v>35</v>
      </c>
      <c r="L120" s="3">
        <f t="shared" ca="1" si="23"/>
        <v>35</v>
      </c>
      <c r="M120" s="3">
        <f t="shared" ca="1" si="24"/>
        <v>0</v>
      </c>
      <c r="N120" s="3" t="str">
        <f t="shared" ca="1" si="25"/>
        <v>On Time</v>
      </c>
      <c r="O120" s="3" t="str">
        <f t="shared" ca="1" si="26"/>
        <v>Low</v>
      </c>
      <c r="P120" s="3">
        <f t="shared" ca="1" si="27"/>
        <v>21.3</v>
      </c>
      <c r="Q120" s="1" t="str">
        <f ca="1">VLOOKUP(D120,Routes!$A$2:$D$31,2,FALSE)</f>
        <v>Bengaluru</v>
      </c>
      <c r="R120" s="1" t="str">
        <f ca="1">VLOOKUP(D120,Routes!$A$2:$D$31,3,FALSE)</f>
        <v>Chennai</v>
      </c>
      <c r="S120" s="3">
        <f ca="1">VLOOKUP(D120,Routes!$A$2:$D$31,4,FALSE)</f>
        <v>350</v>
      </c>
      <c r="T120" s="3" t="str">
        <f ca="1">VLOOKUP(E120,Vehicles!$A$2:$D$21,2,FALSE)</f>
        <v>Truck</v>
      </c>
      <c r="U120" s="3">
        <f ca="1">VLOOKUP(E120,Vehicles!$A$2:$D$21,3,FALSE)</f>
        <v>20</v>
      </c>
      <c r="V120" s="3" t="str">
        <f ca="1">VLOOKUP(E120,Vehicles!$A$2:$D$21,4,FALSE)</f>
        <v>CNG</v>
      </c>
      <c r="W120" s="3">
        <f ca="1">VLOOKUP(V120,Fuel_Rates!$A$2:$B$3,2,FALSE)</f>
        <v>78</v>
      </c>
      <c r="X120" s="3">
        <f t="shared" ca="1" si="29"/>
        <v>71.16</v>
      </c>
      <c r="Y120" s="3">
        <f t="shared" ca="1" si="30"/>
        <v>35130</v>
      </c>
      <c r="Z120" s="3" t="str">
        <f t="shared" ca="1" si="31"/>
        <v>Feb</v>
      </c>
      <c r="AA120" s="3" t="str">
        <f t="shared" ca="1" si="32"/>
        <v>Q1</v>
      </c>
      <c r="AB120" s="4" t="str">
        <f t="shared" ca="1" si="33"/>
        <v>Medium Haul</v>
      </c>
    </row>
    <row r="121" spans="1:28" x14ac:dyDescent="0.3">
      <c r="A121" s="8" t="str">
        <f t="shared" si="28"/>
        <v>S0120</v>
      </c>
      <c r="B121" s="3">
        <f t="shared" ca="1" si="17"/>
        <v>46007</v>
      </c>
      <c r="C121" s="3" t="str">
        <f ca="1">INDEX(Customers!$A$2:$A$21,RANDBETWEEN(1,20))</f>
        <v>C002</v>
      </c>
      <c r="D121" s="3" t="str">
        <f ca="1">INDEX(Routes!$A$2:$A$31,RANDBETWEEN(1,30))</f>
        <v>R020</v>
      </c>
      <c r="E121" s="3" t="str">
        <f ca="1">INDEX(Vehicles!$A$2:$A$21,RANDBETWEEN(1,20))</f>
        <v>V017</v>
      </c>
      <c r="F121" s="3" t="str">
        <f ca="1">INDEX(Drivers!$A$2:$A$31,RANDBETWEEN(1,30))</f>
        <v>D022</v>
      </c>
      <c r="G121" s="3">
        <f t="shared" ca="1" si="18"/>
        <v>18.899999999999999</v>
      </c>
      <c r="H121" s="3">
        <f t="shared" ca="1" si="19"/>
        <v>44412</v>
      </c>
      <c r="I121" s="3">
        <f t="shared" ca="1" si="20"/>
        <v>12435</v>
      </c>
      <c r="J121" s="3">
        <f t="shared" ca="1" si="21"/>
        <v>1371</v>
      </c>
      <c r="K121" s="3">
        <f t="shared" ca="1" si="22"/>
        <v>19</v>
      </c>
      <c r="L121" s="3">
        <f t="shared" ca="1" si="23"/>
        <v>20</v>
      </c>
      <c r="M121" s="3">
        <f t="shared" ca="1" si="24"/>
        <v>1</v>
      </c>
      <c r="N121" s="3" t="str">
        <f t="shared" ca="1" si="25"/>
        <v>On Time</v>
      </c>
      <c r="O121" s="3" t="str">
        <f t="shared" ca="1" si="26"/>
        <v>High</v>
      </c>
      <c r="P121" s="3">
        <f t="shared" ca="1" si="27"/>
        <v>63</v>
      </c>
      <c r="Q121" s="1" t="str">
        <f ca="1">VLOOKUP(D121,Routes!$A$2:$D$31,2,FALSE)</f>
        <v>Pune</v>
      </c>
      <c r="R121" s="1" t="str">
        <f ca="1">VLOOKUP(D121,Routes!$A$2:$D$31,3,FALSE)</f>
        <v>Nagpur</v>
      </c>
      <c r="S121" s="3">
        <f ca="1">VLOOKUP(D121,Routes!$A$2:$D$31,4,FALSE)</f>
        <v>720</v>
      </c>
      <c r="T121" s="3" t="str">
        <f ca="1">VLOOKUP(E121,Vehicles!$A$2:$D$21,2,FALSE)</f>
        <v>Truck</v>
      </c>
      <c r="U121" s="3">
        <f ca="1">VLOOKUP(E121,Vehicles!$A$2:$D$21,3,FALSE)</f>
        <v>24</v>
      </c>
      <c r="V121" s="3" t="str">
        <f ca="1">VLOOKUP(E121,Vehicles!$A$2:$D$21,4,FALSE)</f>
        <v>Diesel</v>
      </c>
      <c r="W121" s="3">
        <f ca="1">VLOOKUP(V121,Fuel_Rates!$A$2:$B$3,2,FALSE)</f>
        <v>95</v>
      </c>
      <c r="X121" s="3">
        <f t="shared" ca="1" si="29"/>
        <v>61.68</v>
      </c>
      <c r="Y121" s="3">
        <f t="shared" ca="1" si="30"/>
        <v>58218</v>
      </c>
      <c r="Z121" s="3" t="str">
        <f t="shared" ca="1" si="31"/>
        <v>Dec</v>
      </c>
      <c r="AA121" s="3" t="str">
        <f t="shared" ca="1" si="32"/>
        <v>Q4</v>
      </c>
      <c r="AB121" s="4" t="str">
        <f t="shared" ca="1" si="33"/>
        <v>Medium Haul</v>
      </c>
    </row>
    <row r="122" spans="1:28" x14ac:dyDescent="0.3">
      <c r="A122" s="8" t="str">
        <f t="shared" si="28"/>
        <v>S0121</v>
      </c>
      <c r="B122" s="3">
        <f t="shared" ca="1" si="17"/>
        <v>45942</v>
      </c>
      <c r="C122" s="3" t="str">
        <f ca="1">INDEX(Customers!$A$2:$A$21,RANDBETWEEN(1,20))</f>
        <v>C014</v>
      </c>
      <c r="D122" s="3" t="str">
        <f ca="1">INDEX(Routes!$A$2:$A$31,RANDBETWEEN(1,30))</f>
        <v>R013</v>
      </c>
      <c r="E122" s="3" t="str">
        <f ca="1">INDEX(Vehicles!$A$2:$A$21,RANDBETWEEN(1,20))</f>
        <v>V006</v>
      </c>
      <c r="F122" s="3" t="str">
        <f ca="1">INDEX(Drivers!$A$2:$A$31,RANDBETWEEN(1,30))</f>
        <v>D028</v>
      </c>
      <c r="G122" s="3">
        <f t="shared" ca="1" si="18"/>
        <v>9.4</v>
      </c>
      <c r="H122" s="3">
        <f t="shared" ca="1" si="19"/>
        <v>26470</v>
      </c>
      <c r="I122" s="3">
        <f t="shared" ca="1" si="20"/>
        <v>7412</v>
      </c>
      <c r="J122" s="3">
        <f t="shared" ca="1" si="21"/>
        <v>2114</v>
      </c>
      <c r="K122" s="3">
        <f t="shared" ca="1" si="22"/>
        <v>38</v>
      </c>
      <c r="L122" s="3">
        <f t="shared" ca="1" si="23"/>
        <v>46</v>
      </c>
      <c r="M122" s="3">
        <f t="shared" ca="1" si="24"/>
        <v>8</v>
      </c>
      <c r="N122" s="3" t="str">
        <f t="shared" ca="1" si="25"/>
        <v>Delayed</v>
      </c>
      <c r="O122" s="3" t="str">
        <f t="shared" ca="1" si="26"/>
        <v>Low</v>
      </c>
      <c r="P122" s="3">
        <f t="shared" ca="1" si="27"/>
        <v>31.3</v>
      </c>
      <c r="Q122" s="1" t="str">
        <f ca="1">VLOOKUP(D122,Routes!$A$2:$D$31,2,FALSE)</f>
        <v>Chennai</v>
      </c>
      <c r="R122" s="1" t="str">
        <f ca="1">VLOOKUP(D122,Routes!$A$2:$D$31,3,FALSE)</f>
        <v>Hyderabad</v>
      </c>
      <c r="S122" s="3">
        <f ca="1">VLOOKUP(D122,Routes!$A$2:$D$31,4,FALSE)</f>
        <v>630</v>
      </c>
      <c r="T122" s="3" t="str">
        <f ca="1">VLOOKUP(E122,Vehicles!$A$2:$D$21,2,FALSE)</f>
        <v>Container</v>
      </c>
      <c r="U122" s="3">
        <f ca="1">VLOOKUP(E122,Vehicles!$A$2:$D$21,3,FALSE)</f>
        <v>18</v>
      </c>
      <c r="V122" s="3" t="str">
        <f ca="1">VLOOKUP(E122,Vehicles!$A$2:$D$21,4,FALSE)</f>
        <v>Diesel</v>
      </c>
      <c r="W122" s="3">
        <f ca="1">VLOOKUP(V122,Fuel_Rates!$A$2:$B$3,2,FALSE)</f>
        <v>95</v>
      </c>
      <c r="X122" s="3">
        <f t="shared" ca="1" si="29"/>
        <v>42.02</v>
      </c>
      <c r="Y122" s="3">
        <f t="shared" ca="1" si="30"/>
        <v>35996</v>
      </c>
      <c r="Z122" s="3" t="str">
        <f t="shared" ca="1" si="31"/>
        <v>Oct</v>
      </c>
      <c r="AA122" s="3" t="str">
        <f t="shared" ca="1" si="32"/>
        <v>Q4</v>
      </c>
      <c r="AB122" s="4" t="str">
        <f t="shared" ca="1" si="33"/>
        <v>Medium Haul</v>
      </c>
    </row>
    <row r="123" spans="1:28" x14ac:dyDescent="0.3">
      <c r="A123" s="8" t="str">
        <f t="shared" si="28"/>
        <v>S0122</v>
      </c>
      <c r="B123" s="3">
        <f t="shared" ca="1" si="17"/>
        <v>45958</v>
      </c>
      <c r="C123" s="3" t="str">
        <f ca="1">INDEX(Customers!$A$2:$A$21,RANDBETWEEN(1,20))</f>
        <v>C005</v>
      </c>
      <c r="D123" s="3" t="str">
        <f ca="1">INDEX(Routes!$A$2:$A$31,RANDBETWEEN(1,30))</f>
        <v>R021</v>
      </c>
      <c r="E123" s="3" t="str">
        <f ca="1">INDEX(Vehicles!$A$2:$A$21,RANDBETWEEN(1,20))</f>
        <v>V006</v>
      </c>
      <c r="F123" s="3" t="str">
        <f ca="1">INDEX(Drivers!$A$2:$A$31,RANDBETWEEN(1,30))</f>
        <v>D007</v>
      </c>
      <c r="G123" s="3">
        <f t="shared" ca="1" si="18"/>
        <v>11.1</v>
      </c>
      <c r="H123" s="3">
        <f t="shared" ca="1" si="19"/>
        <v>27040</v>
      </c>
      <c r="I123" s="3">
        <f t="shared" ca="1" si="20"/>
        <v>7571</v>
      </c>
      <c r="J123" s="3">
        <f t="shared" ca="1" si="21"/>
        <v>2946</v>
      </c>
      <c r="K123" s="3">
        <f t="shared" ca="1" si="22"/>
        <v>34</v>
      </c>
      <c r="L123" s="3">
        <f t="shared" ca="1" si="23"/>
        <v>35</v>
      </c>
      <c r="M123" s="3">
        <f t="shared" ca="1" si="24"/>
        <v>1</v>
      </c>
      <c r="N123" s="3" t="str">
        <f t="shared" ca="1" si="25"/>
        <v>On Time</v>
      </c>
      <c r="O123" s="3" t="str">
        <f t="shared" ca="1" si="26"/>
        <v>Medium</v>
      </c>
      <c r="P123" s="3">
        <f t="shared" ca="1" si="27"/>
        <v>37</v>
      </c>
      <c r="Q123" s="1" t="str">
        <f ca="1">VLOOKUP(D123,Routes!$A$2:$D$31,2,FALSE)</f>
        <v>Lucknow</v>
      </c>
      <c r="R123" s="1" t="str">
        <f ca="1">VLOOKUP(D123,Routes!$A$2:$D$31,3,FALSE)</f>
        <v>Kanpur</v>
      </c>
      <c r="S123" s="3">
        <f ca="1">VLOOKUP(D123,Routes!$A$2:$D$31,4,FALSE)</f>
        <v>90</v>
      </c>
      <c r="T123" s="3" t="str">
        <f ca="1">VLOOKUP(E123,Vehicles!$A$2:$D$21,2,FALSE)</f>
        <v>Container</v>
      </c>
      <c r="U123" s="3">
        <f ca="1">VLOOKUP(E123,Vehicles!$A$2:$D$21,3,FALSE)</f>
        <v>18</v>
      </c>
      <c r="V123" s="3" t="str">
        <f ca="1">VLOOKUP(E123,Vehicles!$A$2:$D$21,4,FALSE)</f>
        <v>Diesel</v>
      </c>
      <c r="W123" s="3">
        <f ca="1">VLOOKUP(V123,Fuel_Rates!$A$2:$B$3,2,FALSE)</f>
        <v>95</v>
      </c>
      <c r="X123" s="3">
        <f t="shared" ca="1" si="29"/>
        <v>300.44</v>
      </c>
      <c r="Y123" s="3">
        <f t="shared" ca="1" si="30"/>
        <v>37557</v>
      </c>
      <c r="Z123" s="3" t="str">
        <f t="shared" ca="1" si="31"/>
        <v>Oct</v>
      </c>
      <c r="AA123" s="3" t="str">
        <f t="shared" ca="1" si="32"/>
        <v>Q4</v>
      </c>
      <c r="AB123" s="4" t="str">
        <f t="shared" ca="1" si="33"/>
        <v>Short Haul</v>
      </c>
    </row>
    <row r="124" spans="1:28" x14ac:dyDescent="0.3">
      <c r="A124" s="8" t="str">
        <f t="shared" si="28"/>
        <v>S0123</v>
      </c>
      <c r="B124" s="3">
        <f t="shared" ca="1" si="17"/>
        <v>45854</v>
      </c>
      <c r="C124" s="3" t="str">
        <f ca="1">INDEX(Customers!$A$2:$A$21,RANDBETWEEN(1,20))</f>
        <v>C003</v>
      </c>
      <c r="D124" s="3" t="str">
        <f ca="1">INDEX(Routes!$A$2:$A$31,RANDBETWEEN(1,30))</f>
        <v>R020</v>
      </c>
      <c r="E124" s="3" t="str">
        <f ca="1">INDEX(Vehicles!$A$2:$A$21,RANDBETWEEN(1,20))</f>
        <v>V007</v>
      </c>
      <c r="F124" s="3" t="str">
        <f ca="1">INDEX(Drivers!$A$2:$A$31,RANDBETWEEN(1,30))</f>
        <v>D023</v>
      </c>
      <c r="G124" s="3">
        <f t="shared" ca="1" si="18"/>
        <v>15.4</v>
      </c>
      <c r="H124" s="3">
        <f t="shared" ca="1" si="19"/>
        <v>40634</v>
      </c>
      <c r="I124" s="3">
        <f t="shared" ca="1" si="20"/>
        <v>11378</v>
      </c>
      <c r="J124" s="3">
        <f t="shared" ca="1" si="21"/>
        <v>3187</v>
      </c>
      <c r="K124" s="3">
        <f t="shared" ca="1" si="22"/>
        <v>23</v>
      </c>
      <c r="L124" s="3">
        <f t="shared" ca="1" si="23"/>
        <v>28</v>
      </c>
      <c r="M124" s="3">
        <f t="shared" ca="1" si="24"/>
        <v>5</v>
      </c>
      <c r="N124" s="3" t="str">
        <f t="shared" ca="1" si="25"/>
        <v>Delayed</v>
      </c>
      <c r="O124" s="3" t="str">
        <f t="shared" ca="1" si="26"/>
        <v>Medium</v>
      </c>
      <c r="P124" s="3">
        <f t="shared" ca="1" si="27"/>
        <v>51.3</v>
      </c>
      <c r="Q124" s="1" t="str">
        <f ca="1">VLOOKUP(D124,Routes!$A$2:$D$31,2,FALSE)</f>
        <v>Pune</v>
      </c>
      <c r="R124" s="1" t="str">
        <f ca="1">VLOOKUP(D124,Routes!$A$2:$D$31,3,FALSE)</f>
        <v>Nagpur</v>
      </c>
      <c r="S124" s="3">
        <f ca="1">VLOOKUP(D124,Routes!$A$2:$D$31,4,FALSE)</f>
        <v>720</v>
      </c>
      <c r="T124" s="3" t="str">
        <f ca="1">VLOOKUP(E124,Vehicles!$A$2:$D$21,2,FALSE)</f>
        <v>Container</v>
      </c>
      <c r="U124" s="3">
        <f ca="1">VLOOKUP(E124,Vehicles!$A$2:$D$21,3,FALSE)</f>
        <v>20</v>
      </c>
      <c r="V124" s="3" t="str">
        <f ca="1">VLOOKUP(E124,Vehicles!$A$2:$D$21,4,FALSE)</f>
        <v>Diesel</v>
      </c>
      <c r="W124" s="3">
        <f ca="1">VLOOKUP(V124,Fuel_Rates!$A$2:$B$3,2,FALSE)</f>
        <v>95</v>
      </c>
      <c r="X124" s="3">
        <f t="shared" ca="1" si="29"/>
        <v>56.44</v>
      </c>
      <c r="Y124" s="3">
        <f t="shared" ca="1" si="30"/>
        <v>55199</v>
      </c>
      <c r="Z124" s="3" t="str">
        <f t="shared" ca="1" si="31"/>
        <v>Jul</v>
      </c>
      <c r="AA124" s="3" t="str">
        <f t="shared" ca="1" si="32"/>
        <v>Q3</v>
      </c>
      <c r="AB124" s="4" t="str">
        <f t="shared" ca="1" si="33"/>
        <v>Medium Haul</v>
      </c>
    </row>
    <row r="125" spans="1:28" x14ac:dyDescent="0.3">
      <c r="A125" s="8" t="str">
        <f t="shared" si="28"/>
        <v>S0124</v>
      </c>
      <c r="B125" s="3">
        <f t="shared" ca="1" si="17"/>
        <v>45674</v>
      </c>
      <c r="C125" s="3" t="str">
        <f ca="1">INDEX(Customers!$A$2:$A$21,RANDBETWEEN(1,20))</f>
        <v>C007</v>
      </c>
      <c r="D125" s="3" t="str">
        <f ca="1">INDEX(Routes!$A$2:$A$31,RANDBETWEEN(1,30))</f>
        <v>R007</v>
      </c>
      <c r="E125" s="3" t="str">
        <f ca="1">INDEX(Vehicles!$A$2:$A$21,RANDBETWEEN(1,20))</f>
        <v>V001</v>
      </c>
      <c r="F125" s="3" t="str">
        <f ca="1">INDEX(Drivers!$A$2:$A$31,RANDBETWEEN(1,30))</f>
        <v>D017</v>
      </c>
      <c r="G125" s="3">
        <f t="shared" ca="1" si="18"/>
        <v>5.9</v>
      </c>
      <c r="H125" s="3">
        <f t="shared" ca="1" si="19"/>
        <v>17283</v>
      </c>
      <c r="I125" s="3">
        <f t="shared" ca="1" si="20"/>
        <v>4839</v>
      </c>
      <c r="J125" s="3">
        <f t="shared" ca="1" si="21"/>
        <v>3445</v>
      </c>
      <c r="K125" s="3">
        <f t="shared" ca="1" si="22"/>
        <v>15</v>
      </c>
      <c r="L125" s="3">
        <f t="shared" ca="1" si="23"/>
        <v>18</v>
      </c>
      <c r="M125" s="3">
        <f t="shared" ca="1" si="24"/>
        <v>3</v>
      </c>
      <c r="N125" s="3" t="str">
        <f t="shared" ca="1" si="25"/>
        <v>Delayed</v>
      </c>
      <c r="O125" s="3" t="str">
        <f t="shared" ca="1" si="26"/>
        <v>Low</v>
      </c>
      <c r="P125" s="3">
        <f t="shared" ca="1" si="27"/>
        <v>19.7</v>
      </c>
      <c r="Q125" s="1" t="str">
        <f ca="1">VLOOKUP(D125,Routes!$A$2:$D$31,2,FALSE)</f>
        <v>Delhi</v>
      </c>
      <c r="R125" s="1" t="str">
        <f ca="1">VLOOKUP(D125,Routes!$A$2:$D$31,3,FALSE)</f>
        <v>Chandigarh</v>
      </c>
      <c r="S125" s="3">
        <f ca="1">VLOOKUP(D125,Routes!$A$2:$D$31,4,FALSE)</f>
        <v>250</v>
      </c>
      <c r="T125" s="3" t="str">
        <f ca="1">VLOOKUP(E125,Vehicles!$A$2:$D$21,2,FALSE)</f>
        <v>Truck</v>
      </c>
      <c r="U125" s="3">
        <f ca="1">VLOOKUP(E125,Vehicles!$A$2:$D$21,3,FALSE)</f>
        <v>16</v>
      </c>
      <c r="V125" s="3" t="str">
        <f ca="1">VLOOKUP(E125,Vehicles!$A$2:$D$21,4,FALSE)</f>
        <v>Diesel</v>
      </c>
      <c r="W125" s="3">
        <f ca="1">VLOOKUP(V125,Fuel_Rates!$A$2:$B$3,2,FALSE)</f>
        <v>95</v>
      </c>
      <c r="X125" s="3">
        <f t="shared" ca="1" si="29"/>
        <v>69.13</v>
      </c>
      <c r="Y125" s="3">
        <f t="shared" ca="1" si="30"/>
        <v>25567</v>
      </c>
      <c r="Z125" s="3" t="str">
        <f t="shared" ca="1" si="31"/>
        <v>Jan</v>
      </c>
      <c r="AA125" s="3" t="str">
        <f t="shared" ca="1" si="32"/>
        <v>Q1</v>
      </c>
      <c r="AB125" s="4" t="str">
        <f t="shared" ca="1" si="33"/>
        <v>Short Haul</v>
      </c>
    </row>
    <row r="126" spans="1:28" x14ac:dyDescent="0.3">
      <c r="A126" s="8" t="str">
        <f t="shared" si="28"/>
        <v>S0125</v>
      </c>
      <c r="B126" s="3">
        <f t="shared" ca="1" si="17"/>
        <v>45809</v>
      </c>
      <c r="C126" s="3" t="str">
        <f ca="1">INDEX(Customers!$A$2:$A$21,RANDBETWEEN(1,20))</f>
        <v>C011</v>
      </c>
      <c r="D126" s="3" t="str">
        <f ca="1">INDEX(Routes!$A$2:$A$31,RANDBETWEEN(1,30))</f>
        <v>R014</v>
      </c>
      <c r="E126" s="3" t="str">
        <f ca="1">INDEX(Vehicles!$A$2:$A$21,RANDBETWEEN(1,20))</f>
        <v>V012</v>
      </c>
      <c r="F126" s="3" t="str">
        <f ca="1">INDEX(Drivers!$A$2:$A$31,RANDBETWEEN(1,30))</f>
        <v>D022</v>
      </c>
      <c r="G126" s="3">
        <f t="shared" ca="1" si="18"/>
        <v>5.6</v>
      </c>
      <c r="H126" s="3">
        <f t="shared" ca="1" si="19"/>
        <v>24795</v>
      </c>
      <c r="I126" s="3">
        <f t="shared" ca="1" si="20"/>
        <v>6943</v>
      </c>
      <c r="J126" s="3">
        <f t="shared" ca="1" si="21"/>
        <v>3892</v>
      </c>
      <c r="K126" s="3">
        <f t="shared" ca="1" si="22"/>
        <v>9</v>
      </c>
      <c r="L126" s="3">
        <f t="shared" ca="1" si="23"/>
        <v>12</v>
      </c>
      <c r="M126" s="3">
        <f t="shared" ca="1" si="24"/>
        <v>3</v>
      </c>
      <c r="N126" s="3" t="str">
        <f t="shared" ca="1" si="25"/>
        <v>Delayed</v>
      </c>
      <c r="O126" s="3" t="str">
        <f t="shared" ca="1" si="26"/>
        <v>High</v>
      </c>
      <c r="P126" s="3">
        <f t="shared" ca="1" si="27"/>
        <v>18.7</v>
      </c>
      <c r="Q126" s="1" t="str">
        <f ca="1">VLOOKUP(D126,Routes!$A$2:$D$31,2,FALSE)</f>
        <v>Hyderabad</v>
      </c>
      <c r="R126" s="1" t="str">
        <f ca="1">VLOOKUP(D126,Routes!$A$2:$D$31,3,FALSE)</f>
        <v>Nagpur</v>
      </c>
      <c r="S126" s="3">
        <f ca="1">VLOOKUP(D126,Routes!$A$2:$D$31,4,FALSE)</f>
        <v>500</v>
      </c>
      <c r="T126" s="3" t="str">
        <f ca="1">VLOOKUP(E126,Vehicles!$A$2:$D$21,2,FALSE)</f>
        <v>Truck</v>
      </c>
      <c r="U126" s="3">
        <f ca="1">VLOOKUP(E126,Vehicles!$A$2:$D$21,3,FALSE)</f>
        <v>20</v>
      </c>
      <c r="V126" s="3" t="str">
        <f ca="1">VLOOKUP(E126,Vehicles!$A$2:$D$21,4,FALSE)</f>
        <v>CNG</v>
      </c>
      <c r="W126" s="3">
        <f ca="1">VLOOKUP(V126,Fuel_Rates!$A$2:$B$3,2,FALSE)</f>
        <v>78</v>
      </c>
      <c r="X126" s="3">
        <f t="shared" ca="1" si="29"/>
        <v>49.59</v>
      </c>
      <c r="Y126" s="3">
        <f t="shared" ca="1" si="30"/>
        <v>35630</v>
      </c>
      <c r="Z126" s="3" t="str">
        <f t="shared" ca="1" si="31"/>
        <v>Jun</v>
      </c>
      <c r="AA126" s="3" t="str">
        <f t="shared" ca="1" si="32"/>
        <v>Q2</v>
      </c>
      <c r="AB126" s="4" t="str">
        <f t="shared" ca="1" si="33"/>
        <v>Medium Haul</v>
      </c>
    </row>
    <row r="127" spans="1:28" x14ac:dyDescent="0.3">
      <c r="A127" s="8" t="str">
        <f t="shared" si="28"/>
        <v>S0126</v>
      </c>
      <c r="B127" s="3">
        <f t="shared" ca="1" si="17"/>
        <v>45660</v>
      </c>
      <c r="C127" s="3" t="str">
        <f ca="1">INDEX(Customers!$A$2:$A$21,RANDBETWEEN(1,20))</f>
        <v>C020</v>
      </c>
      <c r="D127" s="3" t="str">
        <f ca="1">INDEX(Routes!$A$2:$A$31,RANDBETWEEN(1,30))</f>
        <v>R005</v>
      </c>
      <c r="E127" s="3" t="str">
        <f ca="1">INDEX(Vehicles!$A$2:$A$21,RANDBETWEEN(1,20))</f>
        <v>V009</v>
      </c>
      <c r="F127" s="3" t="str">
        <f ca="1">INDEX(Drivers!$A$2:$A$31,RANDBETWEEN(1,30))</f>
        <v>D028</v>
      </c>
      <c r="G127" s="3">
        <f t="shared" ca="1" si="18"/>
        <v>28.1</v>
      </c>
      <c r="H127" s="3">
        <f t="shared" ca="1" si="19"/>
        <v>63305</v>
      </c>
      <c r="I127" s="3">
        <f t="shared" ca="1" si="20"/>
        <v>17725</v>
      </c>
      <c r="J127" s="3">
        <f t="shared" ca="1" si="21"/>
        <v>747</v>
      </c>
      <c r="K127" s="3">
        <f t="shared" ca="1" si="22"/>
        <v>16</v>
      </c>
      <c r="L127" s="3">
        <f t="shared" ca="1" si="23"/>
        <v>23</v>
      </c>
      <c r="M127" s="3">
        <f t="shared" ca="1" si="24"/>
        <v>7</v>
      </c>
      <c r="N127" s="3" t="str">
        <f t="shared" ca="1" si="25"/>
        <v>Delayed</v>
      </c>
      <c r="O127" s="3" t="str">
        <f t="shared" ca="1" si="26"/>
        <v>Medium</v>
      </c>
      <c r="P127" s="3">
        <f t="shared" ca="1" si="27"/>
        <v>93.7</v>
      </c>
      <c r="Q127" s="1" t="str">
        <f ca="1">VLOOKUP(D127,Routes!$A$2:$D$31,2,FALSE)</f>
        <v>Delhi</v>
      </c>
      <c r="R127" s="1" t="str">
        <f ca="1">VLOOKUP(D127,Routes!$A$2:$D$31,3,FALSE)</f>
        <v>Jaipur</v>
      </c>
      <c r="S127" s="3">
        <f ca="1">VLOOKUP(D127,Routes!$A$2:$D$31,4,FALSE)</f>
        <v>280</v>
      </c>
      <c r="T127" s="3" t="str">
        <f ca="1">VLOOKUP(E127,Vehicles!$A$2:$D$21,2,FALSE)</f>
        <v>LCV</v>
      </c>
      <c r="U127" s="3">
        <f ca="1">VLOOKUP(E127,Vehicles!$A$2:$D$21,3,FALSE)</f>
        <v>5</v>
      </c>
      <c r="V127" s="3" t="str">
        <f ca="1">VLOOKUP(E127,Vehicles!$A$2:$D$21,4,FALSE)</f>
        <v>Diesel</v>
      </c>
      <c r="W127" s="3">
        <f ca="1">VLOOKUP(V127,Fuel_Rates!$A$2:$B$3,2,FALSE)</f>
        <v>95</v>
      </c>
      <c r="X127" s="3">
        <f t="shared" ca="1" si="29"/>
        <v>226.09</v>
      </c>
      <c r="Y127" s="3">
        <f t="shared" ca="1" si="30"/>
        <v>81777</v>
      </c>
      <c r="Z127" s="3" t="str">
        <f t="shared" ca="1" si="31"/>
        <v>Jan</v>
      </c>
      <c r="AA127" s="3" t="str">
        <f t="shared" ca="1" si="32"/>
        <v>Q1</v>
      </c>
      <c r="AB127" s="4" t="str">
        <f t="shared" ca="1" si="33"/>
        <v>Short Haul</v>
      </c>
    </row>
    <row r="128" spans="1:28" x14ac:dyDescent="0.3">
      <c r="A128" s="8" t="str">
        <f t="shared" si="28"/>
        <v>S0127</v>
      </c>
      <c r="B128" s="3">
        <f t="shared" ca="1" si="17"/>
        <v>45736</v>
      </c>
      <c r="C128" s="3" t="str">
        <f ca="1">INDEX(Customers!$A$2:$A$21,RANDBETWEEN(1,20))</f>
        <v>C001</v>
      </c>
      <c r="D128" s="3" t="str">
        <f ca="1">INDEX(Routes!$A$2:$A$31,RANDBETWEEN(1,30))</f>
        <v>R025</v>
      </c>
      <c r="E128" s="3" t="str">
        <f ca="1">INDEX(Vehicles!$A$2:$A$21,RANDBETWEEN(1,20))</f>
        <v>V015</v>
      </c>
      <c r="F128" s="3" t="str">
        <f ca="1">INDEX(Drivers!$A$2:$A$31,RANDBETWEEN(1,30))</f>
        <v>D013</v>
      </c>
      <c r="G128" s="3">
        <f t="shared" ca="1" si="18"/>
        <v>17.8</v>
      </c>
      <c r="H128" s="3">
        <f t="shared" ca="1" si="19"/>
        <v>38650</v>
      </c>
      <c r="I128" s="3">
        <f t="shared" ca="1" si="20"/>
        <v>10822</v>
      </c>
      <c r="J128" s="3">
        <f t="shared" ca="1" si="21"/>
        <v>3808</v>
      </c>
      <c r="K128" s="3">
        <f t="shared" ca="1" si="22"/>
        <v>37</v>
      </c>
      <c r="L128" s="3">
        <f t="shared" ca="1" si="23"/>
        <v>43</v>
      </c>
      <c r="M128" s="3">
        <f t="shared" ca="1" si="24"/>
        <v>6</v>
      </c>
      <c r="N128" s="3" t="str">
        <f t="shared" ca="1" si="25"/>
        <v>Delayed</v>
      </c>
      <c r="O128" s="3" t="str">
        <f t="shared" ca="1" si="26"/>
        <v>High</v>
      </c>
      <c r="P128" s="3">
        <f t="shared" ca="1" si="27"/>
        <v>59.3</v>
      </c>
      <c r="Q128" s="1" t="str">
        <f ca="1">VLOOKUP(D128,Routes!$A$2:$D$31,2,FALSE)</f>
        <v>Visakhapatnam</v>
      </c>
      <c r="R128" s="1" t="str">
        <f ca="1">VLOOKUP(D128,Routes!$A$2:$D$31,3,FALSE)</f>
        <v>Hyderabad</v>
      </c>
      <c r="S128" s="3">
        <f ca="1">VLOOKUP(D128,Routes!$A$2:$D$31,4,FALSE)</f>
        <v>620</v>
      </c>
      <c r="T128" s="3" t="str">
        <f ca="1">VLOOKUP(E128,Vehicles!$A$2:$D$21,2,FALSE)</f>
        <v>Trailer</v>
      </c>
      <c r="U128" s="3">
        <f ca="1">VLOOKUP(E128,Vehicles!$A$2:$D$21,3,FALSE)</f>
        <v>30</v>
      </c>
      <c r="V128" s="3" t="str">
        <f ca="1">VLOOKUP(E128,Vehicles!$A$2:$D$21,4,FALSE)</f>
        <v>Diesel</v>
      </c>
      <c r="W128" s="3">
        <f ca="1">VLOOKUP(V128,Fuel_Rates!$A$2:$B$3,2,FALSE)</f>
        <v>95</v>
      </c>
      <c r="X128" s="3">
        <f t="shared" ca="1" si="29"/>
        <v>62.34</v>
      </c>
      <c r="Y128" s="3">
        <f t="shared" ca="1" si="30"/>
        <v>53280</v>
      </c>
      <c r="Z128" s="3" t="str">
        <f t="shared" ca="1" si="31"/>
        <v>Mar</v>
      </c>
      <c r="AA128" s="3" t="str">
        <f t="shared" ca="1" si="32"/>
        <v>Q1</v>
      </c>
      <c r="AB128" s="4" t="str">
        <f t="shared" ca="1" si="33"/>
        <v>Medium Haul</v>
      </c>
    </row>
    <row r="129" spans="1:28" x14ac:dyDescent="0.3">
      <c r="A129" s="8" t="str">
        <f t="shared" si="28"/>
        <v>S0128</v>
      </c>
      <c r="B129" s="3">
        <f t="shared" ca="1" si="17"/>
        <v>45815</v>
      </c>
      <c r="C129" s="3" t="str">
        <f ca="1">INDEX(Customers!$A$2:$A$21,RANDBETWEEN(1,20))</f>
        <v>C011</v>
      </c>
      <c r="D129" s="3" t="str">
        <f ca="1">INDEX(Routes!$A$2:$A$31,RANDBETWEEN(1,30))</f>
        <v>R015</v>
      </c>
      <c r="E129" s="3" t="str">
        <f ca="1">INDEX(Vehicles!$A$2:$A$21,RANDBETWEEN(1,20))</f>
        <v>V015</v>
      </c>
      <c r="F129" s="3" t="str">
        <f ca="1">INDEX(Drivers!$A$2:$A$31,RANDBETWEEN(1,30))</f>
        <v>D004</v>
      </c>
      <c r="G129" s="3">
        <f t="shared" ca="1" si="18"/>
        <v>14.2</v>
      </c>
      <c r="H129" s="3">
        <f t="shared" ca="1" si="19"/>
        <v>36476</v>
      </c>
      <c r="I129" s="3">
        <f t="shared" ca="1" si="20"/>
        <v>10213</v>
      </c>
      <c r="J129" s="3">
        <f t="shared" ca="1" si="21"/>
        <v>3696</v>
      </c>
      <c r="K129" s="3">
        <f t="shared" ca="1" si="22"/>
        <v>43</v>
      </c>
      <c r="L129" s="3">
        <f t="shared" ca="1" si="23"/>
        <v>51</v>
      </c>
      <c r="M129" s="3">
        <f t="shared" ca="1" si="24"/>
        <v>8</v>
      </c>
      <c r="N129" s="3" t="str">
        <f t="shared" ca="1" si="25"/>
        <v>Delayed</v>
      </c>
      <c r="O129" s="3" t="str">
        <f t="shared" ca="1" si="26"/>
        <v>Medium</v>
      </c>
      <c r="P129" s="3">
        <f t="shared" ca="1" si="27"/>
        <v>47.3</v>
      </c>
      <c r="Q129" s="1" t="str">
        <f ca="1">VLOOKUP(D129,Routes!$A$2:$D$31,2,FALSE)</f>
        <v>Hyderabad</v>
      </c>
      <c r="R129" s="1" t="str">
        <f ca="1">VLOOKUP(D129,Routes!$A$2:$D$31,3,FALSE)</f>
        <v>Pune</v>
      </c>
      <c r="S129" s="3">
        <f ca="1">VLOOKUP(D129,Routes!$A$2:$D$31,4,FALSE)</f>
        <v>560</v>
      </c>
      <c r="T129" s="3" t="str">
        <f ca="1">VLOOKUP(E129,Vehicles!$A$2:$D$21,2,FALSE)</f>
        <v>Trailer</v>
      </c>
      <c r="U129" s="3">
        <f ca="1">VLOOKUP(E129,Vehicles!$A$2:$D$21,3,FALSE)</f>
        <v>30</v>
      </c>
      <c r="V129" s="3" t="str">
        <f ca="1">VLOOKUP(E129,Vehicles!$A$2:$D$21,4,FALSE)</f>
        <v>Diesel</v>
      </c>
      <c r="W129" s="3">
        <f ca="1">VLOOKUP(V129,Fuel_Rates!$A$2:$B$3,2,FALSE)</f>
        <v>95</v>
      </c>
      <c r="X129" s="3">
        <f t="shared" ca="1" si="29"/>
        <v>65.14</v>
      </c>
      <c r="Y129" s="3">
        <f t="shared" ca="1" si="30"/>
        <v>50385</v>
      </c>
      <c r="Z129" s="3" t="str">
        <f t="shared" ca="1" si="31"/>
        <v>Jun</v>
      </c>
      <c r="AA129" s="3" t="str">
        <f t="shared" ca="1" si="32"/>
        <v>Q2</v>
      </c>
      <c r="AB129" s="4" t="str">
        <f t="shared" ca="1" si="33"/>
        <v>Medium Haul</v>
      </c>
    </row>
    <row r="130" spans="1:28" x14ac:dyDescent="0.3">
      <c r="A130" s="8" t="str">
        <f t="shared" si="28"/>
        <v>S0129</v>
      </c>
      <c r="B130" s="3">
        <f t="shared" ref="B130:B193" ca="1" si="34">DATE(2025,RANDBETWEEN(1,12),RANDBETWEEN(1,28))</f>
        <v>45765</v>
      </c>
      <c r="C130" s="3" t="str">
        <f ca="1">INDEX(Customers!$A$2:$A$21,RANDBETWEEN(1,20))</f>
        <v>C015</v>
      </c>
      <c r="D130" s="3" t="str">
        <f ca="1">INDEX(Routes!$A$2:$A$31,RANDBETWEEN(1,30))</f>
        <v>R003</v>
      </c>
      <c r="E130" s="3" t="str">
        <f ca="1">INDEX(Vehicles!$A$2:$A$21,RANDBETWEEN(1,20))</f>
        <v>V018</v>
      </c>
      <c r="F130" s="3" t="str">
        <f ca="1">INDEX(Drivers!$A$2:$A$31,RANDBETWEEN(1,30))</f>
        <v>D011</v>
      </c>
      <c r="G130" s="3">
        <f t="shared" ref="G130:G193" ca="1" si="35">ROUND(RANDBETWEEN(20,300)/10,1)</f>
        <v>28.5</v>
      </c>
      <c r="H130" s="3">
        <f t="shared" ref="H130:H193" ca="1" si="36">ROUND((G130*1800)+RANDBETWEEN(3000,15000),0)</f>
        <v>57904</v>
      </c>
      <c r="I130" s="3">
        <f t="shared" ref="I130:I193" ca="1" si="37">ROUND(H130*0.28,0)</f>
        <v>16213</v>
      </c>
      <c r="J130" s="3">
        <f t="shared" ref="J130:J193" ca="1" si="38">RANDBETWEEN(500,4000)</f>
        <v>927</v>
      </c>
      <c r="K130" s="3">
        <f t="shared" ref="K130:K193" ca="1" si="39">RANDBETWEEN(4,48)</f>
        <v>41</v>
      </c>
      <c r="L130" s="3">
        <f t="shared" ref="L130:L193" ca="1" si="40">K130+RANDBETWEEN(0,8)</f>
        <v>44</v>
      </c>
      <c r="M130" s="3">
        <f t="shared" ref="M130:M193" ca="1" si="41">L130-K130</f>
        <v>3</v>
      </c>
      <c r="N130" s="3" t="str">
        <f t="shared" ref="N130:N193" ca="1" si="42">IF(M130&lt;=2,"On Time","Delayed")</f>
        <v>Delayed</v>
      </c>
      <c r="O130" s="3" t="str">
        <f t="shared" ref="O130:O193" ca="1" si="43">CHOOSE(RANDBETWEEN(1,3),"High","Medium","Low")</f>
        <v>High</v>
      </c>
      <c r="P130" s="3">
        <f t="shared" ref="P130:P193" ca="1" si="44">ROUND((G130/30)*100,1)</f>
        <v>95</v>
      </c>
      <c r="Q130" s="1" t="str">
        <f ca="1">VLOOKUP(D130,Routes!$A$2:$D$31,2,FALSE)</f>
        <v>Mumbai</v>
      </c>
      <c r="R130" s="1" t="str">
        <f ca="1">VLOOKUP(D130,Routes!$A$2:$D$31,3,FALSE)</f>
        <v>Delhi</v>
      </c>
      <c r="S130" s="3">
        <f ca="1">VLOOKUP(D130,Routes!$A$2:$D$31,4,FALSE)</f>
        <v>1450</v>
      </c>
      <c r="T130" s="3" t="str">
        <f ca="1">VLOOKUP(E130,Vehicles!$A$2:$D$21,2,FALSE)</f>
        <v>Truck</v>
      </c>
      <c r="U130" s="3">
        <f ca="1">VLOOKUP(E130,Vehicles!$A$2:$D$21,3,FALSE)</f>
        <v>26</v>
      </c>
      <c r="V130" s="3" t="str">
        <f ca="1">VLOOKUP(E130,Vehicles!$A$2:$D$21,4,FALSE)</f>
        <v>Diesel</v>
      </c>
      <c r="W130" s="3">
        <f ca="1">VLOOKUP(V130,Fuel_Rates!$A$2:$B$3,2,FALSE)</f>
        <v>95</v>
      </c>
      <c r="X130" s="3">
        <f t="shared" ca="1" si="29"/>
        <v>39.93</v>
      </c>
      <c r="Y130" s="3">
        <f t="shared" ca="1" si="30"/>
        <v>75044</v>
      </c>
      <c r="Z130" s="3" t="str">
        <f t="shared" ca="1" si="31"/>
        <v>Apr</v>
      </c>
      <c r="AA130" s="3" t="str">
        <f t="shared" ca="1" si="32"/>
        <v>Q2</v>
      </c>
      <c r="AB130" s="4" t="str">
        <f t="shared" ca="1" si="33"/>
        <v>Long Haul</v>
      </c>
    </row>
    <row r="131" spans="1:28" x14ac:dyDescent="0.3">
      <c r="A131" s="8" t="str">
        <f t="shared" ref="A131:A194" si="45">"S"&amp;TEXT(ROW()-1,"0000")</f>
        <v>S0130</v>
      </c>
      <c r="B131" s="3">
        <f t="shared" ca="1" si="34"/>
        <v>45927</v>
      </c>
      <c r="C131" s="3" t="str">
        <f ca="1">INDEX(Customers!$A$2:$A$21,RANDBETWEEN(1,20))</f>
        <v>C020</v>
      </c>
      <c r="D131" s="3" t="str">
        <f ca="1">INDEX(Routes!$A$2:$A$31,RANDBETWEEN(1,30))</f>
        <v>R027</v>
      </c>
      <c r="E131" s="3" t="str">
        <f ca="1">INDEX(Vehicles!$A$2:$A$21,RANDBETWEEN(1,20))</f>
        <v>V009</v>
      </c>
      <c r="F131" s="3" t="str">
        <f ca="1">INDEX(Drivers!$A$2:$A$31,RANDBETWEEN(1,30))</f>
        <v>D004</v>
      </c>
      <c r="G131" s="3">
        <f t="shared" ca="1" si="35"/>
        <v>15.3</v>
      </c>
      <c r="H131" s="3">
        <f t="shared" ca="1" si="36"/>
        <v>35129</v>
      </c>
      <c r="I131" s="3">
        <f t="shared" ca="1" si="37"/>
        <v>9836</v>
      </c>
      <c r="J131" s="3">
        <f t="shared" ca="1" si="38"/>
        <v>2012</v>
      </c>
      <c r="K131" s="3">
        <f t="shared" ca="1" si="39"/>
        <v>34</v>
      </c>
      <c r="L131" s="3">
        <f t="shared" ca="1" si="40"/>
        <v>39</v>
      </c>
      <c r="M131" s="3">
        <f t="shared" ca="1" si="41"/>
        <v>5</v>
      </c>
      <c r="N131" s="3" t="str">
        <f t="shared" ca="1" si="42"/>
        <v>Delayed</v>
      </c>
      <c r="O131" s="3" t="str">
        <f t="shared" ca="1" si="43"/>
        <v>High</v>
      </c>
      <c r="P131" s="3">
        <f t="shared" ca="1" si="44"/>
        <v>51</v>
      </c>
      <c r="Q131" s="1" t="str">
        <f ca="1">VLOOKUP(D131,Routes!$A$2:$D$31,2,FALSE)</f>
        <v>Patna</v>
      </c>
      <c r="R131" s="1" t="str">
        <f ca="1">VLOOKUP(D131,Routes!$A$2:$D$31,3,FALSE)</f>
        <v>Ranchi</v>
      </c>
      <c r="S131" s="3">
        <f ca="1">VLOOKUP(D131,Routes!$A$2:$D$31,4,FALSE)</f>
        <v>330</v>
      </c>
      <c r="T131" s="3" t="str">
        <f ca="1">VLOOKUP(E131,Vehicles!$A$2:$D$21,2,FALSE)</f>
        <v>LCV</v>
      </c>
      <c r="U131" s="3">
        <f ca="1">VLOOKUP(E131,Vehicles!$A$2:$D$21,3,FALSE)</f>
        <v>5</v>
      </c>
      <c r="V131" s="3" t="str">
        <f ca="1">VLOOKUP(E131,Vehicles!$A$2:$D$21,4,FALSE)</f>
        <v>Diesel</v>
      </c>
      <c r="W131" s="3">
        <f ca="1">VLOOKUP(V131,Fuel_Rates!$A$2:$B$3,2,FALSE)</f>
        <v>95</v>
      </c>
      <c r="X131" s="3">
        <f t="shared" ref="X131:X194" ca="1" si="46">ROUND(H131/S131,2)</f>
        <v>106.45</v>
      </c>
      <c r="Y131" s="3">
        <f t="shared" ref="Y131:Y194" ca="1" si="47">H131+I131+J131</f>
        <v>46977</v>
      </c>
      <c r="Z131" s="3" t="str">
        <f t="shared" ref="Z131:Z194" ca="1" si="48">TEXT(B131,"mmm")</f>
        <v>Sep</v>
      </c>
      <c r="AA131" s="3" t="str">
        <f t="shared" ref="AA131:AA194" ca="1" si="49">"Q"&amp;ROUNDUP(MONTH(B131)/3,0)</f>
        <v>Q3</v>
      </c>
      <c r="AB131" s="4" t="str">
        <f t="shared" ref="AB131:AB194" ca="1" si="50">IF(S131&lt;300,"Short Haul",IF(S131&lt;800,"Medium Haul","Long Haul"))</f>
        <v>Medium Haul</v>
      </c>
    </row>
    <row r="132" spans="1:28" x14ac:dyDescent="0.3">
      <c r="A132" s="8" t="str">
        <f t="shared" si="45"/>
        <v>S0131</v>
      </c>
      <c r="B132" s="3">
        <f t="shared" ca="1" si="34"/>
        <v>45983</v>
      </c>
      <c r="C132" s="3" t="str">
        <f ca="1">INDEX(Customers!$A$2:$A$21,RANDBETWEEN(1,20))</f>
        <v>C011</v>
      </c>
      <c r="D132" s="3" t="str">
        <f ca="1">INDEX(Routes!$A$2:$A$31,RANDBETWEEN(1,30))</f>
        <v>R007</v>
      </c>
      <c r="E132" s="3" t="str">
        <f ca="1">INDEX(Vehicles!$A$2:$A$21,RANDBETWEEN(1,20))</f>
        <v>V005</v>
      </c>
      <c r="F132" s="3" t="str">
        <f ca="1">INDEX(Drivers!$A$2:$A$31,RANDBETWEEN(1,30))</f>
        <v>D009</v>
      </c>
      <c r="G132" s="3">
        <f t="shared" ca="1" si="35"/>
        <v>9.8000000000000007</v>
      </c>
      <c r="H132" s="3">
        <f t="shared" ca="1" si="36"/>
        <v>24997</v>
      </c>
      <c r="I132" s="3">
        <f t="shared" ca="1" si="37"/>
        <v>6999</v>
      </c>
      <c r="J132" s="3">
        <f t="shared" ca="1" si="38"/>
        <v>1855</v>
      </c>
      <c r="K132" s="3">
        <f t="shared" ca="1" si="39"/>
        <v>16</v>
      </c>
      <c r="L132" s="3">
        <f t="shared" ca="1" si="40"/>
        <v>19</v>
      </c>
      <c r="M132" s="3">
        <f t="shared" ca="1" si="41"/>
        <v>3</v>
      </c>
      <c r="N132" s="3" t="str">
        <f t="shared" ca="1" si="42"/>
        <v>Delayed</v>
      </c>
      <c r="O132" s="3" t="str">
        <f t="shared" ca="1" si="43"/>
        <v>Medium</v>
      </c>
      <c r="P132" s="3">
        <f t="shared" ca="1" si="44"/>
        <v>32.700000000000003</v>
      </c>
      <c r="Q132" s="1" t="str">
        <f ca="1">VLOOKUP(D132,Routes!$A$2:$D$31,2,FALSE)</f>
        <v>Delhi</v>
      </c>
      <c r="R132" s="1" t="str">
        <f ca="1">VLOOKUP(D132,Routes!$A$2:$D$31,3,FALSE)</f>
        <v>Chandigarh</v>
      </c>
      <c r="S132" s="3">
        <f ca="1">VLOOKUP(D132,Routes!$A$2:$D$31,4,FALSE)</f>
        <v>250</v>
      </c>
      <c r="T132" s="3" t="str">
        <f ca="1">VLOOKUP(E132,Vehicles!$A$2:$D$21,2,FALSE)</f>
        <v>Trailer</v>
      </c>
      <c r="U132" s="3">
        <f ca="1">VLOOKUP(E132,Vehicles!$A$2:$D$21,3,FALSE)</f>
        <v>32</v>
      </c>
      <c r="V132" s="3" t="str">
        <f ca="1">VLOOKUP(E132,Vehicles!$A$2:$D$21,4,FALSE)</f>
        <v>Diesel</v>
      </c>
      <c r="W132" s="3">
        <f ca="1">VLOOKUP(V132,Fuel_Rates!$A$2:$B$3,2,FALSE)</f>
        <v>95</v>
      </c>
      <c r="X132" s="3">
        <f t="shared" ca="1" si="46"/>
        <v>99.99</v>
      </c>
      <c r="Y132" s="3">
        <f t="shared" ca="1" si="47"/>
        <v>33851</v>
      </c>
      <c r="Z132" s="3" t="str">
        <f t="shared" ca="1" si="48"/>
        <v>Nov</v>
      </c>
      <c r="AA132" s="3" t="str">
        <f t="shared" ca="1" si="49"/>
        <v>Q4</v>
      </c>
      <c r="AB132" s="4" t="str">
        <f t="shared" ca="1" si="50"/>
        <v>Short Haul</v>
      </c>
    </row>
    <row r="133" spans="1:28" x14ac:dyDescent="0.3">
      <c r="A133" s="8" t="str">
        <f t="shared" si="45"/>
        <v>S0132</v>
      </c>
      <c r="B133" s="3">
        <f t="shared" ca="1" si="34"/>
        <v>45670</v>
      </c>
      <c r="C133" s="3" t="str">
        <f ca="1">INDEX(Customers!$A$2:$A$21,RANDBETWEEN(1,20))</f>
        <v>C016</v>
      </c>
      <c r="D133" s="3" t="str">
        <f ca="1">INDEX(Routes!$A$2:$A$31,RANDBETWEEN(1,30))</f>
        <v>R002</v>
      </c>
      <c r="E133" s="3" t="str">
        <f ca="1">INDEX(Vehicles!$A$2:$A$21,RANDBETWEEN(1,20))</f>
        <v>V020</v>
      </c>
      <c r="F133" s="3" t="str">
        <f ca="1">INDEX(Drivers!$A$2:$A$31,RANDBETWEEN(1,30))</f>
        <v>D014</v>
      </c>
      <c r="G133" s="3">
        <f t="shared" ca="1" si="35"/>
        <v>3.3</v>
      </c>
      <c r="H133" s="3">
        <f t="shared" ca="1" si="36"/>
        <v>13213</v>
      </c>
      <c r="I133" s="3">
        <f t="shared" ca="1" si="37"/>
        <v>3700</v>
      </c>
      <c r="J133" s="3">
        <f t="shared" ca="1" si="38"/>
        <v>1230</v>
      </c>
      <c r="K133" s="3">
        <f t="shared" ca="1" si="39"/>
        <v>30</v>
      </c>
      <c r="L133" s="3">
        <f t="shared" ca="1" si="40"/>
        <v>33</v>
      </c>
      <c r="M133" s="3">
        <f t="shared" ca="1" si="41"/>
        <v>3</v>
      </c>
      <c r="N133" s="3" t="str">
        <f t="shared" ca="1" si="42"/>
        <v>Delayed</v>
      </c>
      <c r="O133" s="3" t="str">
        <f t="shared" ca="1" si="43"/>
        <v>Medium</v>
      </c>
      <c r="P133" s="3">
        <f t="shared" ca="1" si="44"/>
        <v>11</v>
      </c>
      <c r="Q133" s="1" t="str">
        <f ca="1">VLOOKUP(D133,Routes!$A$2:$D$31,2,FALSE)</f>
        <v>Mumbai</v>
      </c>
      <c r="R133" s="1" t="str">
        <f ca="1">VLOOKUP(D133,Routes!$A$2:$D$31,3,FALSE)</f>
        <v>Ahmedabad</v>
      </c>
      <c r="S133" s="3">
        <f ca="1">VLOOKUP(D133,Routes!$A$2:$D$31,4,FALSE)</f>
        <v>530</v>
      </c>
      <c r="T133" s="3" t="str">
        <f ca="1">VLOOKUP(E133,Vehicles!$A$2:$D$21,2,FALSE)</f>
        <v>Container</v>
      </c>
      <c r="U133" s="3">
        <f ca="1">VLOOKUP(E133,Vehicles!$A$2:$D$21,3,FALSE)</f>
        <v>28</v>
      </c>
      <c r="V133" s="3" t="str">
        <f ca="1">VLOOKUP(E133,Vehicles!$A$2:$D$21,4,FALSE)</f>
        <v>Diesel</v>
      </c>
      <c r="W133" s="3">
        <f ca="1">VLOOKUP(V133,Fuel_Rates!$A$2:$B$3,2,FALSE)</f>
        <v>95</v>
      </c>
      <c r="X133" s="3">
        <f t="shared" ca="1" si="46"/>
        <v>24.93</v>
      </c>
      <c r="Y133" s="3">
        <f t="shared" ca="1" si="47"/>
        <v>18143</v>
      </c>
      <c r="Z133" s="3" t="str">
        <f t="shared" ca="1" si="48"/>
        <v>Jan</v>
      </c>
      <c r="AA133" s="3" t="str">
        <f t="shared" ca="1" si="49"/>
        <v>Q1</v>
      </c>
      <c r="AB133" s="4" t="str">
        <f t="shared" ca="1" si="50"/>
        <v>Medium Haul</v>
      </c>
    </row>
    <row r="134" spans="1:28" x14ac:dyDescent="0.3">
      <c r="A134" s="8" t="str">
        <f t="shared" si="45"/>
        <v>S0133</v>
      </c>
      <c r="B134" s="3">
        <f t="shared" ca="1" si="34"/>
        <v>45878</v>
      </c>
      <c r="C134" s="3" t="str">
        <f ca="1">INDEX(Customers!$A$2:$A$21,RANDBETWEEN(1,20))</f>
        <v>C015</v>
      </c>
      <c r="D134" s="3" t="str">
        <f ca="1">INDEX(Routes!$A$2:$A$31,RANDBETWEEN(1,30))</f>
        <v>R003</v>
      </c>
      <c r="E134" s="3" t="str">
        <f ca="1">INDEX(Vehicles!$A$2:$A$21,RANDBETWEEN(1,20))</f>
        <v>V001</v>
      </c>
      <c r="F134" s="3" t="str">
        <f ca="1">INDEX(Drivers!$A$2:$A$31,RANDBETWEEN(1,30))</f>
        <v>D026</v>
      </c>
      <c r="G134" s="3">
        <f t="shared" ca="1" si="35"/>
        <v>7.7</v>
      </c>
      <c r="H134" s="3">
        <f t="shared" ca="1" si="36"/>
        <v>23131</v>
      </c>
      <c r="I134" s="3">
        <f t="shared" ca="1" si="37"/>
        <v>6477</v>
      </c>
      <c r="J134" s="3">
        <f t="shared" ca="1" si="38"/>
        <v>2334</v>
      </c>
      <c r="K134" s="3">
        <f t="shared" ca="1" si="39"/>
        <v>8</v>
      </c>
      <c r="L134" s="3">
        <f t="shared" ca="1" si="40"/>
        <v>12</v>
      </c>
      <c r="M134" s="3">
        <f t="shared" ca="1" si="41"/>
        <v>4</v>
      </c>
      <c r="N134" s="3" t="str">
        <f t="shared" ca="1" si="42"/>
        <v>Delayed</v>
      </c>
      <c r="O134" s="3" t="str">
        <f t="shared" ca="1" si="43"/>
        <v>Medium</v>
      </c>
      <c r="P134" s="3">
        <f t="shared" ca="1" si="44"/>
        <v>25.7</v>
      </c>
      <c r="Q134" s="1" t="str">
        <f ca="1">VLOOKUP(D134,Routes!$A$2:$D$31,2,FALSE)</f>
        <v>Mumbai</v>
      </c>
      <c r="R134" s="1" t="str">
        <f ca="1">VLOOKUP(D134,Routes!$A$2:$D$31,3,FALSE)</f>
        <v>Delhi</v>
      </c>
      <c r="S134" s="3">
        <f ca="1">VLOOKUP(D134,Routes!$A$2:$D$31,4,FALSE)</f>
        <v>1450</v>
      </c>
      <c r="T134" s="3" t="str">
        <f ca="1">VLOOKUP(E134,Vehicles!$A$2:$D$21,2,FALSE)</f>
        <v>Truck</v>
      </c>
      <c r="U134" s="3">
        <f ca="1">VLOOKUP(E134,Vehicles!$A$2:$D$21,3,FALSE)</f>
        <v>16</v>
      </c>
      <c r="V134" s="3" t="str">
        <f ca="1">VLOOKUP(E134,Vehicles!$A$2:$D$21,4,FALSE)</f>
        <v>Diesel</v>
      </c>
      <c r="W134" s="3">
        <f ca="1">VLOOKUP(V134,Fuel_Rates!$A$2:$B$3,2,FALSE)</f>
        <v>95</v>
      </c>
      <c r="X134" s="3">
        <f t="shared" ca="1" si="46"/>
        <v>15.95</v>
      </c>
      <c r="Y134" s="3">
        <f t="shared" ca="1" si="47"/>
        <v>31942</v>
      </c>
      <c r="Z134" s="3" t="str">
        <f t="shared" ca="1" si="48"/>
        <v>Aug</v>
      </c>
      <c r="AA134" s="3" t="str">
        <f t="shared" ca="1" si="49"/>
        <v>Q3</v>
      </c>
      <c r="AB134" s="4" t="str">
        <f t="shared" ca="1" si="50"/>
        <v>Long Haul</v>
      </c>
    </row>
    <row r="135" spans="1:28" x14ac:dyDescent="0.3">
      <c r="A135" s="8" t="str">
        <f t="shared" si="45"/>
        <v>S0134</v>
      </c>
      <c r="B135" s="3">
        <f t="shared" ca="1" si="34"/>
        <v>45772</v>
      </c>
      <c r="C135" s="3" t="str">
        <f ca="1">INDEX(Customers!$A$2:$A$21,RANDBETWEEN(1,20))</f>
        <v>C013</v>
      </c>
      <c r="D135" s="3" t="str">
        <f ca="1">INDEX(Routes!$A$2:$A$31,RANDBETWEEN(1,30))</f>
        <v>R030</v>
      </c>
      <c r="E135" s="3" t="str">
        <f ca="1">INDEX(Vehicles!$A$2:$A$21,RANDBETWEEN(1,20))</f>
        <v>V013</v>
      </c>
      <c r="F135" s="3" t="str">
        <f ca="1">INDEX(Drivers!$A$2:$A$31,RANDBETWEEN(1,30))</f>
        <v>D005</v>
      </c>
      <c r="G135" s="3">
        <f t="shared" ca="1" si="35"/>
        <v>13</v>
      </c>
      <c r="H135" s="3">
        <f t="shared" ca="1" si="36"/>
        <v>33797</v>
      </c>
      <c r="I135" s="3">
        <f t="shared" ca="1" si="37"/>
        <v>9463</v>
      </c>
      <c r="J135" s="3">
        <f t="shared" ca="1" si="38"/>
        <v>1293</v>
      </c>
      <c r="K135" s="3">
        <f t="shared" ca="1" si="39"/>
        <v>9</v>
      </c>
      <c r="L135" s="3">
        <f t="shared" ca="1" si="40"/>
        <v>10</v>
      </c>
      <c r="M135" s="3">
        <f t="shared" ca="1" si="41"/>
        <v>1</v>
      </c>
      <c r="N135" s="3" t="str">
        <f t="shared" ca="1" si="42"/>
        <v>On Time</v>
      </c>
      <c r="O135" s="3" t="str">
        <f t="shared" ca="1" si="43"/>
        <v>High</v>
      </c>
      <c r="P135" s="3">
        <f t="shared" ca="1" si="44"/>
        <v>43.3</v>
      </c>
      <c r="Q135" s="1" t="str">
        <f ca="1">VLOOKUP(D135,Routes!$A$2:$D$31,2,FALSE)</f>
        <v>Bhubaneswar</v>
      </c>
      <c r="R135" s="1" t="str">
        <f ca="1">VLOOKUP(D135,Routes!$A$2:$D$31,3,FALSE)</f>
        <v>Kolkata</v>
      </c>
      <c r="S135" s="3">
        <f ca="1">VLOOKUP(D135,Routes!$A$2:$D$31,4,FALSE)</f>
        <v>440</v>
      </c>
      <c r="T135" s="3" t="str">
        <f ca="1">VLOOKUP(E135,Vehicles!$A$2:$D$21,2,FALSE)</f>
        <v>LCV</v>
      </c>
      <c r="U135" s="3">
        <f ca="1">VLOOKUP(E135,Vehicles!$A$2:$D$21,3,FALSE)</f>
        <v>4</v>
      </c>
      <c r="V135" s="3" t="str">
        <f ca="1">VLOOKUP(E135,Vehicles!$A$2:$D$21,4,FALSE)</f>
        <v>CNG</v>
      </c>
      <c r="W135" s="3">
        <f ca="1">VLOOKUP(V135,Fuel_Rates!$A$2:$B$3,2,FALSE)</f>
        <v>78</v>
      </c>
      <c r="X135" s="3">
        <f t="shared" ca="1" si="46"/>
        <v>76.81</v>
      </c>
      <c r="Y135" s="3">
        <f t="shared" ca="1" si="47"/>
        <v>44553</v>
      </c>
      <c r="Z135" s="3" t="str">
        <f t="shared" ca="1" si="48"/>
        <v>Apr</v>
      </c>
      <c r="AA135" s="3" t="str">
        <f t="shared" ca="1" si="49"/>
        <v>Q2</v>
      </c>
      <c r="AB135" s="4" t="str">
        <f t="shared" ca="1" si="50"/>
        <v>Medium Haul</v>
      </c>
    </row>
    <row r="136" spans="1:28" x14ac:dyDescent="0.3">
      <c r="A136" s="8" t="str">
        <f t="shared" si="45"/>
        <v>S0135</v>
      </c>
      <c r="B136" s="3">
        <f t="shared" ca="1" si="34"/>
        <v>46006</v>
      </c>
      <c r="C136" s="3" t="str">
        <f ca="1">INDEX(Customers!$A$2:$A$21,RANDBETWEEN(1,20))</f>
        <v>C010</v>
      </c>
      <c r="D136" s="3" t="str">
        <f ca="1">INDEX(Routes!$A$2:$A$31,RANDBETWEEN(1,30))</f>
        <v>R002</v>
      </c>
      <c r="E136" s="3" t="str">
        <f ca="1">INDEX(Vehicles!$A$2:$A$21,RANDBETWEEN(1,20))</f>
        <v>V019</v>
      </c>
      <c r="F136" s="3" t="str">
        <f ca="1">INDEX(Drivers!$A$2:$A$31,RANDBETWEEN(1,30))</f>
        <v>D029</v>
      </c>
      <c r="G136" s="3">
        <f t="shared" ca="1" si="35"/>
        <v>29.9</v>
      </c>
      <c r="H136" s="3">
        <f t="shared" ca="1" si="36"/>
        <v>67007</v>
      </c>
      <c r="I136" s="3">
        <f t="shared" ca="1" si="37"/>
        <v>18762</v>
      </c>
      <c r="J136" s="3">
        <f t="shared" ca="1" si="38"/>
        <v>2733</v>
      </c>
      <c r="K136" s="3">
        <f t="shared" ca="1" si="39"/>
        <v>30</v>
      </c>
      <c r="L136" s="3">
        <f t="shared" ca="1" si="40"/>
        <v>36</v>
      </c>
      <c r="M136" s="3">
        <f t="shared" ca="1" si="41"/>
        <v>6</v>
      </c>
      <c r="N136" s="3" t="str">
        <f t="shared" ca="1" si="42"/>
        <v>Delayed</v>
      </c>
      <c r="O136" s="3" t="str">
        <f t="shared" ca="1" si="43"/>
        <v>Medium</v>
      </c>
      <c r="P136" s="3">
        <f t="shared" ca="1" si="44"/>
        <v>99.7</v>
      </c>
      <c r="Q136" s="1" t="str">
        <f ca="1">VLOOKUP(D136,Routes!$A$2:$D$31,2,FALSE)</f>
        <v>Mumbai</v>
      </c>
      <c r="R136" s="1" t="str">
        <f ca="1">VLOOKUP(D136,Routes!$A$2:$D$31,3,FALSE)</f>
        <v>Ahmedabad</v>
      </c>
      <c r="S136" s="3">
        <f ca="1">VLOOKUP(D136,Routes!$A$2:$D$31,4,FALSE)</f>
        <v>530</v>
      </c>
      <c r="T136" s="3" t="str">
        <f ca="1">VLOOKUP(E136,Vehicles!$A$2:$D$21,2,FALSE)</f>
        <v>Trailer</v>
      </c>
      <c r="U136" s="3">
        <f ca="1">VLOOKUP(E136,Vehicles!$A$2:$D$21,3,FALSE)</f>
        <v>35</v>
      </c>
      <c r="V136" s="3" t="str">
        <f ca="1">VLOOKUP(E136,Vehicles!$A$2:$D$21,4,FALSE)</f>
        <v>Diesel</v>
      </c>
      <c r="W136" s="3">
        <f ca="1">VLOOKUP(V136,Fuel_Rates!$A$2:$B$3,2,FALSE)</f>
        <v>95</v>
      </c>
      <c r="X136" s="3">
        <f t="shared" ca="1" si="46"/>
        <v>126.43</v>
      </c>
      <c r="Y136" s="3">
        <f t="shared" ca="1" si="47"/>
        <v>88502</v>
      </c>
      <c r="Z136" s="3" t="str">
        <f t="shared" ca="1" si="48"/>
        <v>Dec</v>
      </c>
      <c r="AA136" s="3" t="str">
        <f t="shared" ca="1" si="49"/>
        <v>Q4</v>
      </c>
      <c r="AB136" s="4" t="str">
        <f t="shared" ca="1" si="50"/>
        <v>Medium Haul</v>
      </c>
    </row>
    <row r="137" spans="1:28" x14ac:dyDescent="0.3">
      <c r="A137" s="8" t="str">
        <f t="shared" si="45"/>
        <v>S0136</v>
      </c>
      <c r="B137" s="3">
        <f t="shared" ca="1" si="34"/>
        <v>45680</v>
      </c>
      <c r="C137" s="3" t="str">
        <f ca="1">INDEX(Customers!$A$2:$A$21,RANDBETWEEN(1,20))</f>
        <v>C005</v>
      </c>
      <c r="D137" s="3" t="str">
        <f ca="1">INDEX(Routes!$A$2:$A$31,RANDBETWEEN(1,30))</f>
        <v>R025</v>
      </c>
      <c r="E137" s="3" t="str">
        <f ca="1">INDEX(Vehicles!$A$2:$A$21,RANDBETWEEN(1,20))</f>
        <v>V017</v>
      </c>
      <c r="F137" s="3" t="str">
        <f ca="1">INDEX(Drivers!$A$2:$A$31,RANDBETWEEN(1,30))</f>
        <v>D008</v>
      </c>
      <c r="G137" s="3">
        <f t="shared" ca="1" si="35"/>
        <v>14.8</v>
      </c>
      <c r="H137" s="3">
        <f t="shared" ca="1" si="36"/>
        <v>38845</v>
      </c>
      <c r="I137" s="3">
        <f t="shared" ca="1" si="37"/>
        <v>10877</v>
      </c>
      <c r="J137" s="3">
        <f t="shared" ca="1" si="38"/>
        <v>1032</v>
      </c>
      <c r="K137" s="3">
        <f t="shared" ca="1" si="39"/>
        <v>44</v>
      </c>
      <c r="L137" s="3">
        <f t="shared" ca="1" si="40"/>
        <v>44</v>
      </c>
      <c r="M137" s="3">
        <f t="shared" ca="1" si="41"/>
        <v>0</v>
      </c>
      <c r="N137" s="3" t="str">
        <f t="shared" ca="1" si="42"/>
        <v>On Time</v>
      </c>
      <c r="O137" s="3" t="str">
        <f t="shared" ca="1" si="43"/>
        <v>Medium</v>
      </c>
      <c r="P137" s="3">
        <f t="shared" ca="1" si="44"/>
        <v>49.3</v>
      </c>
      <c r="Q137" s="1" t="str">
        <f ca="1">VLOOKUP(D137,Routes!$A$2:$D$31,2,FALSE)</f>
        <v>Visakhapatnam</v>
      </c>
      <c r="R137" s="1" t="str">
        <f ca="1">VLOOKUP(D137,Routes!$A$2:$D$31,3,FALSE)</f>
        <v>Hyderabad</v>
      </c>
      <c r="S137" s="3">
        <f ca="1">VLOOKUP(D137,Routes!$A$2:$D$31,4,FALSE)</f>
        <v>620</v>
      </c>
      <c r="T137" s="3" t="str">
        <f ca="1">VLOOKUP(E137,Vehicles!$A$2:$D$21,2,FALSE)</f>
        <v>Truck</v>
      </c>
      <c r="U137" s="3">
        <f ca="1">VLOOKUP(E137,Vehicles!$A$2:$D$21,3,FALSE)</f>
        <v>24</v>
      </c>
      <c r="V137" s="3" t="str">
        <f ca="1">VLOOKUP(E137,Vehicles!$A$2:$D$21,4,FALSE)</f>
        <v>Diesel</v>
      </c>
      <c r="W137" s="3">
        <f ca="1">VLOOKUP(V137,Fuel_Rates!$A$2:$B$3,2,FALSE)</f>
        <v>95</v>
      </c>
      <c r="X137" s="3">
        <f t="shared" ca="1" si="46"/>
        <v>62.65</v>
      </c>
      <c r="Y137" s="3">
        <f t="shared" ca="1" si="47"/>
        <v>50754</v>
      </c>
      <c r="Z137" s="3" t="str">
        <f t="shared" ca="1" si="48"/>
        <v>Jan</v>
      </c>
      <c r="AA137" s="3" t="str">
        <f t="shared" ca="1" si="49"/>
        <v>Q1</v>
      </c>
      <c r="AB137" s="4" t="str">
        <f t="shared" ca="1" si="50"/>
        <v>Medium Haul</v>
      </c>
    </row>
    <row r="138" spans="1:28" x14ac:dyDescent="0.3">
      <c r="A138" s="8" t="str">
        <f t="shared" si="45"/>
        <v>S0137</v>
      </c>
      <c r="B138" s="3">
        <f t="shared" ca="1" si="34"/>
        <v>45826</v>
      </c>
      <c r="C138" s="3" t="str">
        <f ca="1">INDEX(Customers!$A$2:$A$21,RANDBETWEEN(1,20))</f>
        <v>C002</v>
      </c>
      <c r="D138" s="3" t="str">
        <f ca="1">INDEX(Routes!$A$2:$A$31,RANDBETWEEN(1,30))</f>
        <v>R005</v>
      </c>
      <c r="E138" s="3" t="str">
        <f ca="1">INDEX(Vehicles!$A$2:$A$21,RANDBETWEEN(1,20))</f>
        <v>V018</v>
      </c>
      <c r="F138" s="3" t="str">
        <f ca="1">INDEX(Drivers!$A$2:$A$31,RANDBETWEEN(1,30))</f>
        <v>D004</v>
      </c>
      <c r="G138" s="3">
        <f t="shared" ca="1" si="35"/>
        <v>14.1</v>
      </c>
      <c r="H138" s="3">
        <f t="shared" ca="1" si="36"/>
        <v>32865</v>
      </c>
      <c r="I138" s="3">
        <f t="shared" ca="1" si="37"/>
        <v>9202</v>
      </c>
      <c r="J138" s="3">
        <f t="shared" ca="1" si="38"/>
        <v>1380</v>
      </c>
      <c r="K138" s="3">
        <f t="shared" ca="1" si="39"/>
        <v>48</v>
      </c>
      <c r="L138" s="3">
        <f t="shared" ca="1" si="40"/>
        <v>48</v>
      </c>
      <c r="M138" s="3">
        <f t="shared" ca="1" si="41"/>
        <v>0</v>
      </c>
      <c r="N138" s="3" t="str">
        <f t="shared" ca="1" si="42"/>
        <v>On Time</v>
      </c>
      <c r="O138" s="3" t="str">
        <f t="shared" ca="1" si="43"/>
        <v>Low</v>
      </c>
      <c r="P138" s="3">
        <f t="shared" ca="1" si="44"/>
        <v>47</v>
      </c>
      <c r="Q138" s="1" t="str">
        <f ca="1">VLOOKUP(D138,Routes!$A$2:$D$31,2,FALSE)</f>
        <v>Delhi</v>
      </c>
      <c r="R138" s="1" t="str">
        <f ca="1">VLOOKUP(D138,Routes!$A$2:$D$31,3,FALSE)</f>
        <v>Jaipur</v>
      </c>
      <c r="S138" s="3">
        <f ca="1">VLOOKUP(D138,Routes!$A$2:$D$31,4,FALSE)</f>
        <v>280</v>
      </c>
      <c r="T138" s="3" t="str">
        <f ca="1">VLOOKUP(E138,Vehicles!$A$2:$D$21,2,FALSE)</f>
        <v>Truck</v>
      </c>
      <c r="U138" s="3">
        <f ca="1">VLOOKUP(E138,Vehicles!$A$2:$D$21,3,FALSE)</f>
        <v>26</v>
      </c>
      <c r="V138" s="3" t="str">
        <f ca="1">VLOOKUP(E138,Vehicles!$A$2:$D$21,4,FALSE)</f>
        <v>Diesel</v>
      </c>
      <c r="W138" s="3">
        <f ca="1">VLOOKUP(V138,Fuel_Rates!$A$2:$B$3,2,FALSE)</f>
        <v>95</v>
      </c>
      <c r="X138" s="3">
        <f t="shared" ca="1" si="46"/>
        <v>117.38</v>
      </c>
      <c r="Y138" s="3">
        <f t="shared" ca="1" si="47"/>
        <v>43447</v>
      </c>
      <c r="Z138" s="3" t="str">
        <f t="shared" ca="1" si="48"/>
        <v>Jun</v>
      </c>
      <c r="AA138" s="3" t="str">
        <f t="shared" ca="1" si="49"/>
        <v>Q2</v>
      </c>
      <c r="AB138" s="4" t="str">
        <f t="shared" ca="1" si="50"/>
        <v>Short Haul</v>
      </c>
    </row>
    <row r="139" spans="1:28" x14ac:dyDescent="0.3">
      <c r="A139" s="8" t="str">
        <f t="shared" si="45"/>
        <v>S0138</v>
      </c>
      <c r="B139" s="3">
        <f t="shared" ca="1" si="34"/>
        <v>45689</v>
      </c>
      <c r="C139" s="3" t="str">
        <f ca="1">INDEX(Customers!$A$2:$A$21,RANDBETWEEN(1,20))</f>
        <v>C006</v>
      </c>
      <c r="D139" s="3" t="str">
        <f ca="1">INDEX(Routes!$A$2:$A$31,RANDBETWEEN(1,30))</f>
        <v>R022</v>
      </c>
      <c r="E139" s="3" t="str">
        <f ca="1">INDEX(Vehicles!$A$2:$A$21,RANDBETWEEN(1,20))</f>
        <v>V002</v>
      </c>
      <c r="F139" s="3" t="str">
        <f ca="1">INDEX(Drivers!$A$2:$A$31,RANDBETWEEN(1,30))</f>
        <v>D024</v>
      </c>
      <c r="G139" s="3">
        <f t="shared" ca="1" si="35"/>
        <v>20.3</v>
      </c>
      <c r="H139" s="3">
        <f t="shared" ca="1" si="36"/>
        <v>47751</v>
      </c>
      <c r="I139" s="3">
        <f t="shared" ca="1" si="37"/>
        <v>13370</v>
      </c>
      <c r="J139" s="3">
        <f t="shared" ca="1" si="38"/>
        <v>1733</v>
      </c>
      <c r="K139" s="3">
        <f t="shared" ca="1" si="39"/>
        <v>23</v>
      </c>
      <c r="L139" s="3">
        <f t="shared" ca="1" si="40"/>
        <v>30</v>
      </c>
      <c r="M139" s="3">
        <f t="shared" ca="1" si="41"/>
        <v>7</v>
      </c>
      <c r="N139" s="3" t="str">
        <f t="shared" ca="1" si="42"/>
        <v>Delayed</v>
      </c>
      <c r="O139" s="3" t="str">
        <f t="shared" ca="1" si="43"/>
        <v>High</v>
      </c>
      <c r="P139" s="3">
        <f t="shared" ca="1" si="44"/>
        <v>67.7</v>
      </c>
      <c r="Q139" s="1" t="str">
        <f ca="1">VLOOKUP(D139,Routes!$A$2:$D$31,2,FALSE)</f>
        <v>Jaipur</v>
      </c>
      <c r="R139" s="1" t="str">
        <f ca="1">VLOOKUP(D139,Routes!$A$2:$D$31,3,FALSE)</f>
        <v>Indore</v>
      </c>
      <c r="S139" s="3">
        <f ca="1">VLOOKUP(D139,Routes!$A$2:$D$31,4,FALSE)</f>
        <v>600</v>
      </c>
      <c r="T139" s="3" t="str">
        <f ca="1">VLOOKUP(E139,Vehicles!$A$2:$D$21,2,FALSE)</f>
        <v>Truck</v>
      </c>
      <c r="U139" s="3">
        <f ca="1">VLOOKUP(E139,Vehicles!$A$2:$D$21,3,FALSE)</f>
        <v>20</v>
      </c>
      <c r="V139" s="3" t="str">
        <f ca="1">VLOOKUP(E139,Vehicles!$A$2:$D$21,4,FALSE)</f>
        <v>Diesel</v>
      </c>
      <c r="W139" s="3">
        <f ca="1">VLOOKUP(V139,Fuel_Rates!$A$2:$B$3,2,FALSE)</f>
        <v>95</v>
      </c>
      <c r="X139" s="3">
        <f t="shared" ca="1" si="46"/>
        <v>79.59</v>
      </c>
      <c r="Y139" s="3">
        <f t="shared" ca="1" si="47"/>
        <v>62854</v>
      </c>
      <c r="Z139" s="3" t="str">
        <f t="shared" ca="1" si="48"/>
        <v>Feb</v>
      </c>
      <c r="AA139" s="3" t="str">
        <f t="shared" ca="1" si="49"/>
        <v>Q1</v>
      </c>
      <c r="AB139" s="4" t="str">
        <f t="shared" ca="1" si="50"/>
        <v>Medium Haul</v>
      </c>
    </row>
    <row r="140" spans="1:28" x14ac:dyDescent="0.3">
      <c r="A140" s="8" t="str">
        <f t="shared" si="45"/>
        <v>S0139</v>
      </c>
      <c r="B140" s="3">
        <f t="shared" ca="1" si="34"/>
        <v>45912</v>
      </c>
      <c r="C140" s="3" t="str">
        <f ca="1">INDEX(Customers!$A$2:$A$21,RANDBETWEEN(1,20))</f>
        <v>C004</v>
      </c>
      <c r="D140" s="3" t="str">
        <f ca="1">INDEX(Routes!$A$2:$A$31,RANDBETWEEN(1,30))</f>
        <v>R006</v>
      </c>
      <c r="E140" s="3" t="str">
        <f ca="1">INDEX(Vehicles!$A$2:$A$21,RANDBETWEEN(1,20))</f>
        <v>V018</v>
      </c>
      <c r="F140" s="3" t="str">
        <f ca="1">INDEX(Drivers!$A$2:$A$31,RANDBETWEEN(1,30))</f>
        <v>D008</v>
      </c>
      <c r="G140" s="3">
        <f t="shared" ca="1" si="35"/>
        <v>5</v>
      </c>
      <c r="H140" s="3">
        <f t="shared" ca="1" si="36"/>
        <v>16346</v>
      </c>
      <c r="I140" s="3">
        <f t="shared" ca="1" si="37"/>
        <v>4577</v>
      </c>
      <c r="J140" s="3">
        <f t="shared" ca="1" si="38"/>
        <v>2199</v>
      </c>
      <c r="K140" s="3">
        <f t="shared" ca="1" si="39"/>
        <v>4</v>
      </c>
      <c r="L140" s="3">
        <f t="shared" ca="1" si="40"/>
        <v>11</v>
      </c>
      <c r="M140" s="3">
        <f t="shared" ca="1" si="41"/>
        <v>7</v>
      </c>
      <c r="N140" s="3" t="str">
        <f t="shared" ca="1" si="42"/>
        <v>Delayed</v>
      </c>
      <c r="O140" s="3" t="str">
        <f t="shared" ca="1" si="43"/>
        <v>Low</v>
      </c>
      <c r="P140" s="3">
        <f t="shared" ca="1" si="44"/>
        <v>16.7</v>
      </c>
      <c r="Q140" s="1" t="str">
        <f ca="1">VLOOKUP(D140,Routes!$A$2:$D$31,2,FALSE)</f>
        <v>Delhi</v>
      </c>
      <c r="R140" s="1" t="str">
        <f ca="1">VLOOKUP(D140,Routes!$A$2:$D$31,3,FALSE)</f>
        <v>Lucknow</v>
      </c>
      <c r="S140" s="3">
        <f ca="1">VLOOKUP(D140,Routes!$A$2:$D$31,4,FALSE)</f>
        <v>550</v>
      </c>
      <c r="T140" s="3" t="str">
        <f ca="1">VLOOKUP(E140,Vehicles!$A$2:$D$21,2,FALSE)</f>
        <v>Truck</v>
      </c>
      <c r="U140" s="3">
        <f ca="1">VLOOKUP(E140,Vehicles!$A$2:$D$21,3,FALSE)</f>
        <v>26</v>
      </c>
      <c r="V140" s="3" t="str">
        <f ca="1">VLOOKUP(E140,Vehicles!$A$2:$D$21,4,FALSE)</f>
        <v>Diesel</v>
      </c>
      <c r="W140" s="3">
        <f ca="1">VLOOKUP(V140,Fuel_Rates!$A$2:$B$3,2,FALSE)</f>
        <v>95</v>
      </c>
      <c r="X140" s="3">
        <f t="shared" ca="1" si="46"/>
        <v>29.72</v>
      </c>
      <c r="Y140" s="3">
        <f t="shared" ca="1" si="47"/>
        <v>23122</v>
      </c>
      <c r="Z140" s="3" t="str">
        <f t="shared" ca="1" si="48"/>
        <v>Sep</v>
      </c>
      <c r="AA140" s="3" t="str">
        <f t="shared" ca="1" si="49"/>
        <v>Q3</v>
      </c>
      <c r="AB140" s="4" t="str">
        <f t="shared" ca="1" si="50"/>
        <v>Medium Haul</v>
      </c>
    </row>
    <row r="141" spans="1:28" x14ac:dyDescent="0.3">
      <c r="A141" s="8" t="str">
        <f t="shared" si="45"/>
        <v>S0140</v>
      </c>
      <c r="B141" s="3">
        <f t="shared" ca="1" si="34"/>
        <v>45997</v>
      </c>
      <c r="C141" s="3" t="str">
        <f ca="1">INDEX(Customers!$A$2:$A$21,RANDBETWEEN(1,20))</f>
        <v>C018</v>
      </c>
      <c r="D141" s="3" t="str">
        <f ca="1">INDEX(Routes!$A$2:$A$31,RANDBETWEEN(1,30))</f>
        <v>R004</v>
      </c>
      <c r="E141" s="3" t="str">
        <f ca="1">INDEX(Vehicles!$A$2:$A$21,RANDBETWEEN(1,20))</f>
        <v>V019</v>
      </c>
      <c r="F141" s="3" t="str">
        <f ca="1">INDEX(Drivers!$A$2:$A$31,RANDBETWEEN(1,30))</f>
        <v>D020</v>
      </c>
      <c r="G141" s="3">
        <f t="shared" ca="1" si="35"/>
        <v>8.6</v>
      </c>
      <c r="H141" s="3">
        <f t="shared" ca="1" si="36"/>
        <v>22415</v>
      </c>
      <c r="I141" s="3">
        <f t="shared" ca="1" si="37"/>
        <v>6276</v>
      </c>
      <c r="J141" s="3">
        <f t="shared" ca="1" si="38"/>
        <v>1266</v>
      </c>
      <c r="K141" s="3">
        <f t="shared" ca="1" si="39"/>
        <v>34</v>
      </c>
      <c r="L141" s="3">
        <f t="shared" ca="1" si="40"/>
        <v>42</v>
      </c>
      <c r="M141" s="3">
        <f t="shared" ca="1" si="41"/>
        <v>8</v>
      </c>
      <c r="N141" s="3" t="str">
        <f t="shared" ca="1" si="42"/>
        <v>Delayed</v>
      </c>
      <c r="O141" s="3" t="str">
        <f t="shared" ca="1" si="43"/>
        <v>Low</v>
      </c>
      <c r="P141" s="3">
        <f t="shared" ca="1" si="44"/>
        <v>28.7</v>
      </c>
      <c r="Q141" s="1" t="str">
        <f ca="1">VLOOKUP(D141,Routes!$A$2:$D$31,2,FALSE)</f>
        <v>Mumbai</v>
      </c>
      <c r="R141" s="1" t="str">
        <f ca="1">VLOOKUP(D141,Routes!$A$2:$D$31,3,FALSE)</f>
        <v>Bengaluru</v>
      </c>
      <c r="S141" s="3">
        <f ca="1">VLOOKUP(D141,Routes!$A$2:$D$31,4,FALSE)</f>
        <v>980</v>
      </c>
      <c r="T141" s="3" t="str">
        <f ca="1">VLOOKUP(E141,Vehicles!$A$2:$D$21,2,FALSE)</f>
        <v>Trailer</v>
      </c>
      <c r="U141" s="3">
        <f ca="1">VLOOKUP(E141,Vehicles!$A$2:$D$21,3,FALSE)</f>
        <v>35</v>
      </c>
      <c r="V141" s="3" t="str">
        <f ca="1">VLOOKUP(E141,Vehicles!$A$2:$D$21,4,FALSE)</f>
        <v>Diesel</v>
      </c>
      <c r="W141" s="3">
        <f ca="1">VLOOKUP(V141,Fuel_Rates!$A$2:$B$3,2,FALSE)</f>
        <v>95</v>
      </c>
      <c r="X141" s="3">
        <f t="shared" ca="1" si="46"/>
        <v>22.87</v>
      </c>
      <c r="Y141" s="3">
        <f t="shared" ca="1" si="47"/>
        <v>29957</v>
      </c>
      <c r="Z141" s="3" t="str">
        <f t="shared" ca="1" si="48"/>
        <v>Dec</v>
      </c>
      <c r="AA141" s="3" t="str">
        <f t="shared" ca="1" si="49"/>
        <v>Q4</v>
      </c>
      <c r="AB141" s="4" t="str">
        <f t="shared" ca="1" si="50"/>
        <v>Long Haul</v>
      </c>
    </row>
    <row r="142" spans="1:28" x14ac:dyDescent="0.3">
      <c r="A142" s="8" t="str">
        <f t="shared" si="45"/>
        <v>S0141</v>
      </c>
      <c r="B142" s="3">
        <f t="shared" ca="1" si="34"/>
        <v>45970</v>
      </c>
      <c r="C142" s="3" t="str">
        <f ca="1">INDEX(Customers!$A$2:$A$21,RANDBETWEEN(1,20))</f>
        <v>C007</v>
      </c>
      <c r="D142" s="3" t="str">
        <f ca="1">INDEX(Routes!$A$2:$A$31,RANDBETWEEN(1,30))</f>
        <v>R004</v>
      </c>
      <c r="E142" s="3" t="str">
        <f ca="1">INDEX(Vehicles!$A$2:$A$21,RANDBETWEEN(1,20))</f>
        <v>V005</v>
      </c>
      <c r="F142" s="3" t="str">
        <f ca="1">INDEX(Drivers!$A$2:$A$31,RANDBETWEEN(1,30))</f>
        <v>D008</v>
      </c>
      <c r="G142" s="3">
        <f t="shared" ca="1" si="35"/>
        <v>2.7</v>
      </c>
      <c r="H142" s="3">
        <f t="shared" ca="1" si="36"/>
        <v>13458</v>
      </c>
      <c r="I142" s="3">
        <f t="shared" ca="1" si="37"/>
        <v>3768</v>
      </c>
      <c r="J142" s="3">
        <f t="shared" ca="1" si="38"/>
        <v>1119</v>
      </c>
      <c r="K142" s="3">
        <f t="shared" ca="1" si="39"/>
        <v>42</v>
      </c>
      <c r="L142" s="3">
        <f t="shared" ca="1" si="40"/>
        <v>49</v>
      </c>
      <c r="M142" s="3">
        <f t="shared" ca="1" si="41"/>
        <v>7</v>
      </c>
      <c r="N142" s="3" t="str">
        <f t="shared" ca="1" si="42"/>
        <v>Delayed</v>
      </c>
      <c r="O142" s="3" t="str">
        <f t="shared" ca="1" si="43"/>
        <v>Medium</v>
      </c>
      <c r="P142" s="3">
        <f t="shared" ca="1" si="44"/>
        <v>9</v>
      </c>
      <c r="Q142" s="1" t="str">
        <f ca="1">VLOOKUP(D142,Routes!$A$2:$D$31,2,FALSE)</f>
        <v>Mumbai</v>
      </c>
      <c r="R142" s="1" t="str">
        <f ca="1">VLOOKUP(D142,Routes!$A$2:$D$31,3,FALSE)</f>
        <v>Bengaluru</v>
      </c>
      <c r="S142" s="3">
        <f ca="1">VLOOKUP(D142,Routes!$A$2:$D$31,4,FALSE)</f>
        <v>980</v>
      </c>
      <c r="T142" s="3" t="str">
        <f ca="1">VLOOKUP(E142,Vehicles!$A$2:$D$21,2,FALSE)</f>
        <v>Trailer</v>
      </c>
      <c r="U142" s="3">
        <f ca="1">VLOOKUP(E142,Vehicles!$A$2:$D$21,3,FALSE)</f>
        <v>32</v>
      </c>
      <c r="V142" s="3" t="str">
        <f ca="1">VLOOKUP(E142,Vehicles!$A$2:$D$21,4,FALSE)</f>
        <v>Diesel</v>
      </c>
      <c r="W142" s="3">
        <f ca="1">VLOOKUP(V142,Fuel_Rates!$A$2:$B$3,2,FALSE)</f>
        <v>95</v>
      </c>
      <c r="X142" s="3">
        <f t="shared" ca="1" si="46"/>
        <v>13.73</v>
      </c>
      <c r="Y142" s="3">
        <f t="shared" ca="1" si="47"/>
        <v>18345</v>
      </c>
      <c r="Z142" s="3" t="str">
        <f t="shared" ca="1" si="48"/>
        <v>Nov</v>
      </c>
      <c r="AA142" s="3" t="str">
        <f t="shared" ca="1" si="49"/>
        <v>Q4</v>
      </c>
      <c r="AB142" s="4" t="str">
        <f t="shared" ca="1" si="50"/>
        <v>Long Haul</v>
      </c>
    </row>
    <row r="143" spans="1:28" x14ac:dyDescent="0.3">
      <c r="A143" s="8" t="str">
        <f t="shared" si="45"/>
        <v>S0142</v>
      </c>
      <c r="B143" s="3">
        <f t="shared" ca="1" si="34"/>
        <v>45918</v>
      </c>
      <c r="C143" s="3" t="str">
        <f ca="1">INDEX(Customers!$A$2:$A$21,RANDBETWEEN(1,20))</f>
        <v>C008</v>
      </c>
      <c r="D143" s="3" t="str">
        <f ca="1">INDEX(Routes!$A$2:$A$31,RANDBETWEEN(1,30))</f>
        <v>R027</v>
      </c>
      <c r="E143" s="3" t="str">
        <f ca="1">INDEX(Vehicles!$A$2:$A$21,RANDBETWEEN(1,20))</f>
        <v>V020</v>
      </c>
      <c r="F143" s="3" t="str">
        <f ca="1">INDEX(Drivers!$A$2:$A$31,RANDBETWEEN(1,30))</f>
        <v>D014</v>
      </c>
      <c r="G143" s="3">
        <f t="shared" ca="1" si="35"/>
        <v>7.5</v>
      </c>
      <c r="H143" s="3">
        <f t="shared" ca="1" si="36"/>
        <v>23506</v>
      </c>
      <c r="I143" s="3">
        <f t="shared" ca="1" si="37"/>
        <v>6582</v>
      </c>
      <c r="J143" s="3">
        <f t="shared" ca="1" si="38"/>
        <v>1116</v>
      </c>
      <c r="K143" s="3">
        <f t="shared" ca="1" si="39"/>
        <v>18</v>
      </c>
      <c r="L143" s="3">
        <f t="shared" ca="1" si="40"/>
        <v>19</v>
      </c>
      <c r="M143" s="3">
        <f t="shared" ca="1" si="41"/>
        <v>1</v>
      </c>
      <c r="N143" s="3" t="str">
        <f t="shared" ca="1" si="42"/>
        <v>On Time</v>
      </c>
      <c r="O143" s="3" t="str">
        <f t="shared" ca="1" si="43"/>
        <v>Medium</v>
      </c>
      <c r="P143" s="3">
        <f t="shared" ca="1" si="44"/>
        <v>25</v>
      </c>
      <c r="Q143" s="1" t="str">
        <f ca="1">VLOOKUP(D143,Routes!$A$2:$D$31,2,FALSE)</f>
        <v>Patna</v>
      </c>
      <c r="R143" s="1" t="str">
        <f ca="1">VLOOKUP(D143,Routes!$A$2:$D$31,3,FALSE)</f>
        <v>Ranchi</v>
      </c>
      <c r="S143" s="3">
        <f ca="1">VLOOKUP(D143,Routes!$A$2:$D$31,4,FALSE)</f>
        <v>330</v>
      </c>
      <c r="T143" s="3" t="str">
        <f ca="1">VLOOKUP(E143,Vehicles!$A$2:$D$21,2,FALSE)</f>
        <v>Container</v>
      </c>
      <c r="U143" s="3">
        <f ca="1">VLOOKUP(E143,Vehicles!$A$2:$D$21,3,FALSE)</f>
        <v>28</v>
      </c>
      <c r="V143" s="3" t="str">
        <f ca="1">VLOOKUP(E143,Vehicles!$A$2:$D$21,4,FALSE)</f>
        <v>Diesel</v>
      </c>
      <c r="W143" s="3">
        <f ca="1">VLOOKUP(V143,Fuel_Rates!$A$2:$B$3,2,FALSE)</f>
        <v>95</v>
      </c>
      <c r="X143" s="3">
        <f t="shared" ca="1" si="46"/>
        <v>71.23</v>
      </c>
      <c r="Y143" s="3">
        <f t="shared" ca="1" si="47"/>
        <v>31204</v>
      </c>
      <c r="Z143" s="3" t="str">
        <f t="shared" ca="1" si="48"/>
        <v>Sep</v>
      </c>
      <c r="AA143" s="3" t="str">
        <f t="shared" ca="1" si="49"/>
        <v>Q3</v>
      </c>
      <c r="AB143" s="4" t="str">
        <f t="shared" ca="1" si="50"/>
        <v>Medium Haul</v>
      </c>
    </row>
    <row r="144" spans="1:28" x14ac:dyDescent="0.3">
      <c r="A144" s="8" t="str">
        <f t="shared" si="45"/>
        <v>S0143</v>
      </c>
      <c r="B144" s="3">
        <f t="shared" ca="1" si="34"/>
        <v>45768</v>
      </c>
      <c r="C144" s="3" t="str">
        <f ca="1">INDEX(Customers!$A$2:$A$21,RANDBETWEEN(1,20))</f>
        <v>C004</v>
      </c>
      <c r="D144" s="3" t="str">
        <f ca="1">INDEX(Routes!$A$2:$A$31,RANDBETWEEN(1,30))</f>
        <v>R014</v>
      </c>
      <c r="E144" s="3" t="str">
        <f ca="1">INDEX(Vehicles!$A$2:$A$21,RANDBETWEEN(1,20))</f>
        <v>V014</v>
      </c>
      <c r="F144" s="3" t="str">
        <f ca="1">INDEX(Drivers!$A$2:$A$31,RANDBETWEEN(1,30))</f>
        <v>D009</v>
      </c>
      <c r="G144" s="3">
        <f t="shared" ca="1" si="35"/>
        <v>27.8</v>
      </c>
      <c r="H144" s="3">
        <f t="shared" ca="1" si="36"/>
        <v>61184</v>
      </c>
      <c r="I144" s="3">
        <f t="shared" ca="1" si="37"/>
        <v>17132</v>
      </c>
      <c r="J144" s="3">
        <f t="shared" ca="1" si="38"/>
        <v>587</v>
      </c>
      <c r="K144" s="3">
        <f t="shared" ca="1" si="39"/>
        <v>22</v>
      </c>
      <c r="L144" s="3">
        <f t="shared" ca="1" si="40"/>
        <v>22</v>
      </c>
      <c r="M144" s="3">
        <f t="shared" ca="1" si="41"/>
        <v>0</v>
      </c>
      <c r="N144" s="3" t="str">
        <f t="shared" ca="1" si="42"/>
        <v>On Time</v>
      </c>
      <c r="O144" s="3" t="str">
        <f t="shared" ca="1" si="43"/>
        <v>Medium</v>
      </c>
      <c r="P144" s="3">
        <f t="shared" ca="1" si="44"/>
        <v>92.7</v>
      </c>
      <c r="Q144" s="1" t="str">
        <f ca="1">VLOOKUP(D144,Routes!$A$2:$D$31,2,FALSE)</f>
        <v>Hyderabad</v>
      </c>
      <c r="R144" s="1" t="str">
        <f ca="1">VLOOKUP(D144,Routes!$A$2:$D$31,3,FALSE)</f>
        <v>Nagpur</v>
      </c>
      <c r="S144" s="3">
        <f ca="1">VLOOKUP(D144,Routes!$A$2:$D$31,4,FALSE)</f>
        <v>500</v>
      </c>
      <c r="T144" s="3" t="str">
        <f ca="1">VLOOKUP(E144,Vehicles!$A$2:$D$21,2,FALSE)</f>
        <v>LCV</v>
      </c>
      <c r="U144" s="3">
        <f ca="1">VLOOKUP(E144,Vehicles!$A$2:$D$21,3,FALSE)</f>
        <v>6</v>
      </c>
      <c r="V144" s="3" t="str">
        <f ca="1">VLOOKUP(E144,Vehicles!$A$2:$D$21,4,FALSE)</f>
        <v>CNG</v>
      </c>
      <c r="W144" s="3">
        <f ca="1">VLOOKUP(V144,Fuel_Rates!$A$2:$B$3,2,FALSE)</f>
        <v>78</v>
      </c>
      <c r="X144" s="3">
        <f t="shared" ca="1" si="46"/>
        <v>122.37</v>
      </c>
      <c r="Y144" s="3">
        <f t="shared" ca="1" si="47"/>
        <v>78903</v>
      </c>
      <c r="Z144" s="3" t="str">
        <f t="shared" ca="1" si="48"/>
        <v>Apr</v>
      </c>
      <c r="AA144" s="3" t="str">
        <f t="shared" ca="1" si="49"/>
        <v>Q2</v>
      </c>
      <c r="AB144" s="4" t="str">
        <f t="shared" ca="1" si="50"/>
        <v>Medium Haul</v>
      </c>
    </row>
    <row r="145" spans="1:28" x14ac:dyDescent="0.3">
      <c r="A145" s="8" t="str">
        <f t="shared" si="45"/>
        <v>S0144</v>
      </c>
      <c r="B145" s="3">
        <f t="shared" ca="1" si="34"/>
        <v>45940</v>
      </c>
      <c r="C145" s="3" t="str">
        <f ca="1">INDEX(Customers!$A$2:$A$21,RANDBETWEEN(1,20))</f>
        <v>C016</v>
      </c>
      <c r="D145" s="3" t="str">
        <f ca="1">INDEX(Routes!$A$2:$A$31,RANDBETWEEN(1,30))</f>
        <v>R009</v>
      </c>
      <c r="E145" s="3" t="str">
        <f ca="1">INDEX(Vehicles!$A$2:$A$21,RANDBETWEEN(1,20))</f>
        <v>V004</v>
      </c>
      <c r="F145" s="3" t="str">
        <f ca="1">INDEX(Drivers!$A$2:$A$31,RANDBETWEEN(1,30))</f>
        <v>D015</v>
      </c>
      <c r="G145" s="3">
        <f t="shared" ca="1" si="35"/>
        <v>29.9</v>
      </c>
      <c r="H145" s="3">
        <f t="shared" ca="1" si="36"/>
        <v>64322</v>
      </c>
      <c r="I145" s="3">
        <f t="shared" ca="1" si="37"/>
        <v>18010</v>
      </c>
      <c r="J145" s="3">
        <f t="shared" ca="1" si="38"/>
        <v>3956</v>
      </c>
      <c r="K145" s="3">
        <f t="shared" ca="1" si="39"/>
        <v>26</v>
      </c>
      <c r="L145" s="3">
        <f t="shared" ca="1" si="40"/>
        <v>34</v>
      </c>
      <c r="M145" s="3">
        <f t="shared" ca="1" si="41"/>
        <v>8</v>
      </c>
      <c r="N145" s="3" t="str">
        <f t="shared" ca="1" si="42"/>
        <v>Delayed</v>
      </c>
      <c r="O145" s="3" t="str">
        <f t="shared" ca="1" si="43"/>
        <v>High</v>
      </c>
      <c r="P145" s="3">
        <f t="shared" ca="1" si="44"/>
        <v>99.7</v>
      </c>
      <c r="Q145" s="1" t="str">
        <f ca="1">VLOOKUP(D145,Routes!$A$2:$D$31,2,FALSE)</f>
        <v>Bengaluru</v>
      </c>
      <c r="R145" s="1" t="str">
        <f ca="1">VLOOKUP(D145,Routes!$A$2:$D$31,3,FALSE)</f>
        <v>Chennai</v>
      </c>
      <c r="S145" s="3">
        <f ca="1">VLOOKUP(D145,Routes!$A$2:$D$31,4,FALSE)</f>
        <v>350</v>
      </c>
      <c r="T145" s="3" t="str">
        <f ca="1">VLOOKUP(E145,Vehicles!$A$2:$D$21,2,FALSE)</f>
        <v>Trailer</v>
      </c>
      <c r="U145" s="3">
        <f ca="1">VLOOKUP(E145,Vehicles!$A$2:$D$21,3,FALSE)</f>
        <v>28</v>
      </c>
      <c r="V145" s="3" t="str">
        <f ca="1">VLOOKUP(E145,Vehicles!$A$2:$D$21,4,FALSE)</f>
        <v>Diesel</v>
      </c>
      <c r="W145" s="3">
        <f ca="1">VLOOKUP(V145,Fuel_Rates!$A$2:$B$3,2,FALSE)</f>
        <v>95</v>
      </c>
      <c r="X145" s="3">
        <f t="shared" ca="1" si="46"/>
        <v>183.78</v>
      </c>
      <c r="Y145" s="3">
        <f t="shared" ca="1" si="47"/>
        <v>86288</v>
      </c>
      <c r="Z145" s="3" t="str">
        <f t="shared" ca="1" si="48"/>
        <v>Oct</v>
      </c>
      <c r="AA145" s="3" t="str">
        <f t="shared" ca="1" si="49"/>
        <v>Q4</v>
      </c>
      <c r="AB145" s="4" t="str">
        <f t="shared" ca="1" si="50"/>
        <v>Medium Haul</v>
      </c>
    </row>
    <row r="146" spans="1:28" x14ac:dyDescent="0.3">
      <c r="A146" s="8" t="str">
        <f t="shared" si="45"/>
        <v>S0145</v>
      </c>
      <c r="B146" s="3">
        <f t="shared" ca="1" si="34"/>
        <v>45982</v>
      </c>
      <c r="C146" s="3" t="str">
        <f ca="1">INDEX(Customers!$A$2:$A$21,RANDBETWEEN(1,20))</f>
        <v>C017</v>
      </c>
      <c r="D146" s="3" t="str">
        <f ca="1">INDEX(Routes!$A$2:$A$31,RANDBETWEEN(1,30))</f>
        <v>R016</v>
      </c>
      <c r="E146" s="3" t="str">
        <f ca="1">INDEX(Vehicles!$A$2:$A$21,RANDBETWEEN(1,20))</f>
        <v>V009</v>
      </c>
      <c r="F146" s="3" t="str">
        <f ca="1">INDEX(Drivers!$A$2:$A$31,RANDBETWEEN(1,30))</f>
        <v>D015</v>
      </c>
      <c r="G146" s="3">
        <f t="shared" ca="1" si="35"/>
        <v>7.3</v>
      </c>
      <c r="H146" s="3">
        <f t="shared" ca="1" si="36"/>
        <v>18909</v>
      </c>
      <c r="I146" s="3">
        <f t="shared" ca="1" si="37"/>
        <v>5295</v>
      </c>
      <c r="J146" s="3">
        <f t="shared" ca="1" si="38"/>
        <v>3881</v>
      </c>
      <c r="K146" s="3">
        <f t="shared" ca="1" si="39"/>
        <v>40</v>
      </c>
      <c r="L146" s="3">
        <f t="shared" ca="1" si="40"/>
        <v>40</v>
      </c>
      <c r="M146" s="3">
        <f t="shared" ca="1" si="41"/>
        <v>0</v>
      </c>
      <c r="N146" s="3" t="str">
        <f t="shared" ca="1" si="42"/>
        <v>On Time</v>
      </c>
      <c r="O146" s="3" t="str">
        <f t="shared" ca="1" si="43"/>
        <v>Low</v>
      </c>
      <c r="P146" s="3">
        <f t="shared" ca="1" si="44"/>
        <v>24.3</v>
      </c>
      <c r="Q146" s="1" t="str">
        <f ca="1">VLOOKUP(D146,Routes!$A$2:$D$31,2,FALSE)</f>
        <v>Kolkata</v>
      </c>
      <c r="R146" s="1" t="str">
        <f ca="1">VLOOKUP(D146,Routes!$A$2:$D$31,3,FALSE)</f>
        <v>Bhubaneswar</v>
      </c>
      <c r="S146" s="3">
        <f ca="1">VLOOKUP(D146,Routes!$A$2:$D$31,4,FALSE)</f>
        <v>440</v>
      </c>
      <c r="T146" s="3" t="str">
        <f ca="1">VLOOKUP(E146,Vehicles!$A$2:$D$21,2,FALSE)</f>
        <v>LCV</v>
      </c>
      <c r="U146" s="3">
        <f ca="1">VLOOKUP(E146,Vehicles!$A$2:$D$21,3,FALSE)</f>
        <v>5</v>
      </c>
      <c r="V146" s="3" t="str">
        <f ca="1">VLOOKUP(E146,Vehicles!$A$2:$D$21,4,FALSE)</f>
        <v>Diesel</v>
      </c>
      <c r="W146" s="3">
        <f ca="1">VLOOKUP(V146,Fuel_Rates!$A$2:$B$3,2,FALSE)</f>
        <v>95</v>
      </c>
      <c r="X146" s="3">
        <f t="shared" ca="1" si="46"/>
        <v>42.98</v>
      </c>
      <c r="Y146" s="3">
        <f t="shared" ca="1" si="47"/>
        <v>28085</v>
      </c>
      <c r="Z146" s="3" t="str">
        <f t="shared" ca="1" si="48"/>
        <v>Nov</v>
      </c>
      <c r="AA146" s="3" t="str">
        <f t="shared" ca="1" si="49"/>
        <v>Q4</v>
      </c>
      <c r="AB146" s="4" t="str">
        <f t="shared" ca="1" si="50"/>
        <v>Medium Haul</v>
      </c>
    </row>
    <row r="147" spans="1:28" x14ac:dyDescent="0.3">
      <c r="A147" s="8" t="str">
        <f t="shared" si="45"/>
        <v>S0146</v>
      </c>
      <c r="B147" s="3">
        <f t="shared" ca="1" si="34"/>
        <v>45743</v>
      </c>
      <c r="C147" s="3" t="str">
        <f ca="1">INDEX(Customers!$A$2:$A$21,RANDBETWEEN(1,20))</f>
        <v>C009</v>
      </c>
      <c r="D147" s="3" t="str">
        <f ca="1">INDEX(Routes!$A$2:$A$31,RANDBETWEEN(1,30))</f>
        <v>R017</v>
      </c>
      <c r="E147" s="3" t="str">
        <f ca="1">INDEX(Vehicles!$A$2:$A$21,RANDBETWEEN(1,20))</f>
        <v>V011</v>
      </c>
      <c r="F147" s="3" t="str">
        <f ca="1">INDEX(Drivers!$A$2:$A$31,RANDBETWEEN(1,30))</f>
        <v>D025</v>
      </c>
      <c r="G147" s="3">
        <f t="shared" ca="1" si="35"/>
        <v>6.1</v>
      </c>
      <c r="H147" s="3">
        <f t="shared" ca="1" si="36"/>
        <v>20272</v>
      </c>
      <c r="I147" s="3">
        <f t="shared" ca="1" si="37"/>
        <v>5676</v>
      </c>
      <c r="J147" s="3">
        <f t="shared" ca="1" si="38"/>
        <v>1596</v>
      </c>
      <c r="K147" s="3">
        <f t="shared" ca="1" si="39"/>
        <v>25</v>
      </c>
      <c r="L147" s="3">
        <f t="shared" ca="1" si="40"/>
        <v>31</v>
      </c>
      <c r="M147" s="3">
        <f t="shared" ca="1" si="41"/>
        <v>6</v>
      </c>
      <c r="N147" s="3" t="str">
        <f t="shared" ca="1" si="42"/>
        <v>Delayed</v>
      </c>
      <c r="O147" s="3" t="str">
        <f t="shared" ca="1" si="43"/>
        <v>High</v>
      </c>
      <c r="P147" s="3">
        <f t="shared" ca="1" si="44"/>
        <v>20.3</v>
      </c>
      <c r="Q147" s="1" t="str">
        <f ca="1">VLOOKUP(D147,Routes!$A$2:$D$31,2,FALSE)</f>
        <v>Kolkata</v>
      </c>
      <c r="R147" s="1" t="str">
        <f ca="1">VLOOKUP(D147,Routes!$A$2:$D$31,3,FALSE)</f>
        <v>Patna</v>
      </c>
      <c r="S147" s="3">
        <f ca="1">VLOOKUP(D147,Routes!$A$2:$D$31,4,FALSE)</f>
        <v>620</v>
      </c>
      <c r="T147" s="3" t="str">
        <f ca="1">VLOOKUP(E147,Vehicles!$A$2:$D$21,2,FALSE)</f>
        <v>Truck</v>
      </c>
      <c r="U147" s="3">
        <f ca="1">VLOOKUP(E147,Vehicles!$A$2:$D$21,3,FALSE)</f>
        <v>18</v>
      </c>
      <c r="V147" s="3" t="str">
        <f ca="1">VLOOKUP(E147,Vehicles!$A$2:$D$21,4,FALSE)</f>
        <v>CNG</v>
      </c>
      <c r="W147" s="3">
        <f ca="1">VLOOKUP(V147,Fuel_Rates!$A$2:$B$3,2,FALSE)</f>
        <v>78</v>
      </c>
      <c r="X147" s="3">
        <f t="shared" ca="1" si="46"/>
        <v>32.700000000000003</v>
      </c>
      <c r="Y147" s="3">
        <f t="shared" ca="1" si="47"/>
        <v>27544</v>
      </c>
      <c r="Z147" s="3" t="str">
        <f t="shared" ca="1" si="48"/>
        <v>Mar</v>
      </c>
      <c r="AA147" s="3" t="str">
        <f t="shared" ca="1" si="49"/>
        <v>Q1</v>
      </c>
      <c r="AB147" s="4" t="str">
        <f t="shared" ca="1" si="50"/>
        <v>Medium Haul</v>
      </c>
    </row>
    <row r="148" spans="1:28" x14ac:dyDescent="0.3">
      <c r="A148" s="8" t="str">
        <f t="shared" si="45"/>
        <v>S0147</v>
      </c>
      <c r="B148" s="3">
        <f t="shared" ca="1" si="34"/>
        <v>45958</v>
      </c>
      <c r="C148" s="3" t="str">
        <f ca="1">INDEX(Customers!$A$2:$A$21,RANDBETWEEN(1,20))</f>
        <v>C018</v>
      </c>
      <c r="D148" s="3" t="str">
        <f ca="1">INDEX(Routes!$A$2:$A$31,RANDBETWEEN(1,30))</f>
        <v>R001</v>
      </c>
      <c r="E148" s="3" t="str">
        <f ca="1">INDEX(Vehicles!$A$2:$A$21,RANDBETWEEN(1,20))</f>
        <v>V005</v>
      </c>
      <c r="F148" s="3" t="str">
        <f ca="1">INDEX(Drivers!$A$2:$A$31,RANDBETWEEN(1,30))</f>
        <v>D011</v>
      </c>
      <c r="G148" s="3">
        <f t="shared" ca="1" si="35"/>
        <v>4.8</v>
      </c>
      <c r="H148" s="3">
        <f t="shared" ca="1" si="36"/>
        <v>22392</v>
      </c>
      <c r="I148" s="3">
        <f t="shared" ca="1" si="37"/>
        <v>6270</v>
      </c>
      <c r="J148" s="3">
        <f t="shared" ca="1" si="38"/>
        <v>2282</v>
      </c>
      <c r="K148" s="3">
        <f t="shared" ca="1" si="39"/>
        <v>31</v>
      </c>
      <c r="L148" s="3">
        <f t="shared" ca="1" si="40"/>
        <v>31</v>
      </c>
      <c r="M148" s="3">
        <f t="shared" ca="1" si="41"/>
        <v>0</v>
      </c>
      <c r="N148" s="3" t="str">
        <f t="shared" ca="1" si="42"/>
        <v>On Time</v>
      </c>
      <c r="O148" s="3" t="str">
        <f t="shared" ca="1" si="43"/>
        <v>High</v>
      </c>
      <c r="P148" s="3">
        <f t="shared" ca="1" si="44"/>
        <v>16</v>
      </c>
      <c r="Q148" s="1" t="str">
        <f ca="1">VLOOKUP(D148,Routes!$A$2:$D$31,2,FALSE)</f>
        <v>Mumbai</v>
      </c>
      <c r="R148" s="1" t="str">
        <f ca="1">VLOOKUP(D148,Routes!$A$2:$D$31,3,FALSE)</f>
        <v>Pune</v>
      </c>
      <c r="S148" s="3">
        <f ca="1">VLOOKUP(D148,Routes!$A$2:$D$31,4,FALSE)</f>
        <v>150</v>
      </c>
      <c r="T148" s="3" t="str">
        <f ca="1">VLOOKUP(E148,Vehicles!$A$2:$D$21,2,FALSE)</f>
        <v>Trailer</v>
      </c>
      <c r="U148" s="3">
        <f ca="1">VLOOKUP(E148,Vehicles!$A$2:$D$21,3,FALSE)</f>
        <v>32</v>
      </c>
      <c r="V148" s="3" t="str">
        <f ca="1">VLOOKUP(E148,Vehicles!$A$2:$D$21,4,FALSE)</f>
        <v>Diesel</v>
      </c>
      <c r="W148" s="3">
        <f ca="1">VLOOKUP(V148,Fuel_Rates!$A$2:$B$3,2,FALSE)</f>
        <v>95</v>
      </c>
      <c r="X148" s="3">
        <f t="shared" ca="1" si="46"/>
        <v>149.28</v>
      </c>
      <c r="Y148" s="3">
        <f t="shared" ca="1" si="47"/>
        <v>30944</v>
      </c>
      <c r="Z148" s="3" t="str">
        <f t="shared" ca="1" si="48"/>
        <v>Oct</v>
      </c>
      <c r="AA148" s="3" t="str">
        <f t="shared" ca="1" si="49"/>
        <v>Q4</v>
      </c>
      <c r="AB148" s="4" t="str">
        <f t="shared" ca="1" si="50"/>
        <v>Short Haul</v>
      </c>
    </row>
    <row r="149" spans="1:28" x14ac:dyDescent="0.3">
      <c r="A149" s="8" t="str">
        <f t="shared" si="45"/>
        <v>S0148</v>
      </c>
      <c r="B149" s="3">
        <f t="shared" ca="1" si="34"/>
        <v>45724</v>
      </c>
      <c r="C149" s="3" t="str">
        <f ca="1">INDEX(Customers!$A$2:$A$21,RANDBETWEEN(1,20))</f>
        <v>C011</v>
      </c>
      <c r="D149" s="3" t="str">
        <f ca="1">INDEX(Routes!$A$2:$A$31,RANDBETWEEN(1,30))</f>
        <v>R001</v>
      </c>
      <c r="E149" s="3" t="str">
        <f ca="1">INDEX(Vehicles!$A$2:$A$21,RANDBETWEEN(1,20))</f>
        <v>V005</v>
      </c>
      <c r="F149" s="3" t="str">
        <f ca="1">INDEX(Drivers!$A$2:$A$31,RANDBETWEEN(1,30))</f>
        <v>D017</v>
      </c>
      <c r="G149" s="3">
        <f t="shared" ca="1" si="35"/>
        <v>27.6</v>
      </c>
      <c r="H149" s="3">
        <f t="shared" ca="1" si="36"/>
        <v>59375</v>
      </c>
      <c r="I149" s="3">
        <f t="shared" ca="1" si="37"/>
        <v>16625</v>
      </c>
      <c r="J149" s="3">
        <f t="shared" ca="1" si="38"/>
        <v>1757</v>
      </c>
      <c r="K149" s="3">
        <f t="shared" ca="1" si="39"/>
        <v>38</v>
      </c>
      <c r="L149" s="3">
        <f t="shared" ca="1" si="40"/>
        <v>41</v>
      </c>
      <c r="M149" s="3">
        <f t="shared" ca="1" si="41"/>
        <v>3</v>
      </c>
      <c r="N149" s="3" t="str">
        <f t="shared" ca="1" si="42"/>
        <v>Delayed</v>
      </c>
      <c r="O149" s="3" t="str">
        <f t="shared" ca="1" si="43"/>
        <v>Low</v>
      </c>
      <c r="P149" s="3">
        <f t="shared" ca="1" si="44"/>
        <v>92</v>
      </c>
      <c r="Q149" s="1" t="str">
        <f ca="1">VLOOKUP(D149,Routes!$A$2:$D$31,2,FALSE)</f>
        <v>Mumbai</v>
      </c>
      <c r="R149" s="1" t="str">
        <f ca="1">VLOOKUP(D149,Routes!$A$2:$D$31,3,FALSE)</f>
        <v>Pune</v>
      </c>
      <c r="S149" s="3">
        <f ca="1">VLOOKUP(D149,Routes!$A$2:$D$31,4,FALSE)</f>
        <v>150</v>
      </c>
      <c r="T149" s="3" t="str">
        <f ca="1">VLOOKUP(E149,Vehicles!$A$2:$D$21,2,FALSE)</f>
        <v>Trailer</v>
      </c>
      <c r="U149" s="3">
        <f ca="1">VLOOKUP(E149,Vehicles!$A$2:$D$21,3,FALSE)</f>
        <v>32</v>
      </c>
      <c r="V149" s="3" t="str">
        <f ca="1">VLOOKUP(E149,Vehicles!$A$2:$D$21,4,FALSE)</f>
        <v>Diesel</v>
      </c>
      <c r="W149" s="3">
        <f ca="1">VLOOKUP(V149,Fuel_Rates!$A$2:$B$3,2,FALSE)</f>
        <v>95</v>
      </c>
      <c r="X149" s="3">
        <f t="shared" ca="1" si="46"/>
        <v>395.83</v>
      </c>
      <c r="Y149" s="3">
        <f t="shared" ca="1" si="47"/>
        <v>77757</v>
      </c>
      <c r="Z149" s="3" t="str">
        <f t="shared" ca="1" si="48"/>
        <v>Mar</v>
      </c>
      <c r="AA149" s="3" t="str">
        <f t="shared" ca="1" si="49"/>
        <v>Q1</v>
      </c>
      <c r="AB149" s="4" t="str">
        <f t="shared" ca="1" si="50"/>
        <v>Short Haul</v>
      </c>
    </row>
    <row r="150" spans="1:28" x14ac:dyDescent="0.3">
      <c r="A150" s="8" t="str">
        <f t="shared" si="45"/>
        <v>S0149</v>
      </c>
      <c r="B150" s="3">
        <f t="shared" ca="1" si="34"/>
        <v>45826</v>
      </c>
      <c r="C150" s="3" t="str">
        <f ca="1">INDEX(Customers!$A$2:$A$21,RANDBETWEEN(1,20))</f>
        <v>C012</v>
      </c>
      <c r="D150" s="3" t="str">
        <f ca="1">INDEX(Routes!$A$2:$A$31,RANDBETWEEN(1,30))</f>
        <v>R020</v>
      </c>
      <c r="E150" s="3" t="str">
        <f ca="1">INDEX(Vehicles!$A$2:$A$21,RANDBETWEEN(1,20))</f>
        <v>V001</v>
      </c>
      <c r="F150" s="3" t="str">
        <f ca="1">INDEX(Drivers!$A$2:$A$31,RANDBETWEEN(1,30))</f>
        <v>D009</v>
      </c>
      <c r="G150" s="3">
        <f t="shared" ca="1" si="35"/>
        <v>20.5</v>
      </c>
      <c r="H150" s="3">
        <f t="shared" ca="1" si="36"/>
        <v>51822</v>
      </c>
      <c r="I150" s="3">
        <f t="shared" ca="1" si="37"/>
        <v>14510</v>
      </c>
      <c r="J150" s="3">
        <f t="shared" ca="1" si="38"/>
        <v>629</v>
      </c>
      <c r="K150" s="3">
        <f t="shared" ca="1" si="39"/>
        <v>28</v>
      </c>
      <c r="L150" s="3">
        <f t="shared" ca="1" si="40"/>
        <v>35</v>
      </c>
      <c r="M150" s="3">
        <f t="shared" ca="1" si="41"/>
        <v>7</v>
      </c>
      <c r="N150" s="3" t="str">
        <f t="shared" ca="1" si="42"/>
        <v>Delayed</v>
      </c>
      <c r="O150" s="3" t="str">
        <f t="shared" ca="1" si="43"/>
        <v>Low</v>
      </c>
      <c r="P150" s="3">
        <f t="shared" ca="1" si="44"/>
        <v>68.3</v>
      </c>
      <c r="Q150" s="1" t="str">
        <f ca="1">VLOOKUP(D150,Routes!$A$2:$D$31,2,FALSE)</f>
        <v>Pune</v>
      </c>
      <c r="R150" s="1" t="str">
        <f ca="1">VLOOKUP(D150,Routes!$A$2:$D$31,3,FALSE)</f>
        <v>Nagpur</v>
      </c>
      <c r="S150" s="3">
        <f ca="1">VLOOKUP(D150,Routes!$A$2:$D$31,4,FALSE)</f>
        <v>720</v>
      </c>
      <c r="T150" s="3" t="str">
        <f ca="1">VLOOKUP(E150,Vehicles!$A$2:$D$21,2,FALSE)</f>
        <v>Truck</v>
      </c>
      <c r="U150" s="3">
        <f ca="1">VLOOKUP(E150,Vehicles!$A$2:$D$21,3,FALSE)</f>
        <v>16</v>
      </c>
      <c r="V150" s="3" t="str">
        <f ca="1">VLOOKUP(E150,Vehicles!$A$2:$D$21,4,FALSE)</f>
        <v>Diesel</v>
      </c>
      <c r="W150" s="3">
        <f ca="1">VLOOKUP(V150,Fuel_Rates!$A$2:$B$3,2,FALSE)</f>
        <v>95</v>
      </c>
      <c r="X150" s="3">
        <f t="shared" ca="1" si="46"/>
        <v>71.98</v>
      </c>
      <c r="Y150" s="3">
        <f t="shared" ca="1" si="47"/>
        <v>66961</v>
      </c>
      <c r="Z150" s="3" t="str">
        <f t="shared" ca="1" si="48"/>
        <v>Jun</v>
      </c>
      <c r="AA150" s="3" t="str">
        <f t="shared" ca="1" si="49"/>
        <v>Q2</v>
      </c>
      <c r="AB150" s="4" t="str">
        <f t="shared" ca="1" si="50"/>
        <v>Medium Haul</v>
      </c>
    </row>
    <row r="151" spans="1:28" x14ac:dyDescent="0.3">
      <c r="A151" s="8" t="str">
        <f t="shared" si="45"/>
        <v>S0150</v>
      </c>
      <c r="B151" s="3">
        <f t="shared" ca="1" si="34"/>
        <v>45694</v>
      </c>
      <c r="C151" s="3" t="str">
        <f ca="1">INDEX(Customers!$A$2:$A$21,RANDBETWEEN(1,20))</f>
        <v>C001</v>
      </c>
      <c r="D151" s="3" t="str">
        <f ca="1">INDEX(Routes!$A$2:$A$31,RANDBETWEEN(1,30))</f>
        <v>R013</v>
      </c>
      <c r="E151" s="3" t="str">
        <f ca="1">INDEX(Vehicles!$A$2:$A$21,RANDBETWEEN(1,20))</f>
        <v>V016</v>
      </c>
      <c r="F151" s="3" t="str">
        <f ca="1">INDEX(Drivers!$A$2:$A$31,RANDBETWEEN(1,30))</f>
        <v>D007</v>
      </c>
      <c r="G151" s="3">
        <f t="shared" ca="1" si="35"/>
        <v>24.4</v>
      </c>
      <c r="H151" s="3">
        <f t="shared" ca="1" si="36"/>
        <v>53432</v>
      </c>
      <c r="I151" s="3">
        <f t="shared" ca="1" si="37"/>
        <v>14961</v>
      </c>
      <c r="J151" s="3">
        <f t="shared" ca="1" si="38"/>
        <v>2827</v>
      </c>
      <c r="K151" s="3">
        <f t="shared" ca="1" si="39"/>
        <v>23</v>
      </c>
      <c r="L151" s="3">
        <f t="shared" ca="1" si="40"/>
        <v>26</v>
      </c>
      <c r="M151" s="3">
        <f t="shared" ca="1" si="41"/>
        <v>3</v>
      </c>
      <c r="N151" s="3" t="str">
        <f t="shared" ca="1" si="42"/>
        <v>Delayed</v>
      </c>
      <c r="O151" s="3" t="str">
        <f t="shared" ca="1" si="43"/>
        <v>Medium</v>
      </c>
      <c r="P151" s="3">
        <f t="shared" ca="1" si="44"/>
        <v>81.3</v>
      </c>
      <c r="Q151" s="1" t="str">
        <f ca="1">VLOOKUP(D151,Routes!$A$2:$D$31,2,FALSE)</f>
        <v>Chennai</v>
      </c>
      <c r="R151" s="1" t="str">
        <f ca="1">VLOOKUP(D151,Routes!$A$2:$D$31,3,FALSE)</f>
        <v>Hyderabad</v>
      </c>
      <c r="S151" s="3">
        <f ca="1">VLOOKUP(D151,Routes!$A$2:$D$31,4,FALSE)</f>
        <v>630</v>
      </c>
      <c r="T151" s="3" t="str">
        <f ca="1">VLOOKUP(E151,Vehicles!$A$2:$D$21,2,FALSE)</f>
        <v>Container</v>
      </c>
      <c r="U151" s="3">
        <f ca="1">VLOOKUP(E151,Vehicles!$A$2:$D$21,3,FALSE)</f>
        <v>22</v>
      </c>
      <c r="V151" s="3" t="str">
        <f ca="1">VLOOKUP(E151,Vehicles!$A$2:$D$21,4,FALSE)</f>
        <v>Diesel</v>
      </c>
      <c r="W151" s="3">
        <f ca="1">VLOOKUP(V151,Fuel_Rates!$A$2:$B$3,2,FALSE)</f>
        <v>95</v>
      </c>
      <c r="X151" s="3">
        <f t="shared" ca="1" si="46"/>
        <v>84.81</v>
      </c>
      <c r="Y151" s="3">
        <f t="shared" ca="1" si="47"/>
        <v>71220</v>
      </c>
      <c r="Z151" s="3" t="str">
        <f t="shared" ca="1" si="48"/>
        <v>Feb</v>
      </c>
      <c r="AA151" s="3" t="str">
        <f t="shared" ca="1" si="49"/>
        <v>Q1</v>
      </c>
      <c r="AB151" s="4" t="str">
        <f t="shared" ca="1" si="50"/>
        <v>Medium Haul</v>
      </c>
    </row>
    <row r="152" spans="1:28" x14ac:dyDescent="0.3">
      <c r="A152" s="8" t="str">
        <f t="shared" si="45"/>
        <v>S0151</v>
      </c>
      <c r="B152" s="3">
        <f t="shared" ca="1" si="34"/>
        <v>45955</v>
      </c>
      <c r="C152" s="3" t="str">
        <f ca="1">INDEX(Customers!$A$2:$A$21,RANDBETWEEN(1,20))</f>
        <v>C007</v>
      </c>
      <c r="D152" s="3" t="str">
        <f ca="1">INDEX(Routes!$A$2:$A$31,RANDBETWEEN(1,30))</f>
        <v>R025</v>
      </c>
      <c r="E152" s="3" t="str">
        <f ca="1">INDEX(Vehicles!$A$2:$A$21,RANDBETWEEN(1,20))</f>
        <v>V010</v>
      </c>
      <c r="F152" s="3" t="str">
        <f ca="1">INDEX(Drivers!$A$2:$A$31,RANDBETWEEN(1,30))</f>
        <v>D019</v>
      </c>
      <c r="G152" s="3">
        <f t="shared" ca="1" si="35"/>
        <v>4.5999999999999996</v>
      </c>
      <c r="H152" s="3">
        <f t="shared" ca="1" si="36"/>
        <v>13477</v>
      </c>
      <c r="I152" s="3">
        <f t="shared" ca="1" si="37"/>
        <v>3774</v>
      </c>
      <c r="J152" s="3">
        <f t="shared" ca="1" si="38"/>
        <v>865</v>
      </c>
      <c r="K152" s="3">
        <f t="shared" ca="1" si="39"/>
        <v>29</v>
      </c>
      <c r="L152" s="3">
        <f t="shared" ca="1" si="40"/>
        <v>29</v>
      </c>
      <c r="M152" s="3">
        <f t="shared" ca="1" si="41"/>
        <v>0</v>
      </c>
      <c r="N152" s="3" t="str">
        <f t="shared" ca="1" si="42"/>
        <v>On Time</v>
      </c>
      <c r="O152" s="3" t="str">
        <f t="shared" ca="1" si="43"/>
        <v>Medium</v>
      </c>
      <c r="P152" s="3">
        <f t="shared" ca="1" si="44"/>
        <v>15.3</v>
      </c>
      <c r="Q152" s="1" t="str">
        <f ca="1">VLOOKUP(D152,Routes!$A$2:$D$31,2,FALSE)</f>
        <v>Visakhapatnam</v>
      </c>
      <c r="R152" s="1" t="str">
        <f ca="1">VLOOKUP(D152,Routes!$A$2:$D$31,3,FALSE)</f>
        <v>Hyderabad</v>
      </c>
      <c r="S152" s="3">
        <f ca="1">VLOOKUP(D152,Routes!$A$2:$D$31,4,FALSE)</f>
        <v>620</v>
      </c>
      <c r="T152" s="3" t="str">
        <f ca="1">VLOOKUP(E152,Vehicles!$A$2:$D$21,2,FALSE)</f>
        <v>LCV</v>
      </c>
      <c r="U152" s="3">
        <f ca="1">VLOOKUP(E152,Vehicles!$A$2:$D$21,3,FALSE)</f>
        <v>7</v>
      </c>
      <c r="V152" s="3" t="str">
        <f ca="1">VLOOKUP(E152,Vehicles!$A$2:$D$21,4,FALSE)</f>
        <v>Diesel</v>
      </c>
      <c r="W152" s="3">
        <f ca="1">VLOOKUP(V152,Fuel_Rates!$A$2:$B$3,2,FALSE)</f>
        <v>95</v>
      </c>
      <c r="X152" s="3">
        <f t="shared" ca="1" si="46"/>
        <v>21.74</v>
      </c>
      <c r="Y152" s="3">
        <f t="shared" ca="1" si="47"/>
        <v>18116</v>
      </c>
      <c r="Z152" s="3" t="str">
        <f t="shared" ca="1" si="48"/>
        <v>Oct</v>
      </c>
      <c r="AA152" s="3" t="str">
        <f t="shared" ca="1" si="49"/>
        <v>Q4</v>
      </c>
      <c r="AB152" s="4" t="str">
        <f t="shared" ca="1" si="50"/>
        <v>Medium Haul</v>
      </c>
    </row>
    <row r="153" spans="1:28" x14ac:dyDescent="0.3">
      <c r="A153" s="8" t="str">
        <f t="shared" si="45"/>
        <v>S0152</v>
      </c>
      <c r="B153" s="3">
        <f t="shared" ca="1" si="34"/>
        <v>45993</v>
      </c>
      <c r="C153" s="3" t="str">
        <f ca="1">INDEX(Customers!$A$2:$A$21,RANDBETWEEN(1,20))</f>
        <v>C005</v>
      </c>
      <c r="D153" s="3" t="str">
        <f ca="1">INDEX(Routes!$A$2:$A$31,RANDBETWEEN(1,30))</f>
        <v>R015</v>
      </c>
      <c r="E153" s="3" t="str">
        <f ca="1">INDEX(Vehicles!$A$2:$A$21,RANDBETWEEN(1,20))</f>
        <v>V006</v>
      </c>
      <c r="F153" s="3" t="str">
        <f ca="1">INDEX(Drivers!$A$2:$A$31,RANDBETWEEN(1,30))</f>
        <v>D011</v>
      </c>
      <c r="G153" s="3">
        <f t="shared" ca="1" si="35"/>
        <v>17</v>
      </c>
      <c r="H153" s="3">
        <f t="shared" ca="1" si="36"/>
        <v>43126</v>
      </c>
      <c r="I153" s="3">
        <f t="shared" ca="1" si="37"/>
        <v>12075</v>
      </c>
      <c r="J153" s="3">
        <f t="shared" ca="1" si="38"/>
        <v>984</v>
      </c>
      <c r="K153" s="3">
        <f t="shared" ca="1" si="39"/>
        <v>23</v>
      </c>
      <c r="L153" s="3">
        <f t="shared" ca="1" si="40"/>
        <v>31</v>
      </c>
      <c r="M153" s="3">
        <f t="shared" ca="1" si="41"/>
        <v>8</v>
      </c>
      <c r="N153" s="3" t="str">
        <f t="shared" ca="1" si="42"/>
        <v>Delayed</v>
      </c>
      <c r="O153" s="3" t="str">
        <f t="shared" ca="1" si="43"/>
        <v>Medium</v>
      </c>
      <c r="P153" s="3">
        <f t="shared" ca="1" si="44"/>
        <v>56.7</v>
      </c>
      <c r="Q153" s="1" t="str">
        <f ca="1">VLOOKUP(D153,Routes!$A$2:$D$31,2,FALSE)</f>
        <v>Hyderabad</v>
      </c>
      <c r="R153" s="1" t="str">
        <f ca="1">VLOOKUP(D153,Routes!$A$2:$D$31,3,FALSE)</f>
        <v>Pune</v>
      </c>
      <c r="S153" s="3">
        <f ca="1">VLOOKUP(D153,Routes!$A$2:$D$31,4,FALSE)</f>
        <v>560</v>
      </c>
      <c r="T153" s="3" t="str">
        <f ca="1">VLOOKUP(E153,Vehicles!$A$2:$D$21,2,FALSE)</f>
        <v>Container</v>
      </c>
      <c r="U153" s="3">
        <f ca="1">VLOOKUP(E153,Vehicles!$A$2:$D$21,3,FALSE)</f>
        <v>18</v>
      </c>
      <c r="V153" s="3" t="str">
        <f ca="1">VLOOKUP(E153,Vehicles!$A$2:$D$21,4,FALSE)</f>
        <v>Diesel</v>
      </c>
      <c r="W153" s="3">
        <f ca="1">VLOOKUP(V153,Fuel_Rates!$A$2:$B$3,2,FALSE)</f>
        <v>95</v>
      </c>
      <c r="X153" s="3">
        <f t="shared" ca="1" si="46"/>
        <v>77.010000000000005</v>
      </c>
      <c r="Y153" s="3">
        <f t="shared" ca="1" si="47"/>
        <v>56185</v>
      </c>
      <c r="Z153" s="3" t="str">
        <f t="shared" ca="1" si="48"/>
        <v>Dec</v>
      </c>
      <c r="AA153" s="3" t="str">
        <f t="shared" ca="1" si="49"/>
        <v>Q4</v>
      </c>
      <c r="AB153" s="4" t="str">
        <f t="shared" ca="1" si="50"/>
        <v>Medium Haul</v>
      </c>
    </row>
    <row r="154" spans="1:28" x14ac:dyDescent="0.3">
      <c r="A154" s="8" t="str">
        <f t="shared" si="45"/>
        <v>S0153</v>
      </c>
      <c r="B154" s="3">
        <f t="shared" ca="1" si="34"/>
        <v>45958</v>
      </c>
      <c r="C154" s="3" t="str">
        <f ca="1">INDEX(Customers!$A$2:$A$21,RANDBETWEEN(1,20))</f>
        <v>C003</v>
      </c>
      <c r="D154" s="3" t="str">
        <f ca="1">INDEX(Routes!$A$2:$A$31,RANDBETWEEN(1,30))</f>
        <v>R006</v>
      </c>
      <c r="E154" s="3" t="str">
        <f ca="1">INDEX(Vehicles!$A$2:$A$21,RANDBETWEEN(1,20))</f>
        <v>V017</v>
      </c>
      <c r="F154" s="3" t="str">
        <f ca="1">INDEX(Drivers!$A$2:$A$31,RANDBETWEEN(1,30))</f>
        <v>D027</v>
      </c>
      <c r="G154" s="3">
        <f t="shared" ca="1" si="35"/>
        <v>17.600000000000001</v>
      </c>
      <c r="H154" s="3">
        <f t="shared" ca="1" si="36"/>
        <v>40705</v>
      </c>
      <c r="I154" s="3">
        <f t="shared" ca="1" si="37"/>
        <v>11397</v>
      </c>
      <c r="J154" s="3">
        <f t="shared" ca="1" si="38"/>
        <v>1365</v>
      </c>
      <c r="K154" s="3">
        <f t="shared" ca="1" si="39"/>
        <v>13</v>
      </c>
      <c r="L154" s="3">
        <f t="shared" ca="1" si="40"/>
        <v>19</v>
      </c>
      <c r="M154" s="3">
        <f t="shared" ca="1" si="41"/>
        <v>6</v>
      </c>
      <c r="N154" s="3" t="str">
        <f t="shared" ca="1" si="42"/>
        <v>Delayed</v>
      </c>
      <c r="O154" s="3" t="str">
        <f t="shared" ca="1" si="43"/>
        <v>Low</v>
      </c>
      <c r="P154" s="3">
        <f t="shared" ca="1" si="44"/>
        <v>58.7</v>
      </c>
      <c r="Q154" s="1" t="str">
        <f ca="1">VLOOKUP(D154,Routes!$A$2:$D$31,2,FALSE)</f>
        <v>Delhi</v>
      </c>
      <c r="R154" s="1" t="str">
        <f ca="1">VLOOKUP(D154,Routes!$A$2:$D$31,3,FALSE)</f>
        <v>Lucknow</v>
      </c>
      <c r="S154" s="3">
        <f ca="1">VLOOKUP(D154,Routes!$A$2:$D$31,4,FALSE)</f>
        <v>550</v>
      </c>
      <c r="T154" s="3" t="str">
        <f ca="1">VLOOKUP(E154,Vehicles!$A$2:$D$21,2,FALSE)</f>
        <v>Truck</v>
      </c>
      <c r="U154" s="3">
        <f ca="1">VLOOKUP(E154,Vehicles!$A$2:$D$21,3,FALSE)</f>
        <v>24</v>
      </c>
      <c r="V154" s="3" t="str">
        <f ca="1">VLOOKUP(E154,Vehicles!$A$2:$D$21,4,FALSE)</f>
        <v>Diesel</v>
      </c>
      <c r="W154" s="3">
        <f ca="1">VLOOKUP(V154,Fuel_Rates!$A$2:$B$3,2,FALSE)</f>
        <v>95</v>
      </c>
      <c r="X154" s="3">
        <f t="shared" ca="1" si="46"/>
        <v>74.010000000000005</v>
      </c>
      <c r="Y154" s="3">
        <f t="shared" ca="1" si="47"/>
        <v>53467</v>
      </c>
      <c r="Z154" s="3" t="str">
        <f t="shared" ca="1" si="48"/>
        <v>Oct</v>
      </c>
      <c r="AA154" s="3" t="str">
        <f t="shared" ca="1" si="49"/>
        <v>Q4</v>
      </c>
      <c r="AB154" s="4" t="str">
        <f t="shared" ca="1" si="50"/>
        <v>Medium Haul</v>
      </c>
    </row>
    <row r="155" spans="1:28" x14ac:dyDescent="0.3">
      <c r="A155" s="8" t="str">
        <f t="shared" si="45"/>
        <v>S0154</v>
      </c>
      <c r="B155" s="3">
        <f t="shared" ca="1" si="34"/>
        <v>46019</v>
      </c>
      <c r="C155" s="3" t="str">
        <f ca="1">INDEX(Customers!$A$2:$A$21,RANDBETWEEN(1,20))</f>
        <v>C010</v>
      </c>
      <c r="D155" s="3" t="str">
        <f ca="1">INDEX(Routes!$A$2:$A$31,RANDBETWEEN(1,30))</f>
        <v>R019</v>
      </c>
      <c r="E155" s="3" t="str">
        <f ca="1">INDEX(Vehicles!$A$2:$A$21,RANDBETWEEN(1,20))</f>
        <v>V016</v>
      </c>
      <c r="F155" s="3" t="str">
        <f ca="1">INDEX(Drivers!$A$2:$A$31,RANDBETWEEN(1,30))</f>
        <v>D002</v>
      </c>
      <c r="G155" s="3">
        <f t="shared" ca="1" si="35"/>
        <v>7.9</v>
      </c>
      <c r="H155" s="3">
        <f t="shared" ca="1" si="36"/>
        <v>18198</v>
      </c>
      <c r="I155" s="3">
        <f t="shared" ca="1" si="37"/>
        <v>5095</v>
      </c>
      <c r="J155" s="3">
        <f t="shared" ca="1" si="38"/>
        <v>1542</v>
      </c>
      <c r="K155" s="3">
        <f t="shared" ca="1" si="39"/>
        <v>38</v>
      </c>
      <c r="L155" s="3">
        <f t="shared" ca="1" si="40"/>
        <v>43</v>
      </c>
      <c r="M155" s="3">
        <f t="shared" ca="1" si="41"/>
        <v>5</v>
      </c>
      <c r="N155" s="3" t="str">
        <f t="shared" ca="1" si="42"/>
        <v>Delayed</v>
      </c>
      <c r="O155" s="3" t="str">
        <f t="shared" ca="1" si="43"/>
        <v>High</v>
      </c>
      <c r="P155" s="3">
        <f t="shared" ca="1" si="44"/>
        <v>26.3</v>
      </c>
      <c r="Q155" s="1" t="str">
        <f ca="1">VLOOKUP(D155,Routes!$A$2:$D$31,2,FALSE)</f>
        <v>Ahmedabad</v>
      </c>
      <c r="R155" s="1" t="str">
        <f ca="1">VLOOKUP(D155,Routes!$A$2:$D$31,3,FALSE)</f>
        <v>Indore</v>
      </c>
      <c r="S155" s="3">
        <f ca="1">VLOOKUP(D155,Routes!$A$2:$D$31,4,FALSE)</f>
        <v>390</v>
      </c>
      <c r="T155" s="3" t="str">
        <f ca="1">VLOOKUP(E155,Vehicles!$A$2:$D$21,2,FALSE)</f>
        <v>Container</v>
      </c>
      <c r="U155" s="3">
        <f ca="1">VLOOKUP(E155,Vehicles!$A$2:$D$21,3,FALSE)</f>
        <v>22</v>
      </c>
      <c r="V155" s="3" t="str">
        <f ca="1">VLOOKUP(E155,Vehicles!$A$2:$D$21,4,FALSE)</f>
        <v>Diesel</v>
      </c>
      <c r="W155" s="3">
        <f ca="1">VLOOKUP(V155,Fuel_Rates!$A$2:$B$3,2,FALSE)</f>
        <v>95</v>
      </c>
      <c r="X155" s="3">
        <f t="shared" ca="1" si="46"/>
        <v>46.66</v>
      </c>
      <c r="Y155" s="3">
        <f t="shared" ca="1" si="47"/>
        <v>24835</v>
      </c>
      <c r="Z155" s="3" t="str">
        <f t="shared" ca="1" si="48"/>
        <v>Dec</v>
      </c>
      <c r="AA155" s="3" t="str">
        <f t="shared" ca="1" si="49"/>
        <v>Q4</v>
      </c>
      <c r="AB155" s="4" t="str">
        <f t="shared" ca="1" si="50"/>
        <v>Medium Haul</v>
      </c>
    </row>
    <row r="156" spans="1:28" x14ac:dyDescent="0.3">
      <c r="A156" s="8" t="str">
        <f t="shared" si="45"/>
        <v>S0155</v>
      </c>
      <c r="B156" s="3">
        <f t="shared" ca="1" si="34"/>
        <v>46008</v>
      </c>
      <c r="C156" s="3" t="str">
        <f ca="1">INDEX(Customers!$A$2:$A$21,RANDBETWEEN(1,20))</f>
        <v>C017</v>
      </c>
      <c r="D156" s="3" t="str">
        <f ca="1">INDEX(Routes!$A$2:$A$31,RANDBETWEEN(1,30))</f>
        <v>R022</v>
      </c>
      <c r="E156" s="3" t="str">
        <f ca="1">INDEX(Vehicles!$A$2:$A$21,RANDBETWEEN(1,20))</f>
        <v>V017</v>
      </c>
      <c r="F156" s="3" t="str">
        <f ca="1">INDEX(Drivers!$A$2:$A$31,RANDBETWEEN(1,30))</f>
        <v>D022</v>
      </c>
      <c r="G156" s="3">
        <f t="shared" ca="1" si="35"/>
        <v>15.6</v>
      </c>
      <c r="H156" s="3">
        <f t="shared" ca="1" si="36"/>
        <v>39257</v>
      </c>
      <c r="I156" s="3">
        <f t="shared" ca="1" si="37"/>
        <v>10992</v>
      </c>
      <c r="J156" s="3">
        <f t="shared" ca="1" si="38"/>
        <v>2040</v>
      </c>
      <c r="K156" s="3">
        <f t="shared" ca="1" si="39"/>
        <v>9</v>
      </c>
      <c r="L156" s="3">
        <f t="shared" ca="1" si="40"/>
        <v>10</v>
      </c>
      <c r="M156" s="3">
        <f t="shared" ca="1" si="41"/>
        <v>1</v>
      </c>
      <c r="N156" s="3" t="str">
        <f t="shared" ca="1" si="42"/>
        <v>On Time</v>
      </c>
      <c r="O156" s="3" t="str">
        <f t="shared" ca="1" si="43"/>
        <v>Medium</v>
      </c>
      <c r="P156" s="3">
        <f t="shared" ca="1" si="44"/>
        <v>52</v>
      </c>
      <c r="Q156" s="1" t="str">
        <f ca="1">VLOOKUP(D156,Routes!$A$2:$D$31,2,FALSE)</f>
        <v>Jaipur</v>
      </c>
      <c r="R156" s="1" t="str">
        <f ca="1">VLOOKUP(D156,Routes!$A$2:$D$31,3,FALSE)</f>
        <v>Indore</v>
      </c>
      <c r="S156" s="3">
        <f ca="1">VLOOKUP(D156,Routes!$A$2:$D$31,4,FALSE)</f>
        <v>600</v>
      </c>
      <c r="T156" s="3" t="str">
        <f ca="1">VLOOKUP(E156,Vehicles!$A$2:$D$21,2,FALSE)</f>
        <v>Truck</v>
      </c>
      <c r="U156" s="3">
        <f ca="1">VLOOKUP(E156,Vehicles!$A$2:$D$21,3,FALSE)</f>
        <v>24</v>
      </c>
      <c r="V156" s="3" t="str">
        <f ca="1">VLOOKUP(E156,Vehicles!$A$2:$D$21,4,FALSE)</f>
        <v>Diesel</v>
      </c>
      <c r="W156" s="3">
        <f ca="1">VLOOKUP(V156,Fuel_Rates!$A$2:$B$3,2,FALSE)</f>
        <v>95</v>
      </c>
      <c r="X156" s="3">
        <f t="shared" ca="1" si="46"/>
        <v>65.430000000000007</v>
      </c>
      <c r="Y156" s="3">
        <f t="shared" ca="1" si="47"/>
        <v>52289</v>
      </c>
      <c r="Z156" s="3" t="str">
        <f t="shared" ca="1" si="48"/>
        <v>Dec</v>
      </c>
      <c r="AA156" s="3" t="str">
        <f t="shared" ca="1" si="49"/>
        <v>Q4</v>
      </c>
      <c r="AB156" s="4" t="str">
        <f t="shared" ca="1" si="50"/>
        <v>Medium Haul</v>
      </c>
    </row>
    <row r="157" spans="1:28" x14ac:dyDescent="0.3">
      <c r="A157" s="8" t="str">
        <f t="shared" si="45"/>
        <v>S0156</v>
      </c>
      <c r="B157" s="3">
        <f t="shared" ca="1" si="34"/>
        <v>46008</v>
      </c>
      <c r="C157" s="3" t="str">
        <f ca="1">INDEX(Customers!$A$2:$A$21,RANDBETWEEN(1,20))</f>
        <v>C020</v>
      </c>
      <c r="D157" s="3" t="str">
        <f ca="1">INDEX(Routes!$A$2:$A$31,RANDBETWEEN(1,30))</f>
        <v>R008</v>
      </c>
      <c r="E157" s="3" t="str">
        <f ca="1">INDEX(Vehicles!$A$2:$A$21,RANDBETWEEN(1,20))</f>
        <v>V007</v>
      </c>
      <c r="F157" s="3" t="str">
        <f ca="1">INDEX(Drivers!$A$2:$A$31,RANDBETWEEN(1,30))</f>
        <v>D016</v>
      </c>
      <c r="G157" s="3">
        <f t="shared" ca="1" si="35"/>
        <v>18.100000000000001</v>
      </c>
      <c r="H157" s="3">
        <f t="shared" ca="1" si="36"/>
        <v>42626</v>
      </c>
      <c r="I157" s="3">
        <f t="shared" ca="1" si="37"/>
        <v>11935</v>
      </c>
      <c r="J157" s="3">
        <f t="shared" ca="1" si="38"/>
        <v>2050</v>
      </c>
      <c r="K157" s="3">
        <f t="shared" ca="1" si="39"/>
        <v>26</v>
      </c>
      <c r="L157" s="3">
        <f t="shared" ca="1" si="40"/>
        <v>28</v>
      </c>
      <c r="M157" s="3">
        <f t="shared" ca="1" si="41"/>
        <v>2</v>
      </c>
      <c r="N157" s="3" t="str">
        <f t="shared" ca="1" si="42"/>
        <v>On Time</v>
      </c>
      <c r="O157" s="3" t="str">
        <f t="shared" ca="1" si="43"/>
        <v>High</v>
      </c>
      <c r="P157" s="3">
        <f t="shared" ca="1" si="44"/>
        <v>60.3</v>
      </c>
      <c r="Q157" s="1" t="str">
        <f ca="1">VLOOKUP(D157,Routes!$A$2:$D$31,2,FALSE)</f>
        <v>Delhi</v>
      </c>
      <c r="R157" s="1" t="str">
        <f ca="1">VLOOKUP(D157,Routes!$A$2:$D$31,3,FALSE)</f>
        <v>Kolkata</v>
      </c>
      <c r="S157" s="3">
        <f ca="1">VLOOKUP(D157,Routes!$A$2:$D$31,4,FALSE)</f>
        <v>1500</v>
      </c>
      <c r="T157" s="3" t="str">
        <f ca="1">VLOOKUP(E157,Vehicles!$A$2:$D$21,2,FALSE)</f>
        <v>Container</v>
      </c>
      <c r="U157" s="3">
        <f ca="1">VLOOKUP(E157,Vehicles!$A$2:$D$21,3,FALSE)</f>
        <v>20</v>
      </c>
      <c r="V157" s="3" t="str">
        <f ca="1">VLOOKUP(E157,Vehicles!$A$2:$D$21,4,FALSE)</f>
        <v>Diesel</v>
      </c>
      <c r="W157" s="3">
        <f ca="1">VLOOKUP(V157,Fuel_Rates!$A$2:$B$3,2,FALSE)</f>
        <v>95</v>
      </c>
      <c r="X157" s="3">
        <f t="shared" ca="1" si="46"/>
        <v>28.42</v>
      </c>
      <c r="Y157" s="3">
        <f t="shared" ca="1" si="47"/>
        <v>56611</v>
      </c>
      <c r="Z157" s="3" t="str">
        <f t="shared" ca="1" si="48"/>
        <v>Dec</v>
      </c>
      <c r="AA157" s="3" t="str">
        <f t="shared" ca="1" si="49"/>
        <v>Q4</v>
      </c>
      <c r="AB157" s="4" t="str">
        <f t="shared" ca="1" si="50"/>
        <v>Long Haul</v>
      </c>
    </row>
    <row r="158" spans="1:28" x14ac:dyDescent="0.3">
      <c r="A158" s="8" t="str">
        <f t="shared" si="45"/>
        <v>S0157</v>
      </c>
      <c r="B158" s="3">
        <f t="shared" ca="1" si="34"/>
        <v>45796</v>
      </c>
      <c r="C158" s="3" t="str">
        <f ca="1">INDEX(Customers!$A$2:$A$21,RANDBETWEEN(1,20))</f>
        <v>C009</v>
      </c>
      <c r="D158" s="3" t="str">
        <f ca="1">INDEX(Routes!$A$2:$A$31,RANDBETWEEN(1,30))</f>
        <v>R016</v>
      </c>
      <c r="E158" s="3" t="str">
        <f ca="1">INDEX(Vehicles!$A$2:$A$21,RANDBETWEEN(1,20))</f>
        <v>V009</v>
      </c>
      <c r="F158" s="3" t="str">
        <f ca="1">INDEX(Drivers!$A$2:$A$31,RANDBETWEEN(1,30))</f>
        <v>D021</v>
      </c>
      <c r="G158" s="3">
        <f t="shared" ca="1" si="35"/>
        <v>28.7</v>
      </c>
      <c r="H158" s="3">
        <f t="shared" ca="1" si="36"/>
        <v>62599</v>
      </c>
      <c r="I158" s="3">
        <f t="shared" ca="1" si="37"/>
        <v>17528</v>
      </c>
      <c r="J158" s="3">
        <f t="shared" ca="1" si="38"/>
        <v>1851</v>
      </c>
      <c r="K158" s="3">
        <f t="shared" ca="1" si="39"/>
        <v>31</v>
      </c>
      <c r="L158" s="3">
        <f t="shared" ca="1" si="40"/>
        <v>31</v>
      </c>
      <c r="M158" s="3">
        <f t="shared" ca="1" si="41"/>
        <v>0</v>
      </c>
      <c r="N158" s="3" t="str">
        <f t="shared" ca="1" si="42"/>
        <v>On Time</v>
      </c>
      <c r="O158" s="3" t="str">
        <f t="shared" ca="1" si="43"/>
        <v>Low</v>
      </c>
      <c r="P158" s="3">
        <f t="shared" ca="1" si="44"/>
        <v>95.7</v>
      </c>
      <c r="Q158" s="1" t="str">
        <f ca="1">VLOOKUP(D158,Routes!$A$2:$D$31,2,FALSE)</f>
        <v>Kolkata</v>
      </c>
      <c r="R158" s="1" t="str">
        <f ca="1">VLOOKUP(D158,Routes!$A$2:$D$31,3,FALSE)</f>
        <v>Bhubaneswar</v>
      </c>
      <c r="S158" s="3">
        <f ca="1">VLOOKUP(D158,Routes!$A$2:$D$31,4,FALSE)</f>
        <v>440</v>
      </c>
      <c r="T158" s="3" t="str">
        <f ca="1">VLOOKUP(E158,Vehicles!$A$2:$D$21,2,FALSE)</f>
        <v>LCV</v>
      </c>
      <c r="U158" s="3">
        <f ca="1">VLOOKUP(E158,Vehicles!$A$2:$D$21,3,FALSE)</f>
        <v>5</v>
      </c>
      <c r="V158" s="3" t="str">
        <f ca="1">VLOOKUP(E158,Vehicles!$A$2:$D$21,4,FALSE)</f>
        <v>Diesel</v>
      </c>
      <c r="W158" s="3">
        <f ca="1">VLOOKUP(V158,Fuel_Rates!$A$2:$B$3,2,FALSE)</f>
        <v>95</v>
      </c>
      <c r="X158" s="3">
        <f t="shared" ca="1" si="46"/>
        <v>142.27000000000001</v>
      </c>
      <c r="Y158" s="3">
        <f t="shared" ca="1" si="47"/>
        <v>81978</v>
      </c>
      <c r="Z158" s="3" t="str">
        <f t="shared" ca="1" si="48"/>
        <v>May</v>
      </c>
      <c r="AA158" s="3" t="str">
        <f t="shared" ca="1" si="49"/>
        <v>Q2</v>
      </c>
      <c r="AB158" s="4" t="str">
        <f t="shared" ca="1" si="50"/>
        <v>Medium Haul</v>
      </c>
    </row>
    <row r="159" spans="1:28" x14ac:dyDescent="0.3">
      <c r="A159" s="8" t="str">
        <f t="shared" si="45"/>
        <v>S0158</v>
      </c>
      <c r="B159" s="3">
        <f t="shared" ca="1" si="34"/>
        <v>45995</v>
      </c>
      <c r="C159" s="3" t="str">
        <f ca="1">INDEX(Customers!$A$2:$A$21,RANDBETWEEN(1,20))</f>
        <v>C009</v>
      </c>
      <c r="D159" s="3" t="str">
        <f ca="1">INDEX(Routes!$A$2:$A$31,RANDBETWEEN(1,30))</f>
        <v>R024</v>
      </c>
      <c r="E159" s="3" t="str">
        <f ca="1">INDEX(Vehicles!$A$2:$A$21,RANDBETWEEN(1,20))</f>
        <v>V006</v>
      </c>
      <c r="F159" s="3" t="str">
        <f ca="1">INDEX(Drivers!$A$2:$A$31,RANDBETWEEN(1,30))</f>
        <v>D012</v>
      </c>
      <c r="G159" s="3">
        <f t="shared" ca="1" si="35"/>
        <v>10</v>
      </c>
      <c r="H159" s="3">
        <f t="shared" ca="1" si="36"/>
        <v>29259</v>
      </c>
      <c r="I159" s="3">
        <f t="shared" ca="1" si="37"/>
        <v>8193</v>
      </c>
      <c r="J159" s="3">
        <f t="shared" ca="1" si="38"/>
        <v>1776</v>
      </c>
      <c r="K159" s="3">
        <f t="shared" ca="1" si="39"/>
        <v>37</v>
      </c>
      <c r="L159" s="3">
        <f t="shared" ca="1" si="40"/>
        <v>43</v>
      </c>
      <c r="M159" s="3">
        <f t="shared" ca="1" si="41"/>
        <v>6</v>
      </c>
      <c r="N159" s="3" t="str">
        <f t="shared" ca="1" si="42"/>
        <v>Delayed</v>
      </c>
      <c r="O159" s="3" t="str">
        <f t="shared" ca="1" si="43"/>
        <v>High</v>
      </c>
      <c r="P159" s="3">
        <f t="shared" ca="1" si="44"/>
        <v>33.299999999999997</v>
      </c>
      <c r="Q159" s="1" t="str">
        <f ca="1">VLOOKUP(D159,Routes!$A$2:$D$31,2,FALSE)</f>
        <v>Surat</v>
      </c>
      <c r="R159" s="1" t="str">
        <f ca="1">VLOOKUP(D159,Routes!$A$2:$D$31,3,FALSE)</f>
        <v>Mumbai</v>
      </c>
      <c r="S159" s="3">
        <f ca="1">VLOOKUP(D159,Routes!$A$2:$D$31,4,FALSE)</f>
        <v>280</v>
      </c>
      <c r="T159" s="3" t="str">
        <f ca="1">VLOOKUP(E159,Vehicles!$A$2:$D$21,2,FALSE)</f>
        <v>Container</v>
      </c>
      <c r="U159" s="3">
        <f ca="1">VLOOKUP(E159,Vehicles!$A$2:$D$21,3,FALSE)</f>
        <v>18</v>
      </c>
      <c r="V159" s="3" t="str">
        <f ca="1">VLOOKUP(E159,Vehicles!$A$2:$D$21,4,FALSE)</f>
        <v>Diesel</v>
      </c>
      <c r="W159" s="3">
        <f ca="1">VLOOKUP(V159,Fuel_Rates!$A$2:$B$3,2,FALSE)</f>
        <v>95</v>
      </c>
      <c r="X159" s="3">
        <f t="shared" ca="1" si="46"/>
        <v>104.5</v>
      </c>
      <c r="Y159" s="3">
        <f t="shared" ca="1" si="47"/>
        <v>39228</v>
      </c>
      <c r="Z159" s="3" t="str">
        <f t="shared" ca="1" si="48"/>
        <v>Dec</v>
      </c>
      <c r="AA159" s="3" t="str">
        <f t="shared" ca="1" si="49"/>
        <v>Q4</v>
      </c>
      <c r="AB159" s="4" t="str">
        <f t="shared" ca="1" si="50"/>
        <v>Short Haul</v>
      </c>
    </row>
    <row r="160" spans="1:28" x14ac:dyDescent="0.3">
      <c r="A160" s="8" t="str">
        <f t="shared" si="45"/>
        <v>S0159</v>
      </c>
      <c r="B160" s="3">
        <f t="shared" ca="1" si="34"/>
        <v>46014</v>
      </c>
      <c r="C160" s="3" t="str">
        <f ca="1">INDEX(Customers!$A$2:$A$21,RANDBETWEEN(1,20))</f>
        <v>C005</v>
      </c>
      <c r="D160" s="3" t="str">
        <f ca="1">INDEX(Routes!$A$2:$A$31,RANDBETWEEN(1,30))</f>
        <v>R003</v>
      </c>
      <c r="E160" s="3" t="str">
        <f ca="1">INDEX(Vehicles!$A$2:$A$21,RANDBETWEEN(1,20))</f>
        <v>V017</v>
      </c>
      <c r="F160" s="3" t="str">
        <f ca="1">INDEX(Drivers!$A$2:$A$31,RANDBETWEEN(1,30))</f>
        <v>D003</v>
      </c>
      <c r="G160" s="3">
        <f t="shared" ca="1" si="35"/>
        <v>4</v>
      </c>
      <c r="H160" s="3">
        <f t="shared" ca="1" si="36"/>
        <v>11878</v>
      </c>
      <c r="I160" s="3">
        <f t="shared" ca="1" si="37"/>
        <v>3326</v>
      </c>
      <c r="J160" s="3">
        <f t="shared" ca="1" si="38"/>
        <v>1411</v>
      </c>
      <c r="K160" s="3">
        <f t="shared" ca="1" si="39"/>
        <v>11</v>
      </c>
      <c r="L160" s="3">
        <f t="shared" ca="1" si="40"/>
        <v>12</v>
      </c>
      <c r="M160" s="3">
        <f t="shared" ca="1" si="41"/>
        <v>1</v>
      </c>
      <c r="N160" s="3" t="str">
        <f t="shared" ca="1" si="42"/>
        <v>On Time</v>
      </c>
      <c r="O160" s="3" t="str">
        <f t="shared" ca="1" si="43"/>
        <v>Low</v>
      </c>
      <c r="P160" s="3">
        <f t="shared" ca="1" si="44"/>
        <v>13.3</v>
      </c>
      <c r="Q160" s="1" t="str">
        <f ca="1">VLOOKUP(D160,Routes!$A$2:$D$31,2,FALSE)</f>
        <v>Mumbai</v>
      </c>
      <c r="R160" s="1" t="str">
        <f ca="1">VLOOKUP(D160,Routes!$A$2:$D$31,3,FALSE)</f>
        <v>Delhi</v>
      </c>
      <c r="S160" s="3">
        <f ca="1">VLOOKUP(D160,Routes!$A$2:$D$31,4,FALSE)</f>
        <v>1450</v>
      </c>
      <c r="T160" s="3" t="str">
        <f ca="1">VLOOKUP(E160,Vehicles!$A$2:$D$21,2,FALSE)</f>
        <v>Truck</v>
      </c>
      <c r="U160" s="3">
        <f ca="1">VLOOKUP(E160,Vehicles!$A$2:$D$21,3,FALSE)</f>
        <v>24</v>
      </c>
      <c r="V160" s="3" t="str">
        <f ca="1">VLOOKUP(E160,Vehicles!$A$2:$D$21,4,FALSE)</f>
        <v>Diesel</v>
      </c>
      <c r="W160" s="3">
        <f ca="1">VLOOKUP(V160,Fuel_Rates!$A$2:$B$3,2,FALSE)</f>
        <v>95</v>
      </c>
      <c r="X160" s="3">
        <f t="shared" ca="1" si="46"/>
        <v>8.19</v>
      </c>
      <c r="Y160" s="3">
        <f t="shared" ca="1" si="47"/>
        <v>16615</v>
      </c>
      <c r="Z160" s="3" t="str">
        <f t="shared" ca="1" si="48"/>
        <v>Dec</v>
      </c>
      <c r="AA160" s="3" t="str">
        <f t="shared" ca="1" si="49"/>
        <v>Q4</v>
      </c>
      <c r="AB160" s="4" t="str">
        <f t="shared" ca="1" si="50"/>
        <v>Long Haul</v>
      </c>
    </row>
    <row r="161" spans="1:28" x14ac:dyDescent="0.3">
      <c r="A161" s="8" t="str">
        <f t="shared" si="45"/>
        <v>S0160</v>
      </c>
      <c r="B161" s="3">
        <f t="shared" ca="1" si="34"/>
        <v>45997</v>
      </c>
      <c r="C161" s="3" t="str">
        <f ca="1">INDEX(Customers!$A$2:$A$21,RANDBETWEEN(1,20))</f>
        <v>C009</v>
      </c>
      <c r="D161" s="3" t="str">
        <f ca="1">INDEX(Routes!$A$2:$A$31,RANDBETWEEN(1,30))</f>
        <v>R006</v>
      </c>
      <c r="E161" s="3" t="str">
        <f ca="1">INDEX(Vehicles!$A$2:$A$21,RANDBETWEEN(1,20))</f>
        <v>V018</v>
      </c>
      <c r="F161" s="3" t="str">
        <f ca="1">INDEX(Drivers!$A$2:$A$31,RANDBETWEEN(1,30))</f>
        <v>D006</v>
      </c>
      <c r="G161" s="3">
        <f t="shared" ca="1" si="35"/>
        <v>23</v>
      </c>
      <c r="H161" s="3">
        <f t="shared" ca="1" si="36"/>
        <v>45429</v>
      </c>
      <c r="I161" s="3">
        <f t="shared" ca="1" si="37"/>
        <v>12720</v>
      </c>
      <c r="J161" s="3">
        <f t="shared" ca="1" si="38"/>
        <v>2775</v>
      </c>
      <c r="K161" s="3">
        <f t="shared" ca="1" si="39"/>
        <v>13</v>
      </c>
      <c r="L161" s="3">
        <f t="shared" ca="1" si="40"/>
        <v>21</v>
      </c>
      <c r="M161" s="3">
        <f t="shared" ca="1" si="41"/>
        <v>8</v>
      </c>
      <c r="N161" s="3" t="str">
        <f t="shared" ca="1" si="42"/>
        <v>Delayed</v>
      </c>
      <c r="O161" s="3" t="str">
        <f t="shared" ca="1" si="43"/>
        <v>Low</v>
      </c>
      <c r="P161" s="3">
        <f t="shared" ca="1" si="44"/>
        <v>76.7</v>
      </c>
      <c r="Q161" s="1" t="str">
        <f ca="1">VLOOKUP(D161,Routes!$A$2:$D$31,2,FALSE)</f>
        <v>Delhi</v>
      </c>
      <c r="R161" s="1" t="str">
        <f ca="1">VLOOKUP(D161,Routes!$A$2:$D$31,3,FALSE)</f>
        <v>Lucknow</v>
      </c>
      <c r="S161" s="3">
        <f ca="1">VLOOKUP(D161,Routes!$A$2:$D$31,4,FALSE)</f>
        <v>550</v>
      </c>
      <c r="T161" s="3" t="str">
        <f ca="1">VLOOKUP(E161,Vehicles!$A$2:$D$21,2,FALSE)</f>
        <v>Truck</v>
      </c>
      <c r="U161" s="3">
        <f ca="1">VLOOKUP(E161,Vehicles!$A$2:$D$21,3,FALSE)</f>
        <v>26</v>
      </c>
      <c r="V161" s="3" t="str">
        <f ca="1">VLOOKUP(E161,Vehicles!$A$2:$D$21,4,FALSE)</f>
        <v>Diesel</v>
      </c>
      <c r="W161" s="3">
        <f ca="1">VLOOKUP(V161,Fuel_Rates!$A$2:$B$3,2,FALSE)</f>
        <v>95</v>
      </c>
      <c r="X161" s="3">
        <f t="shared" ca="1" si="46"/>
        <v>82.6</v>
      </c>
      <c r="Y161" s="3">
        <f t="shared" ca="1" si="47"/>
        <v>60924</v>
      </c>
      <c r="Z161" s="3" t="str">
        <f t="shared" ca="1" si="48"/>
        <v>Dec</v>
      </c>
      <c r="AA161" s="3" t="str">
        <f t="shared" ca="1" si="49"/>
        <v>Q4</v>
      </c>
      <c r="AB161" s="4" t="str">
        <f t="shared" ca="1" si="50"/>
        <v>Medium Haul</v>
      </c>
    </row>
    <row r="162" spans="1:28" x14ac:dyDescent="0.3">
      <c r="A162" s="8" t="str">
        <f t="shared" si="45"/>
        <v>S0161</v>
      </c>
      <c r="B162" s="3">
        <f t="shared" ca="1" si="34"/>
        <v>45896</v>
      </c>
      <c r="C162" s="3" t="str">
        <f ca="1">INDEX(Customers!$A$2:$A$21,RANDBETWEEN(1,20))</f>
        <v>C019</v>
      </c>
      <c r="D162" s="3" t="str">
        <f ca="1">INDEX(Routes!$A$2:$A$31,RANDBETWEEN(1,30))</f>
        <v>R021</v>
      </c>
      <c r="E162" s="3" t="str">
        <f ca="1">INDEX(Vehicles!$A$2:$A$21,RANDBETWEEN(1,20))</f>
        <v>V016</v>
      </c>
      <c r="F162" s="3" t="str">
        <f ca="1">INDEX(Drivers!$A$2:$A$31,RANDBETWEEN(1,30))</f>
        <v>D014</v>
      </c>
      <c r="G162" s="3">
        <f t="shared" ca="1" si="35"/>
        <v>27.4</v>
      </c>
      <c r="H162" s="3">
        <f t="shared" ca="1" si="36"/>
        <v>55977</v>
      </c>
      <c r="I162" s="3">
        <f t="shared" ca="1" si="37"/>
        <v>15674</v>
      </c>
      <c r="J162" s="3">
        <f t="shared" ca="1" si="38"/>
        <v>1083</v>
      </c>
      <c r="K162" s="3">
        <f t="shared" ca="1" si="39"/>
        <v>21</v>
      </c>
      <c r="L162" s="3">
        <f t="shared" ca="1" si="40"/>
        <v>22</v>
      </c>
      <c r="M162" s="3">
        <f t="shared" ca="1" si="41"/>
        <v>1</v>
      </c>
      <c r="N162" s="3" t="str">
        <f t="shared" ca="1" si="42"/>
        <v>On Time</v>
      </c>
      <c r="O162" s="3" t="str">
        <f t="shared" ca="1" si="43"/>
        <v>Medium</v>
      </c>
      <c r="P162" s="3">
        <f t="shared" ca="1" si="44"/>
        <v>91.3</v>
      </c>
      <c r="Q162" s="1" t="str">
        <f ca="1">VLOOKUP(D162,Routes!$A$2:$D$31,2,FALSE)</f>
        <v>Lucknow</v>
      </c>
      <c r="R162" s="1" t="str">
        <f ca="1">VLOOKUP(D162,Routes!$A$2:$D$31,3,FALSE)</f>
        <v>Kanpur</v>
      </c>
      <c r="S162" s="3">
        <f ca="1">VLOOKUP(D162,Routes!$A$2:$D$31,4,FALSE)</f>
        <v>90</v>
      </c>
      <c r="T162" s="3" t="str">
        <f ca="1">VLOOKUP(E162,Vehicles!$A$2:$D$21,2,FALSE)</f>
        <v>Container</v>
      </c>
      <c r="U162" s="3">
        <f ca="1">VLOOKUP(E162,Vehicles!$A$2:$D$21,3,FALSE)</f>
        <v>22</v>
      </c>
      <c r="V162" s="3" t="str">
        <f ca="1">VLOOKUP(E162,Vehicles!$A$2:$D$21,4,FALSE)</f>
        <v>Diesel</v>
      </c>
      <c r="W162" s="3">
        <f ca="1">VLOOKUP(V162,Fuel_Rates!$A$2:$B$3,2,FALSE)</f>
        <v>95</v>
      </c>
      <c r="X162" s="3">
        <f t="shared" ca="1" si="46"/>
        <v>621.97</v>
      </c>
      <c r="Y162" s="3">
        <f t="shared" ca="1" si="47"/>
        <v>72734</v>
      </c>
      <c r="Z162" s="3" t="str">
        <f t="shared" ca="1" si="48"/>
        <v>Aug</v>
      </c>
      <c r="AA162" s="3" t="str">
        <f t="shared" ca="1" si="49"/>
        <v>Q3</v>
      </c>
      <c r="AB162" s="4" t="str">
        <f t="shared" ca="1" si="50"/>
        <v>Short Haul</v>
      </c>
    </row>
    <row r="163" spans="1:28" x14ac:dyDescent="0.3">
      <c r="A163" s="8" t="str">
        <f t="shared" si="45"/>
        <v>S0162</v>
      </c>
      <c r="B163" s="3">
        <f t="shared" ca="1" si="34"/>
        <v>45771</v>
      </c>
      <c r="C163" s="3" t="str">
        <f ca="1">INDEX(Customers!$A$2:$A$21,RANDBETWEEN(1,20))</f>
        <v>C003</v>
      </c>
      <c r="D163" s="3" t="str">
        <f ca="1">INDEX(Routes!$A$2:$A$31,RANDBETWEEN(1,30))</f>
        <v>R023</v>
      </c>
      <c r="E163" s="3" t="str">
        <f ca="1">INDEX(Vehicles!$A$2:$A$21,RANDBETWEEN(1,20))</f>
        <v>V002</v>
      </c>
      <c r="F163" s="3" t="str">
        <f ca="1">INDEX(Drivers!$A$2:$A$31,RANDBETWEEN(1,30))</f>
        <v>D020</v>
      </c>
      <c r="G163" s="3">
        <f t="shared" ca="1" si="35"/>
        <v>6</v>
      </c>
      <c r="H163" s="3">
        <f t="shared" ca="1" si="36"/>
        <v>13952</v>
      </c>
      <c r="I163" s="3">
        <f t="shared" ca="1" si="37"/>
        <v>3907</v>
      </c>
      <c r="J163" s="3">
        <f t="shared" ca="1" si="38"/>
        <v>1635</v>
      </c>
      <c r="K163" s="3">
        <f t="shared" ca="1" si="39"/>
        <v>4</v>
      </c>
      <c r="L163" s="3">
        <f t="shared" ca="1" si="40"/>
        <v>8</v>
      </c>
      <c r="M163" s="3">
        <f t="shared" ca="1" si="41"/>
        <v>4</v>
      </c>
      <c r="N163" s="3" t="str">
        <f t="shared" ca="1" si="42"/>
        <v>Delayed</v>
      </c>
      <c r="O163" s="3" t="str">
        <f t="shared" ca="1" si="43"/>
        <v>Medium</v>
      </c>
      <c r="P163" s="3">
        <f t="shared" ca="1" si="44"/>
        <v>20</v>
      </c>
      <c r="Q163" s="1" t="str">
        <f ca="1">VLOOKUP(D163,Routes!$A$2:$D$31,2,FALSE)</f>
        <v>Kochi</v>
      </c>
      <c r="R163" s="1" t="str">
        <f ca="1">VLOOKUP(D163,Routes!$A$2:$D$31,3,FALSE)</f>
        <v>Bengaluru</v>
      </c>
      <c r="S163" s="3">
        <f ca="1">VLOOKUP(D163,Routes!$A$2:$D$31,4,FALSE)</f>
        <v>550</v>
      </c>
      <c r="T163" s="3" t="str">
        <f ca="1">VLOOKUP(E163,Vehicles!$A$2:$D$21,2,FALSE)</f>
        <v>Truck</v>
      </c>
      <c r="U163" s="3">
        <f ca="1">VLOOKUP(E163,Vehicles!$A$2:$D$21,3,FALSE)</f>
        <v>20</v>
      </c>
      <c r="V163" s="3" t="str">
        <f ca="1">VLOOKUP(E163,Vehicles!$A$2:$D$21,4,FALSE)</f>
        <v>Diesel</v>
      </c>
      <c r="W163" s="3">
        <f ca="1">VLOOKUP(V163,Fuel_Rates!$A$2:$B$3,2,FALSE)</f>
        <v>95</v>
      </c>
      <c r="X163" s="3">
        <f t="shared" ca="1" si="46"/>
        <v>25.37</v>
      </c>
      <c r="Y163" s="3">
        <f t="shared" ca="1" si="47"/>
        <v>19494</v>
      </c>
      <c r="Z163" s="3" t="str">
        <f t="shared" ca="1" si="48"/>
        <v>Apr</v>
      </c>
      <c r="AA163" s="3" t="str">
        <f t="shared" ca="1" si="49"/>
        <v>Q2</v>
      </c>
      <c r="AB163" s="4" t="str">
        <f t="shared" ca="1" si="50"/>
        <v>Medium Haul</v>
      </c>
    </row>
    <row r="164" spans="1:28" x14ac:dyDescent="0.3">
      <c r="A164" s="8" t="str">
        <f t="shared" si="45"/>
        <v>S0163</v>
      </c>
      <c r="B164" s="3">
        <f t="shared" ca="1" si="34"/>
        <v>45763</v>
      </c>
      <c r="C164" s="3" t="str">
        <f ca="1">INDEX(Customers!$A$2:$A$21,RANDBETWEEN(1,20))</f>
        <v>C018</v>
      </c>
      <c r="D164" s="3" t="str">
        <f ca="1">INDEX(Routes!$A$2:$A$31,RANDBETWEEN(1,30))</f>
        <v>R008</v>
      </c>
      <c r="E164" s="3" t="str">
        <f ca="1">INDEX(Vehicles!$A$2:$A$21,RANDBETWEEN(1,20))</f>
        <v>V011</v>
      </c>
      <c r="F164" s="3" t="str">
        <f ca="1">INDEX(Drivers!$A$2:$A$31,RANDBETWEEN(1,30))</f>
        <v>D001</v>
      </c>
      <c r="G164" s="3">
        <f t="shared" ca="1" si="35"/>
        <v>7.8</v>
      </c>
      <c r="H164" s="3">
        <f t="shared" ca="1" si="36"/>
        <v>28139</v>
      </c>
      <c r="I164" s="3">
        <f t="shared" ca="1" si="37"/>
        <v>7879</v>
      </c>
      <c r="J164" s="3">
        <f t="shared" ca="1" si="38"/>
        <v>1780</v>
      </c>
      <c r="K164" s="3">
        <f t="shared" ca="1" si="39"/>
        <v>14</v>
      </c>
      <c r="L164" s="3">
        <f t="shared" ca="1" si="40"/>
        <v>19</v>
      </c>
      <c r="M164" s="3">
        <f t="shared" ca="1" si="41"/>
        <v>5</v>
      </c>
      <c r="N164" s="3" t="str">
        <f t="shared" ca="1" si="42"/>
        <v>Delayed</v>
      </c>
      <c r="O164" s="3" t="str">
        <f t="shared" ca="1" si="43"/>
        <v>Low</v>
      </c>
      <c r="P164" s="3">
        <f t="shared" ca="1" si="44"/>
        <v>26</v>
      </c>
      <c r="Q164" s="1" t="str">
        <f ca="1">VLOOKUP(D164,Routes!$A$2:$D$31,2,FALSE)</f>
        <v>Delhi</v>
      </c>
      <c r="R164" s="1" t="str">
        <f ca="1">VLOOKUP(D164,Routes!$A$2:$D$31,3,FALSE)</f>
        <v>Kolkata</v>
      </c>
      <c r="S164" s="3">
        <f ca="1">VLOOKUP(D164,Routes!$A$2:$D$31,4,FALSE)</f>
        <v>1500</v>
      </c>
      <c r="T164" s="3" t="str">
        <f ca="1">VLOOKUP(E164,Vehicles!$A$2:$D$21,2,FALSE)</f>
        <v>Truck</v>
      </c>
      <c r="U164" s="3">
        <f ca="1">VLOOKUP(E164,Vehicles!$A$2:$D$21,3,FALSE)</f>
        <v>18</v>
      </c>
      <c r="V164" s="3" t="str">
        <f ca="1">VLOOKUP(E164,Vehicles!$A$2:$D$21,4,FALSE)</f>
        <v>CNG</v>
      </c>
      <c r="W164" s="3">
        <f ca="1">VLOOKUP(V164,Fuel_Rates!$A$2:$B$3,2,FALSE)</f>
        <v>78</v>
      </c>
      <c r="X164" s="3">
        <f t="shared" ca="1" si="46"/>
        <v>18.760000000000002</v>
      </c>
      <c r="Y164" s="3">
        <f t="shared" ca="1" si="47"/>
        <v>37798</v>
      </c>
      <c r="Z164" s="3" t="str">
        <f t="shared" ca="1" si="48"/>
        <v>Apr</v>
      </c>
      <c r="AA164" s="3" t="str">
        <f t="shared" ca="1" si="49"/>
        <v>Q2</v>
      </c>
      <c r="AB164" s="4" t="str">
        <f t="shared" ca="1" si="50"/>
        <v>Long Haul</v>
      </c>
    </row>
    <row r="165" spans="1:28" x14ac:dyDescent="0.3">
      <c r="A165" s="8" t="str">
        <f t="shared" si="45"/>
        <v>S0164</v>
      </c>
      <c r="B165" s="3">
        <f t="shared" ca="1" si="34"/>
        <v>45895</v>
      </c>
      <c r="C165" s="3" t="str">
        <f ca="1">INDEX(Customers!$A$2:$A$21,RANDBETWEEN(1,20))</f>
        <v>C007</v>
      </c>
      <c r="D165" s="3" t="str">
        <f ca="1">INDEX(Routes!$A$2:$A$31,RANDBETWEEN(1,30))</f>
        <v>R012</v>
      </c>
      <c r="E165" s="3" t="str">
        <f ca="1">INDEX(Vehicles!$A$2:$A$21,RANDBETWEEN(1,20))</f>
        <v>V004</v>
      </c>
      <c r="F165" s="3" t="str">
        <f ca="1">INDEX(Drivers!$A$2:$A$31,RANDBETWEEN(1,30))</f>
        <v>D013</v>
      </c>
      <c r="G165" s="3">
        <f t="shared" ca="1" si="35"/>
        <v>25.4</v>
      </c>
      <c r="H165" s="3">
        <f t="shared" ca="1" si="36"/>
        <v>58750</v>
      </c>
      <c r="I165" s="3">
        <f t="shared" ca="1" si="37"/>
        <v>16450</v>
      </c>
      <c r="J165" s="3">
        <f t="shared" ca="1" si="38"/>
        <v>1493</v>
      </c>
      <c r="K165" s="3">
        <f t="shared" ca="1" si="39"/>
        <v>8</v>
      </c>
      <c r="L165" s="3">
        <f t="shared" ca="1" si="40"/>
        <v>16</v>
      </c>
      <c r="M165" s="3">
        <f t="shared" ca="1" si="41"/>
        <v>8</v>
      </c>
      <c r="N165" s="3" t="str">
        <f t="shared" ca="1" si="42"/>
        <v>Delayed</v>
      </c>
      <c r="O165" s="3" t="str">
        <f t="shared" ca="1" si="43"/>
        <v>High</v>
      </c>
      <c r="P165" s="3">
        <f t="shared" ca="1" si="44"/>
        <v>84.7</v>
      </c>
      <c r="Q165" s="1" t="str">
        <f ca="1">VLOOKUP(D165,Routes!$A$2:$D$31,2,FALSE)</f>
        <v>Chennai</v>
      </c>
      <c r="R165" s="1" t="str">
        <f ca="1">VLOOKUP(D165,Routes!$A$2:$D$31,3,FALSE)</f>
        <v>Coimbatore</v>
      </c>
      <c r="S165" s="3">
        <f ca="1">VLOOKUP(D165,Routes!$A$2:$D$31,4,FALSE)</f>
        <v>500</v>
      </c>
      <c r="T165" s="3" t="str">
        <f ca="1">VLOOKUP(E165,Vehicles!$A$2:$D$21,2,FALSE)</f>
        <v>Trailer</v>
      </c>
      <c r="U165" s="3">
        <f ca="1">VLOOKUP(E165,Vehicles!$A$2:$D$21,3,FALSE)</f>
        <v>28</v>
      </c>
      <c r="V165" s="3" t="str">
        <f ca="1">VLOOKUP(E165,Vehicles!$A$2:$D$21,4,FALSE)</f>
        <v>Diesel</v>
      </c>
      <c r="W165" s="3">
        <f ca="1">VLOOKUP(V165,Fuel_Rates!$A$2:$B$3,2,FALSE)</f>
        <v>95</v>
      </c>
      <c r="X165" s="3">
        <f t="shared" ca="1" si="46"/>
        <v>117.5</v>
      </c>
      <c r="Y165" s="3">
        <f t="shared" ca="1" si="47"/>
        <v>76693</v>
      </c>
      <c r="Z165" s="3" t="str">
        <f t="shared" ca="1" si="48"/>
        <v>Aug</v>
      </c>
      <c r="AA165" s="3" t="str">
        <f t="shared" ca="1" si="49"/>
        <v>Q3</v>
      </c>
      <c r="AB165" s="4" t="str">
        <f t="shared" ca="1" si="50"/>
        <v>Medium Haul</v>
      </c>
    </row>
    <row r="166" spans="1:28" x14ac:dyDescent="0.3">
      <c r="A166" s="8" t="str">
        <f t="shared" si="45"/>
        <v>S0165</v>
      </c>
      <c r="B166" s="3">
        <f t="shared" ca="1" si="34"/>
        <v>45928</v>
      </c>
      <c r="C166" s="3" t="str">
        <f ca="1">INDEX(Customers!$A$2:$A$21,RANDBETWEEN(1,20))</f>
        <v>C007</v>
      </c>
      <c r="D166" s="3" t="str">
        <f ca="1">INDEX(Routes!$A$2:$A$31,RANDBETWEEN(1,30))</f>
        <v>R004</v>
      </c>
      <c r="E166" s="3" t="str">
        <f ca="1">INDEX(Vehicles!$A$2:$A$21,RANDBETWEEN(1,20))</f>
        <v>V011</v>
      </c>
      <c r="F166" s="3" t="str">
        <f ca="1">INDEX(Drivers!$A$2:$A$31,RANDBETWEEN(1,30))</f>
        <v>D012</v>
      </c>
      <c r="G166" s="3">
        <f t="shared" ca="1" si="35"/>
        <v>28.6</v>
      </c>
      <c r="H166" s="3">
        <f t="shared" ca="1" si="36"/>
        <v>56806</v>
      </c>
      <c r="I166" s="3">
        <f t="shared" ca="1" si="37"/>
        <v>15906</v>
      </c>
      <c r="J166" s="3">
        <f t="shared" ca="1" si="38"/>
        <v>3811</v>
      </c>
      <c r="K166" s="3">
        <f t="shared" ca="1" si="39"/>
        <v>18</v>
      </c>
      <c r="L166" s="3">
        <f t="shared" ca="1" si="40"/>
        <v>23</v>
      </c>
      <c r="M166" s="3">
        <f t="shared" ca="1" si="41"/>
        <v>5</v>
      </c>
      <c r="N166" s="3" t="str">
        <f t="shared" ca="1" si="42"/>
        <v>Delayed</v>
      </c>
      <c r="O166" s="3" t="str">
        <f t="shared" ca="1" si="43"/>
        <v>High</v>
      </c>
      <c r="P166" s="3">
        <f t="shared" ca="1" si="44"/>
        <v>95.3</v>
      </c>
      <c r="Q166" s="1" t="str">
        <f ca="1">VLOOKUP(D166,Routes!$A$2:$D$31,2,FALSE)</f>
        <v>Mumbai</v>
      </c>
      <c r="R166" s="1" t="str">
        <f ca="1">VLOOKUP(D166,Routes!$A$2:$D$31,3,FALSE)</f>
        <v>Bengaluru</v>
      </c>
      <c r="S166" s="3">
        <f ca="1">VLOOKUP(D166,Routes!$A$2:$D$31,4,FALSE)</f>
        <v>980</v>
      </c>
      <c r="T166" s="3" t="str">
        <f ca="1">VLOOKUP(E166,Vehicles!$A$2:$D$21,2,FALSE)</f>
        <v>Truck</v>
      </c>
      <c r="U166" s="3">
        <f ca="1">VLOOKUP(E166,Vehicles!$A$2:$D$21,3,FALSE)</f>
        <v>18</v>
      </c>
      <c r="V166" s="3" t="str">
        <f ca="1">VLOOKUP(E166,Vehicles!$A$2:$D$21,4,FALSE)</f>
        <v>CNG</v>
      </c>
      <c r="W166" s="3">
        <f ca="1">VLOOKUP(V166,Fuel_Rates!$A$2:$B$3,2,FALSE)</f>
        <v>78</v>
      </c>
      <c r="X166" s="3">
        <f t="shared" ca="1" si="46"/>
        <v>57.97</v>
      </c>
      <c r="Y166" s="3">
        <f t="shared" ca="1" si="47"/>
        <v>76523</v>
      </c>
      <c r="Z166" s="3" t="str">
        <f t="shared" ca="1" si="48"/>
        <v>Sep</v>
      </c>
      <c r="AA166" s="3" t="str">
        <f t="shared" ca="1" si="49"/>
        <v>Q3</v>
      </c>
      <c r="AB166" s="4" t="str">
        <f t="shared" ca="1" si="50"/>
        <v>Long Haul</v>
      </c>
    </row>
    <row r="167" spans="1:28" x14ac:dyDescent="0.3">
      <c r="A167" s="8" t="str">
        <f t="shared" si="45"/>
        <v>S0166</v>
      </c>
      <c r="B167" s="3">
        <f t="shared" ca="1" si="34"/>
        <v>45753</v>
      </c>
      <c r="C167" s="3" t="str">
        <f ca="1">INDEX(Customers!$A$2:$A$21,RANDBETWEEN(1,20))</f>
        <v>C015</v>
      </c>
      <c r="D167" s="3" t="str">
        <f ca="1">INDEX(Routes!$A$2:$A$31,RANDBETWEEN(1,30))</f>
        <v>R028</v>
      </c>
      <c r="E167" s="3" t="str">
        <f ca="1">INDEX(Vehicles!$A$2:$A$21,RANDBETWEEN(1,20))</f>
        <v>V011</v>
      </c>
      <c r="F167" s="3" t="str">
        <f ca="1">INDEX(Drivers!$A$2:$A$31,RANDBETWEEN(1,30))</f>
        <v>D018</v>
      </c>
      <c r="G167" s="3">
        <f t="shared" ca="1" si="35"/>
        <v>17.7</v>
      </c>
      <c r="H167" s="3">
        <f t="shared" ca="1" si="36"/>
        <v>37041</v>
      </c>
      <c r="I167" s="3">
        <f t="shared" ca="1" si="37"/>
        <v>10371</v>
      </c>
      <c r="J167" s="3">
        <f t="shared" ca="1" si="38"/>
        <v>1379</v>
      </c>
      <c r="K167" s="3">
        <f t="shared" ca="1" si="39"/>
        <v>19</v>
      </c>
      <c r="L167" s="3">
        <f t="shared" ca="1" si="40"/>
        <v>23</v>
      </c>
      <c r="M167" s="3">
        <f t="shared" ca="1" si="41"/>
        <v>4</v>
      </c>
      <c r="N167" s="3" t="str">
        <f t="shared" ca="1" si="42"/>
        <v>Delayed</v>
      </c>
      <c r="O167" s="3" t="str">
        <f t="shared" ca="1" si="43"/>
        <v>Medium</v>
      </c>
      <c r="P167" s="3">
        <f t="shared" ca="1" si="44"/>
        <v>59</v>
      </c>
      <c r="Q167" s="1" t="str">
        <f ca="1">VLOOKUP(D167,Routes!$A$2:$D$31,2,FALSE)</f>
        <v>Indore</v>
      </c>
      <c r="R167" s="1" t="str">
        <f ca="1">VLOOKUP(D167,Routes!$A$2:$D$31,3,FALSE)</f>
        <v>Mumbai</v>
      </c>
      <c r="S167" s="3">
        <f ca="1">VLOOKUP(D167,Routes!$A$2:$D$31,4,FALSE)</f>
        <v>590</v>
      </c>
      <c r="T167" s="3" t="str">
        <f ca="1">VLOOKUP(E167,Vehicles!$A$2:$D$21,2,FALSE)</f>
        <v>Truck</v>
      </c>
      <c r="U167" s="3">
        <f ca="1">VLOOKUP(E167,Vehicles!$A$2:$D$21,3,FALSE)</f>
        <v>18</v>
      </c>
      <c r="V167" s="3" t="str">
        <f ca="1">VLOOKUP(E167,Vehicles!$A$2:$D$21,4,FALSE)</f>
        <v>CNG</v>
      </c>
      <c r="W167" s="3">
        <f ca="1">VLOOKUP(V167,Fuel_Rates!$A$2:$B$3,2,FALSE)</f>
        <v>78</v>
      </c>
      <c r="X167" s="3">
        <f t="shared" ca="1" si="46"/>
        <v>62.78</v>
      </c>
      <c r="Y167" s="3">
        <f t="shared" ca="1" si="47"/>
        <v>48791</v>
      </c>
      <c r="Z167" s="3" t="str">
        <f t="shared" ca="1" si="48"/>
        <v>Apr</v>
      </c>
      <c r="AA167" s="3" t="str">
        <f t="shared" ca="1" si="49"/>
        <v>Q2</v>
      </c>
      <c r="AB167" s="4" t="str">
        <f t="shared" ca="1" si="50"/>
        <v>Medium Haul</v>
      </c>
    </row>
    <row r="168" spans="1:28" x14ac:dyDescent="0.3">
      <c r="A168" s="8" t="str">
        <f t="shared" si="45"/>
        <v>S0167</v>
      </c>
      <c r="B168" s="3">
        <f t="shared" ca="1" si="34"/>
        <v>45803</v>
      </c>
      <c r="C168" s="3" t="str">
        <f ca="1">INDEX(Customers!$A$2:$A$21,RANDBETWEEN(1,20))</f>
        <v>C016</v>
      </c>
      <c r="D168" s="3" t="str">
        <f ca="1">INDEX(Routes!$A$2:$A$31,RANDBETWEEN(1,30))</f>
        <v>R029</v>
      </c>
      <c r="E168" s="3" t="str">
        <f ca="1">INDEX(Vehicles!$A$2:$A$21,RANDBETWEEN(1,20))</f>
        <v>V018</v>
      </c>
      <c r="F168" s="3" t="str">
        <f ca="1">INDEX(Drivers!$A$2:$A$31,RANDBETWEEN(1,30))</f>
        <v>D015</v>
      </c>
      <c r="G168" s="3">
        <f t="shared" ca="1" si="35"/>
        <v>23.4</v>
      </c>
      <c r="H168" s="3">
        <f t="shared" ca="1" si="36"/>
        <v>54601</v>
      </c>
      <c r="I168" s="3">
        <f t="shared" ca="1" si="37"/>
        <v>15288</v>
      </c>
      <c r="J168" s="3">
        <f t="shared" ca="1" si="38"/>
        <v>1858</v>
      </c>
      <c r="K168" s="3">
        <f t="shared" ca="1" si="39"/>
        <v>4</v>
      </c>
      <c r="L168" s="3">
        <f t="shared" ca="1" si="40"/>
        <v>12</v>
      </c>
      <c r="M168" s="3">
        <f t="shared" ca="1" si="41"/>
        <v>8</v>
      </c>
      <c r="N168" s="3" t="str">
        <f t="shared" ca="1" si="42"/>
        <v>Delayed</v>
      </c>
      <c r="O168" s="3" t="str">
        <f t="shared" ca="1" si="43"/>
        <v>Low</v>
      </c>
      <c r="P168" s="3">
        <f t="shared" ca="1" si="44"/>
        <v>78</v>
      </c>
      <c r="Q168" s="1" t="str">
        <f ca="1">VLOOKUP(D168,Routes!$A$2:$D$31,2,FALSE)</f>
        <v>Chandigarh</v>
      </c>
      <c r="R168" s="1" t="str">
        <f ca="1">VLOOKUP(D168,Routes!$A$2:$D$31,3,FALSE)</f>
        <v>Delhi</v>
      </c>
      <c r="S168" s="3">
        <f ca="1">VLOOKUP(D168,Routes!$A$2:$D$31,4,FALSE)</f>
        <v>250</v>
      </c>
      <c r="T168" s="3" t="str">
        <f ca="1">VLOOKUP(E168,Vehicles!$A$2:$D$21,2,FALSE)</f>
        <v>Truck</v>
      </c>
      <c r="U168" s="3">
        <f ca="1">VLOOKUP(E168,Vehicles!$A$2:$D$21,3,FALSE)</f>
        <v>26</v>
      </c>
      <c r="V168" s="3" t="str">
        <f ca="1">VLOOKUP(E168,Vehicles!$A$2:$D$21,4,FALSE)</f>
        <v>Diesel</v>
      </c>
      <c r="W168" s="3">
        <f ca="1">VLOOKUP(V168,Fuel_Rates!$A$2:$B$3,2,FALSE)</f>
        <v>95</v>
      </c>
      <c r="X168" s="3">
        <f t="shared" ca="1" si="46"/>
        <v>218.4</v>
      </c>
      <c r="Y168" s="3">
        <f t="shared" ca="1" si="47"/>
        <v>71747</v>
      </c>
      <c r="Z168" s="3" t="str">
        <f t="shared" ca="1" si="48"/>
        <v>May</v>
      </c>
      <c r="AA168" s="3" t="str">
        <f t="shared" ca="1" si="49"/>
        <v>Q2</v>
      </c>
      <c r="AB168" s="4" t="str">
        <f t="shared" ca="1" si="50"/>
        <v>Short Haul</v>
      </c>
    </row>
    <row r="169" spans="1:28" x14ac:dyDescent="0.3">
      <c r="A169" s="8" t="str">
        <f t="shared" si="45"/>
        <v>S0168</v>
      </c>
      <c r="B169" s="3">
        <f t="shared" ca="1" si="34"/>
        <v>45980</v>
      </c>
      <c r="C169" s="3" t="str">
        <f ca="1">INDEX(Customers!$A$2:$A$21,RANDBETWEEN(1,20))</f>
        <v>C004</v>
      </c>
      <c r="D169" s="3" t="str">
        <f ca="1">INDEX(Routes!$A$2:$A$31,RANDBETWEEN(1,30))</f>
        <v>R011</v>
      </c>
      <c r="E169" s="3" t="str">
        <f ca="1">INDEX(Vehicles!$A$2:$A$21,RANDBETWEEN(1,20))</f>
        <v>V018</v>
      </c>
      <c r="F169" s="3" t="str">
        <f ca="1">INDEX(Drivers!$A$2:$A$31,RANDBETWEEN(1,30))</f>
        <v>D025</v>
      </c>
      <c r="G169" s="3">
        <f t="shared" ca="1" si="35"/>
        <v>12</v>
      </c>
      <c r="H169" s="3">
        <f t="shared" ca="1" si="36"/>
        <v>29078</v>
      </c>
      <c r="I169" s="3">
        <f t="shared" ca="1" si="37"/>
        <v>8142</v>
      </c>
      <c r="J169" s="3">
        <f t="shared" ca="1" si="38"/>
        <v>1595</v>
      </c>
      <c r="K169" s="3">
        <f t="shared" ca="1" si="39"/>
        <v>47</v>
      </c>
      <c r="L169" s="3">
        <f t="shared" ca="1" si="40"/>
        <v>53</v>
      </c>
      <c r="M169" s="3">
        <f t="shared" ca="1" si="41"/>
        <v>6</v>
      </c>
      <c r="N169" s="3" t="str">
        <f t="shared" ca="1" si="42"/>
        <v>Delayed</v>
      </c>
      <c r="O169" s="3" t="str">
        <f t="shared" ca="1" si="43"/>
        <v>High</v>
      </c>
      <c r="P169" s="3">
        <f t="shared" ca="1" si="44"/>
        <v>40</v>
      </c>
      <c r="Q169" s="1" t="str">
        <f ca="1">VLOOKUP(D169,Routes!$A$2:$D$31,2,FALSE)</f>
        <v>Bengaluru</v>
      </c>
      <c r="R169" s="1" t="str">
        <f ca="1">VLOOKUP(D169,Routes!$A$2:$D$31,3,FALSE)</f>
        <v>Kochi</v>
      </c>
      <c r="S169" s="3">
        <f ca="1">VLOOKUP(D169,Routes!$A$2:$D$31,4,FALSE)</f>
        <v>550</v>
      </c>
      <c r="T169" s="3" t="str">
        <f ca="1">VLOOKUP(E169,Vehicles!$A$2:$D$21,2,FALSE)</f>
        <v>Truck</v>
      </c>
      <c r="U169" s="3">
        <f ca="1">VLOOKUP(E169,Vehicles!$A$2:$D$21,3,FALSE)</f>
        <v>26</v>
      </c>
      <c r="V169" s="3" t="str">
        <f ca="1">VLOOKUP(E169,Vehicles!$A$2:$D$21,4,FALSE)</f>
        <v>Diesel</v>
      </c>
      <c r="W169" s="3">
        <f ca="1">VLOOKUP(V169,Fuel_Rates!$A$2:$B$3,2,FALSE)</f>
        <v>95</v>
      </c>
      <c r="X169" s="3">
        <f t="shared" ca="1" si="46"/>
        <v>52.87</v>
      </c>
      <c r="Y169" s="3">
        <f t="shared" ca="1" si="47"/>
        <v>38815</v>
      </c>
      <c r="Z169" s="3" t="str">
        <f t="shared" ca="1" si="48"/>
        <v>Nov</v>
      </c>
      <c r="AA169" s="3" t="str">
        <f t="shared" ca="1" si="49"/>
        <v>Q4</v>
      </c>
      <c r="AB169" s="4" t="str">
        <f t="shared" ca="1" si="50"/>
        <v>Medium Haul</v>
      </c>
    </row>
    <row r="170" spans="1:28" x14ac:dyDescent="0.3">
      <c r="A170" s="8" t="str">
        <f t="shared" si="45"/>
        <v>S0169</v>
      </c>
      <c r="B170" s="3">
        <f t="shared" ca="1" si="34"/>
        <v>45923</v>
      </c>
      <c r="C170" s="3" t="str">
        <f ca="1">INDEX(Customers!$A$2:$A$21,RANDBETWEEN(1,20))</f>
        <v>C015</v>
      </c>
      <c r="D170" s="3" t="str">
        <f ca="1">INDEX(Routes!$A$2:$A$31,RANDBETWEEN(1,30))</f>
        <v>R022</v>
      </c>
      <c r="E170" s="3" t="str">
        <f ca="1">INDEX(Vehicles!$A$2:$A$21,RANDBETWEEN(1,20))</f>
        <v>V019</v>
      </c>
      <c r="F170" s="3" t="str">
        <f ca="1">INDEX(Drivers!$A$2:$A$31,RANDBETWEEN(1,30))</f>
        <v>D013</v>
      </c>
      <c r="G170" s="3">
        <f t="shared" ca="1" si="35"/>
        <v>11.3</v>
      </c>
      <c r="H170" s="3">
        <f t="shared" ca="1" si="36"/>
        <v>34579</v>
      </c>
      <c r="I170" s="3">
        <f t="shared" ca="1" si="37"/>
        <v>9682</v>
      </c>
      <c r="J170" s="3">
        <f t="shared" ca="1" si="38"/>
        <v>878</v>
      </c>
      <c r="K170" s="3">
        <f t="shared" ca="1" si="39"/>
        <v>31</v>
      </c>
      <c r="L170" s="3">
        <f t="shared" ca="1" si="40"/>
        <v>38</v>
      </c>
      <c r="M170" s="3">
        <f t="shared" ca="1" si="41"/>
        <v>7</v>
      </c>
      <c r="N170" s="3" t="str">
        <f t="shared" ca="1" si="42"/>
        <v>Delayed</v>
      </c>
      <c r="O170" s="3" t="str">
        <f t="shared" ca="1" si="43"/>
        <v>Low</v>
      </c>
      <c r="P170" s="3">
        <f t="shared" ca="1" si="44"/>
        <v>37.700000000000003</v>
      </c>
      <c r="Q170" s="1" t="str">
        <f ca="1">VLOOKUP(D170,Routes!$A$2:$D$31,2,FALSE)</f>
        <v>Jaipur</v>
      </c>
      <c r="R170" s="1" t="str">
        <f ca="1">VLOOKUP(D170,Routes!$A$2:$D$31,3,FALSE)</f>
        <v>Indore</v>
      </c>
      <c r="S170" s="3">
        <f ca="1">VLOOKUP(D170,Routes!$A$2:$D$31,4,FALSE)</f>
        <v>600</v>
      </c>
      <c r="T170" s="3" t="str">
        <f ca="1">VLOOKUP(E170,Vehicles!$A$2:$D$21,2,FALSE)</f>
        <v>Trailer</v>
      </c>
      <c r="U170" s="3">
        <f ca="1">VLOOKUP(E170,Vehicles!$A$2:$D$21,3,FALSE)</f>
        <v>35</v>
      </c>
      <c r="V170" s="3" t="str">
        <f ca="1">VLOOKUP(E170,Vehicles!$A$2:$D$21,4,FALSE)</f>
        <v>Diesel</v>
      </c>
      <c r="W170" s="3">
        <f ca="1">VLOOKUP(V170,Fuel_Rates!$A$2:$B$3,2,FALSE)</f>
        <v>95</v>
      </c>
      <c r="X170" s="3">
        <f t="shared" ca="1" si="46"/>
        <v>57.63</v>
      </c>
      <c r="Y170" s="3">
        <f t="shared" ca="1" si="47"/>
        <v>45139</v>
      </c>
      <c r="Z170" s="3" t="str">
        <f t="shared" ca="1" si="48"/>
        <v>Sep</v>
      </c>
      <c r="AA170" s="3" t="str">
        <f t="shared" ca="1" si="49"/>
        <v>Q3</v>
      </c>
      <c r="AB170" s="4" t="str">
        <f t="shared" ca="1" si="50"/>
        <v>Medium Haul</v>
      </c>
    </row>
    <row r="171" spans="1:28" x14ac:dyDescent="0.3">
      <c r="A171" s="8" t="str">
        <f t="shared" si="45"/>
        <v>S0170</v>
      </c>
      <c r="B171" s="3">
        <f t="shared" ca="1" si="34"/>
        <v>45905</v>
      </c>
      <c r="C171" s="3" t="str">
        <f ca="1">INDEX(Customers!$A$2:$A$21,RANDBETWEEN(1,20))</f>
        <v>C002</v>
      </c>
      <c r="D171" s="3" t="str">
        <f ca="1">INDEX(Routes!$A$2:$A$31,RANDBETWEEN(1,30))</f>
        <v>R028</v>
      </c>
      <c r="E171" s="3" t="str">
        <f ca="1">INDEX(Vehicles!$A$2:$A$21,RANDBETWEEN(1,20))</f>
        <v>V011</v>
      </c>
      <c r="F171" s="3" t="str">
        <f ca="1">INDEX(Drivers!$A$2:$A$31,RANDBETWEEN(1,30))</f>
        <v>D019</v>
      </c>
      <c r="G171" s="3">
        <f t="shared" ca="1" si="35"/>
        <v>22.5</v>
      </c>
      <c r="H171" s="3">
        <f t="shared" ca="1" si="36"/>
        <v>51567</v>
      </c>
      <c r="I171" s="3">
        <f t="shared" ca="1" si="37"/>
        <v>14439</v>
      </c>
      <c r="J171" s="3">
        <f t="shared" ca="1" si="38"/>
        <v>3168</v>
      </c>
      <c r="K171" s="3">
        <f t="shared" ca="1" si="39"/>
        <v>30</v>
      </c>
      <c r="L171" s="3">
        <f t="shared" ca="1" si="40"/>
        <v>37</v>
      </c>
      <c r="M171" s="3">
        <f t="shared" ca="1" si="41"/>
        <v>7</v>
      </c>
      <c r="N171" s="3" t="str">
        <f t="shared" ca="1" si="42"/>
        <v>Delayed</v>
      </c>
      <c r="O171" s="3" t="str">
        <f t="shared" ca="1" si="43"/>
        <v>Medium</v>
      </c>
      <c r="P171" s="3">
        <f t="shared" ca="1" si="44"/>
        <v>75</v>
      </c>
      <c r="Q171" s="1" t="str">
        <f ca="1">VLOOKUP(D171,Routes!$A$2:$D$31,2,FALSE)</f>
        <v>Indore</v>
      </c>
      <c r="R171" s="1" t="str">
        <f ca="1">VLOOKUP(D171,Routes!$A$2:$D$31,3,FALSE)</f>
        <v>Mumbai</v>
      </c>
      <c r="S171" s="3">
        <f ca="1">VLOOKUP(D171,Routes!$A$2:$D$31,4,FALSE)</f>
        <v>590</v>
      </c>
      <c r="T171" s="3" t="str">
        <f ca="1">VLOOKUP(E171,Vehicles!$A$2:$D$21,2,FALSE)</f>
        <v>Truck</v>
      </c>
      <c r="U171" s="3">
        <f ca="1">VLOOKUP(E171,Vehicles!$A$2:$D$21,3,FALSE)</f>
        <v>18</v>
      </c>
      <c r="V171" s="3" t="str">
        <f ca="1">VLOOKUP(E171,Vehicles!$A$2:$D$21,4,FALSE)</f>
        <v>CNG</v>
      </c>
      <c r="W171" s="3">
        <f ca="1">VLOOKUP(V171,Fuel_Rates!$A$2:$B$3,2,FALSE)</f>
        <v>78</v>
      </c>
      <c r="X171" s="3">
        <f t="shared" ca="1" si="46"/>
        <v>87.4</v>
      </c>
      <c r="Y171" s="3">
        <f t="shared" ca="1" si="47"/>
        <v>69174</v>
      </c>
      <c r="Z171" s="3" t="str">
        <f t="shared" ca="1" si="48"/>
        <v>Sep</v>
      </c>
      <c r="AA171" s="3" t="str">
        <f t="shared" ca="1" si="49"/>
        <v>Q3</v>
      </c>
      <c r="AB171" s="4" t="str">
        <f t="shared" ca="1" si="50"/>
        <v>Medium Haul</v>
      </c>
    </row>
    <row r="172" spans="1:28" x14ac:dyDescent="0.3">
      <c r="A172" s="8" t="str">
        <f t="shared" si="45"/>
        <v>S0171</v>
      </c>
      <c r="B172" s="3">
        <f t="shared" ca="1" si="34"/>
        <v>45925</v>
      </c>
      <c r="C172" s="3" t="str">
        <f ca="1">INDEX(Customers!$A$2:$A$21,RANDBETWEEN(1,20))</f>
        <v>C004</v>
      </c>
      <c r="D172" s="3" t="str">
        <f ca="1">INDEX(Routes!$A$2:$A$31,RANDBETWEEN(1,30))</f>
        <v>R018</v>
      </c>
      <c r="E172" s="3" t="str">
        <f ca="1">INDEX(Vehicles!$A$2:$A$21,RANDBETWEEN(1,20))</f>
        <v>V009</v>
      </c>
      <c r="F172" s="3" t="str">
        <f ca="1">INDEX(Drivers!$A$2:$A$31,RANDBETWEEN(1,30))</f>
        <v>D021</v>
      </c>
      <c r="G172" s="3">
        <f t="shared" ca="1" si="35"/>
        <v>15</v>
      </c>
      <c r="H172" s="3">
        <f t="shared" ca="1" si="36"/>
        <v>36099</v>
      </c>
      <c r="I172" s="3">
        <f t="shared" ca="1" si="37"/>
        <v>10108</v>
      </c>
      <c r="J172" s="3">
        <f t="shared" ca="1" si="38"/>
        <v>3390</v>
      </c>
      <c r="K172" s="3">
        <f t="shared" ca="1" si="39"/>
        <v>27</v>
      </c>
      <c r="L172" s="3">
        <f t="shared" ca="1" si="40"/>
        <v>31</v>
      </c>
      <c r="M172" s="3">
        <f t="shared" ca="1" si="41"/>
        <v>4</v>
      </c>
      <c r="N172" s="3" t="str">
        <f t="shared" ca="1" si="42"/>
        <v>Delayed</v>
      </c>
      <c r="O172" s="3" t="str">
        <f t="shared" ca="1" si="43"/>
        <v>Medium</v>
      </c>
      <c r="P172" s="3">
        <f t="shared" ca="1" si="44"/>
        <v>50</v>
      </c>
      <c r="Q172" s="1" t="str">
        <f ca="1">VLOOKUP(D172,Routes!$A$2:$D$31,2,FALSE)</f>
        <v>Ahmedabad</v>
      </c>
      <c r="R172" s="1" t="str">
        <f ca="1">VLOOKUP(D172,Routes!$A$2:$D$31,3,FALSE)</f>
        <v>Jaipur</v>
      </c>
      <c r="S172" s="3">
        <f ca="1">VLOOKUP(D172,Routes!$A$2:$D$31,4,FALSE)</f>
        <v>670</v>
      </c>
      <c r="T172" s="3" t="str">
        <f ca="1">VLOOKUP(E172,Vehicles!$A$2:$D$21,2,FALSE)</f>
        <v>LCV</v>
      </c>
      <c r="U172" s="3">
        <f ca="1">VLOOKUP(E172,Vehicles!$A$2:$D$21,3,FALSE)</f>
        <v>5</v>
      </c>
      <c r="V172" s="3" t="str">
        <f ca="1">VLOOKUP(E172,Vehicles!$A$2:$D$21,4,FALSE)</f>
        <v>Diesel</v>
      </c>
      <c r="W172" s="3">
        <f ca="1">VLOOKUP(V172,Fuel_Rates!$A$2:$B$3,2,FALSE)</f>
        <v>95</v>
      </c>
      <c r="X172" s="3">
        <f t="shared" ca="1" si="46"/>
        <v>53.88</v>
      </c>
      <c r="Y172" s="3">
        <f t="shared" ca="1" si="47"/>
        <v>49597</v>
      </c>
      <c r="Z172" s="3" t="str">
        <f t="shared" ca="1" si="48"/>
        <v>Sep</v>
      </c>
      <c r="AA172" s="3" t="str">
        <f t="shared" ca="1" si="49"/>
        <v>Q3</v>
      </c>
      <c r="AB172" s="4" t="str">
        <f t="shared" ca="1" si="50"/>
        <v>Medium Haul</v>
      </c>
    </row>
    <row r="173" spans="1:28" x14ac:dyDescent="0.3">
      <c r="A173" s="8" t="str">
        <f t="shared" si="45"/>
        <v>S0172</v>
      </c>
      <c r="B173" s="3">
        <f t="shared" ca="1" si="34"/>
        <v>45865</v>
      </c>
      <c r="C173" s="3" t="str">
        <f ca="1">INDEX(Customers!$A$2:$A$21,RANDBETWEEN(1,20))</f>
        <v>C018</v>
      </c>
      <c r="D173" s="3" t="str">
        <f ca="1">INDEX(Routes!$A$2:$A$31,RANDBETWEEN(1,30))</f>
        <v>R015</v>
      </c>
      <c r="E173" s="3" t="str">
        <f ca="1">INDEX(Vehicles!$A$2:$A$21,RANDBETWEEN(1,20))</f>
        <v>V007</v>
      </c>
      <c r="F173" s="3" t="str">
        <f ca="1">INDEX(Drivers!$A$2:$A$31,RANDBETWEEN(1,30))</f>
        <v>D021</v>
      </c>
      <c r="G173" s="3">
        <f t="shared" ca="1" si="35"/>
        <v>14.9</v>
      </c>
      <c r="H173" s="3">
        <f t="shared" ca="1" si="36"/>
        <v>37882</v>
      </c>
      <c r="I173" s="3">
        <f t="shared" ca="1" si="37"/>
        <v>10607</v>
      </c>
      <c r="J173" s="3">
        <f t="shared" ca="1" si="38"/>
        <v>1852</v>
      </c>
      <c r="K173" s="3">
        <f t="shared" ca="1" si="39"/>
        <v>43</v>
      </c>
      <c r="L173" s="3">
        <f t="shared" ca="1" si="40"/>
        <v>48</v>
      </c>
      <c r="M173" s="3">
        <f t="shared" ca="1" si="41"/>
        <v>5</v>
      </c>
      <c r="N173" s="3" t="str">
        <f t="shared" ca="1" si="42"/>
        <v>Delayed</v>
      </c>
      <c r="O173" s="3" t="str">
        <f t="shared" ca="1" si="43"/>
        <v>Low</v>
      </c>
      <c r="P173" s="3">
        <f t="shared" ca="1" si="44"/>
        <v>49.7</v>
      </c>
      <c r="Q173" s="1" t="str">
        <f ca="1">VLOOKUP(D173,Routes!$A$2:$D$31,2,FALSE)</f>
        <v>Hyderabad</v>
      </c>
      <c r="R173" s="1" t="str">
        <f ca="1">VLOOKUP(D173,Routes!$A$2:$D$31,3,FALSE)</f>
        <v>Pune</v>
      </c>
      <c r="S173" s="3">
        <f ca="1">VLOOKUP(D173,Routes!$A$2:$D$31,4,FALSE)</f>
        <v>560</v>
      </c>
      <c r="T173" s="3" t="str">
        <f ca="1">VLOOKUP(E173,Vehicles!$A$2:$D$21,2,FALSE)</f>
        <v>Container</v>
      </c>
      <c r="U173" s="3">
        <f ca="1">VLOOKUP(E173,Vehicles!$A$2:$D$21,3,FALSE)</f>
        <v>20</v>
      </c>
      <c r="V173" s="3" t="str">
        <f ca="1">VLOOKUP(E173,Vehicles!$A$2:$D$21,4,FALSE)</f>
        <v>Diesel</v>
      </c>
      <c r="W173" s="3">
        <f ca="1">VLOOKUP(V173,Fuel_Rates!$A$2:$B$3,2,FALSE)</f>
        <v>95</v>
      </c>
      <c r="X173" s="3">
        <f t="shared" ca="1" si="46"/>
        <v>67.650000000000006</v>
      </c>
      <c r="Y173" s="3">
        <f t="shared" ca="1" si="47"/>
        <v>50341</v>
      </c>
      <c r="Z173" s="3" t="str">
        <f t="shared" ca="1" si="48"/>
        <v>Jul</v>
      </c>
      <c r="AA173" s="3" t="str">
        <f t="shared" ca="1" si="49"/>
        <v>Q3</v>
      </c>
      <c r="AB173" s="4" t="str">
        <f t="shared" ca="1" si="50"/>
        <v>Medium Haul</v>
      </c>
    </row>
    <row r="174" spans="1:28" x14ac:dyDescent="0.3">
      <c r="A174" s="8" t="str">
        <f t="shared" si="45"/>
        <v>S0173</v>
      </c>
      <c r="B174" s="3">
        <f t="shared" ca="1" si="34"/>
        <v>45762</v>
      </c>
      <c r="C174" s="3" t="str">
        <f ca="1">INDEX(Customers!$A$2:$A$21,RANDBETWEEN(1,20))</f>
        <v>C010</v>
      </c>
      <c r="D174" s="3" t="str">
        <f ca="1">INDEX(Routes!$A$2:$A$31,RANDBETWEEN(1,30))</f>
        <v>R019</v>
      </c>
      <c r="E174" s="3" t="str">
        <f ca="1">INDEX(Vehicles!$A$2:$A$21,RANDBETWEEN(1,20))</f>
        <v>V006</v>
      </c>
      <c r="F174" s="3" t="str">
        <f ca="1">INDEX(Drivers!$A$2:$A$31,RANDBETWEEN(1,30))</f>
        <v>D007</v>
      </c>
      <c r="G174" s="3">
        <f t="shared" ca="1" si="35"/>
        <v>9.6</v>
      </c>
      <c r="H174" s="3">
        <f t="shared" ca="1" si="36"/>
        <v>25829</v>
      </c>
      <c r="I174" s="3">
        <f t="shared" ca="1" si="37"/>
        <v>7232</v>
      </c>
      <c r="J174" s="3">
        <f t="shared" ca="1" si="38"/>
        <v>955</v>
      </c>
      <c r="K174" s="3">
        <f t="shared" ca="1" si="39"/>
        <v>5</v>
      </c>
      <c r="L174" s="3">
        <f t="shared" ca="1" si="40"/>
        <v>13</v>
      </c>
      <c r="M174" s="3">
        <f t="shared" ca="1" si="41"/>
        <v>8</v>
      </c>
      <c r="N174" s="3" t="str">
        <f t="shared" ca="1" si="42"/>
        <v>Delayed</v>
      </c>
      <c r="O174" s="3" t="str">
        <f t="shared" ca="1" si="43"/>
        <v>Medium</v>
      </c>
      <c r="P174" s="3">
        <f t="shared" ca="1" si="44"/>
        <v>32</v>
      </c>
      <c r="Q174" s="1" t="str">
        <f ca="1">VLOOKUP(D174,Routes!$A$2:$D$31,2,FALSE)</f>
        <v>Ahmedabad</v>
      </c>
      <c r="R174" s="1" t="str">
        <f ca="1">VLOOKUP(D174,Routes!$A$2:$D$31,3,FALSE)</f>
        <v>Indore</v>
      </c>
      <c r="S174" s="3">
        <f ca="1">VLOOKUP(D174,Routes!$A$2:$D$31,4,FALSE)</f>
        <v>390</v>
      </c>
      <c r="T174" s="3" t="str">
        <f ca="1">VLOOKUP(E174,Vehicles!$A$2:$D$21,2,FALSE)</f>
        <v>Container</v>
      </c>
      <c r="U174" s="3">
        <f ca="1">VLOOKUP(E174,Vehicles!$A$2:$D$21,3,FALSE)</f>
        <v>18</v>
      </c>
      <c r="V174" s="3" t="str">
        <f ca="1">VLOOKUP(E174,Vehicles!$A$2:$D$21,4,FALSE)</f>
        <v>Diesel</v>
      </c>
      <c r="W174" s="3">
        <f ca="1">VLOOKUP(V174,Fuel_Rates!$A$2:$B$3,2,FALSE)</f>
        <v>95</v>
      </c>
      <c r="X174" s="3">
        <f t="shared" ca="1" si="46"/>
        <v>66.23</v>
      </c>
      <c r="Y174" s="3">
        <f t="shared" ca="1" si="47"/>
        <v>34016</v>
      </c>
      <c r="Z174" s="3" t="str">
        <f t="shared" ca="1" si="48"/>
        <v>Apr</v>
      </c>
      <c r="AA174" s="3" t="str">
        <f t="shared" ca="1" si="49"/>
        <v>Q2</v>
      </c>
      <c r="AB174" s="4" t="str">
        <f t="shared" ca="1" si="50"/>
        <v>Medium Haul</v>
      </c>
    </row>
    <row r="175" spans="1:28" x14ac:dyDescent="0.3">
      <c r="A175" s="8" t="str">
        <f t="shared" si="45"/>
        <v>S0174</v>
      </c>
      <c r="B175" s="3">
        <f t="shared" ca="1" si="34"/>
        <v>45824</v>
      </c>
      <c r="C175" s="3" t="str">
        <f ca="1">INDEX(Customers!$A$2:$A$21,RANDBETWEEN(1,20))</f>
        <v>C014</v>
      </c>
      <c r="D175" s="3" t="str">
        <f ca="1">INDEX(Routes!$A$2:$A$31,RANDBETWEEN(1,30))</f>
        <v>R007</v>
      </c>
      <c r="E175" s="3" t="str">
        <f ca="1">INDEX(Vehicles!$A$2:$A$21,RANDBETWEEN(1,20))</f>
        <v>V018</v>
      </c>
      <c r="F175" s="3" t="str">
        <f ca="1">INDEX(Drivers!$A$2:$A$31,RANDBETWEEN(1,30))</f>
        <v>D016</v>
      </c>
      <c r="G175" s="3">
        <f t="shared" ca="1" si="35"/>
        <v>10.7</v>
      </c>
      <c r="H175" s="3">
        <f t="shared" ca="1" si="36"/>
        <v>28620</v>
      </c>
      <c r="I175" s="3">
        <f t="shared" ca="1" si="37"/>
        <v>8014</v>
      </c>
      <c r="J175" s="3">
        <f t="shared" ca="1" si="38"/>
        <v>1182</v>
      </c>
      <c r="K175" s="3">
        <f t="shared" ca="1" si="39"/>
        <v>16</v>
      </c>
      <c r="L175" s="3">
        <f t="shared" ca="1" si="40"/>
        <v>21</v>
      </c>
      <c r="M175" s="3">
        <f t="shared" ca="1" si="41"/>
        <v>5</v>
      </c>
      <c r="N175" s="3" t="str">
        <f t="shared" ca="1" si="42"/>
        <v>Delayed</v>
      </c>
      <c r="O175" s="3" t="str">
        <f t="shared" ca="1" si="43"/>
        <v>Medium</v>
      </c>
      <c r="P175" s="3">
        <f t="shared" ca="1" si="44"/>
        <v>35.700000000000003</v>
      </c>
      <c r="Q175" s="1" t="str">
        <f ca="1">VLOOKUP(D175,Routes!$A$2:$D$31,2,FALSE)</f>
        <v>Delhi</v>
      </c>
      <c r="R175" s="1" t="str">
        <f ca="1">VLOOKUP(D175,Routes!$A$2:$D$31,3,FALSE)</f>
        <v>Chandigarh</v>
      </c>
      <c r="S175" s="3">
        <f ca="1">VLOOKUP(D175,Routes!$A$2:$D$31,4,FALSE)</f>
        <v>250</v>
      </c>
      <c r="T175" s="3" t="str">
        <f ca="1">VLOOKUP(E175,Vehicles!$A$2:$D$21,2,FALSE)</f>
        <v>Truck</v>
      </c>
      <c r="U175" s="3">
        <f ca="1">VLOOKUP(E175,Vehicles!$A$2:$D$21,3,FALSE)</f>
        <v>26</v>
      </c>
      <c r="V175" s="3" t="str">
        <f ca="1">VLOOKUP(E175,Vehicles!$A$2:$D$21,4,FALSE)</f>
        <v>Diesel</v>
      </c>
      <c r="W175" s="3">
        <f ca="1">VLOOKUP(V175,Fuel_Rates!$A$2:$B$3,2,FALSE)</f>
        <v>95</v>
      </c>
      <c r="X175" s="3">
        <f t="shared" ca="1" si="46"/>
        <v>114.48</v>
      </c>
      <c r="Y175" s="3">
        <f t="shared" ca="1" si="47"/>
        <v>37816</v>
      </c>
      <c r="Z175" s="3" t="str">
        <f t="shared" ca="1" si="48"/>
        <v>Jun</v>
      </c>
      <c r="AA175" s="3" t="str">
        <f t="shared" ca="1" si="49"/>
        <v>Q2</v>
      </c>
      <c r="AB175" s="4" t="str">
        <f t="shared" ca="1" si="50"/>
        <v>Short Haul</v>
      </c>
    </row>
    <row r="176" spans="1:28" x14ac:dyDescent="0.3">
      <c r="A176" s="8" t="str">
        <f t="shared" si="45"/>
        <v>S0175</v>
      </c>
      <c r="B176" s="3">
        <f t="shared" ca="1" si="34"/>
        <v>45907</v>
      </c>
      <c r="C176" s="3" t="str">
        <f ca="1">INDEX(Customers!$A$2:$A$21,RANDBETWEEN(1,20))</f>
        <v>C001</v>
      </c>
      <c r="D176" s="3" t="str">
        <f ca="1">INDEX(Routes!$A$2:$A$31,RANDBETWEEN(1,30))</f>
        <v>R009</v>
      </c>
      <c r="E176" s="3" t="str">
        <f ca="1">INDEX(Vehicles!$A$2:$A$21,RANDBETWEEN(1,20))</f>
        <v>V006</v>
      </c>
      <c r="F176" s="3" t="str">
        <f ca="1">INDEX(Drivers!$A$2:$A$31,RANDBETWEEN(1,30))</f>
        <v>D010</v>
      </c>
      <c r="G176" s="3">
        <f t="shared" ca="1" si="35"/>
        <v>26.4</v>
      </c>
      <c r="H176" s="3">
        <f t="shared" ca="1" si="36"/>
        <v>52676</v>
      </c>
      <c r="I176" s="3">
        <f t="shared" ca="1" si="37"/>
        <v>14749</v>
      </c>
      <c r="J176" s="3">
        <f t="shared" ca="1" si="38"/>
        <v>2086</v>
      </c>
      <c r="K176" s="3">
        <f t="shared" ca="1" si="39"/>
        <v>10</v>
      </c>
      <c r="L176" s="3">
        <f t="shared" ca="1" si="40"/>
        <v>17</v>
      </c>
      <c r="M176" s="3">
        <f t="shared" ca="1" si="41"/>
        <v>7</v>
      </c>
      <c r="N176" s="3" t="str">
        <f t="shared" ca="1" si="42"/>
        <v>Delayed</v>
      </c>
      <c r="O176" s="3" t="str">
        <f t="shared" ca="1" si="43"/>
        <v>High</v>
      </c>
      <c r="P176" s="3">
        <f t="shared" ca="1" si="44"/>
        <v>88</v>
      </c>
      <c r="Q176" s="1" t="str">
        <f ca="1">VLOOKUP(D176,Routes!$A$2:$D$31,2,FALSE)</f>
        <v>Bengaluru</v>
      </c>
      <c r="R176" s="1" t="str">
        <f ca="1">VLOOKUP(D176,Routes!$A$2:$D$31,3,FALSE)</f>
        <v>Chennai</v>
      </c>
      <c r="S176" s="3">
        <f ca="1">VLOOKUP(D176,Routes!$A$2:$D$31,4,FALSE)</f>
        <v>350</v>
      </c>
      <c r="T176" s="3" t="str">
        <f ca="1">VLOOKUP(E176,Vehicles!$A$2:$D$21,2,FALSE)</f>
        <v>Container</v>
      </c>
      <c r="U176" s="3">
        <f ca="1">VLOOKUP(E176,Vehicles!$A$2:$D$21,3,FALSE)</f>
        <v>18</v>
      </c>
      <c r="V176" s="3" t="str">
        <f ca="1">VLOOKUP(E176,Vehicles!$A$2:$D$21,4,FALSE)</f>
        <v>Diesel</v>
      </c>
      <c r="W176" s="3">
        <f ca="1">VLOOKUP(V176,Fuel_Rates!$A$2:$B$3,2,FALSE)</f>
        <v>95</v>
      </c>
      <c r="X176" s="3">
        <f t="shared" ca="1" si="46"/>
        <v>150.5</v>
      </c>
      <c r="Y176" s="3">
        <f t="shared" ca="1" si="47"/>
        <v>69511</v>
      </c>
      <c r="Z176" s="3" t="str">
        <f t="shared" ca="1" si="48"/>
        <v>Sep</v>
      </c>
      <c r="AA176" s="3" t="str">
        <f t="shared" ca="1" si="49"/>
        <v>Q3</v>
      </c>
      <c r="AB176" s="4" t="str">
        <f t="shared" ca="1" si="50"/>
        <v>Medium Haul</v>
      </c>
    </row>
    <row r="177" spans="1:28" x14ac:dyDescent="0.3">
      <c r="A177" s="8" t="str">
        <f t="shared" si="45"/>
        <v>S0176</v>
      </c>
      <c r="B177" s="3">
        <f t="shared" ca="1" si="34"/>
        <v>45672</v>
      </c>
      <c r="C177" s="3" t="str">
        <f ca="1">INDEX(Customers!$A$2:$A$21,RANDBETWEEN(1,20))</f>
        <v>C020</v>
      </c>
      <c r="D177" s="3" t="str">
        <f ca="1">INDEX(Routes!$A$2:$A$31,RANDBETWEEN(1,30))</f>
        <v>R024</v>
      </c>
      <c r="E177" s="3" t="str">
        <f ca="1">INDEX(Vehicles!$A$2:$A$21,RANDBETWEEN(1,20))</f>
        <v>V016</v>
      </c>
      <c r="F177" s="3" t="str">
        <f ca="1">INDEX(Drivers!$A$2:$A$31,RANDBETWEEN(1,30))</f>
        <v>D009</v>
      </c>
      <c r="G177" s="3">
        <f t="shared" ca="1" si="35"/>
        <v>28</v>
      </c>
      <c r="H177" s="3">
        <f t="shared" ca="1" si="36"/>
        <v>63941</v>
      </c>
      <c r="I177" s="3">
        <f t="shared" ca="1" si="37"/>
        <v>17903</v>
      </c>
      <c r="J177" s="3">
        <f t="shared" ca="1" si="38"/>
        <v>3641</v>
      </c>
      <c r="K177" s="3">
        <f t="shared" ca="1" si="39"/>
        <v>21</v>
      </c>
      <c r="L177" s="3">
        <f t="shared" ca="1" si="40"/>
        <v>22</v>
      </c>
      <c r="M177" s="3">
        <f t="shared" ca="1" si="41"/>
        <v>1</v>
      </c>
      <c r="N177" s="3" t="str">
        <f t="shared" ca="1" si="42"/>
        <v>On Time</v>
      </c>
      <c r="O177" s="3" t="str">
        <f t="shared" ca="1" si="43"/>
        <v>High</v>
      </c>
      <c r="P177" s="3">
        <f t="shared" ca="1" si="44"/>
        <v>93.3</v>
      </c>
      <c r="Q177" s="1" t="str">
        <f ca="1">VLOOKUP(D177,Routes!$A$2:$D$31,2,FALSE)</f>
        <v>Surat</v>
      </c>
      <c r="R177" s="1" t="str">
        <f ca="1">VLOOKUP(D177,Routes!$A$2:$D$31,3,FALSE)</f>
        <v>Mumbai</v>
      </c>
      <c r="S177" s="3">
        <f ca="1">VLOOKUP(D177,Routes!$A$2:$D$31,4,FALSE)</f>
        <v>280</v>
      </c>
      <c r="T177" s="3" t="str">
        <f ca="1">VLOOKUP(E177,Vehicles!$A$2:$D$21,2,FALSE)</f>
        <v>Container</v>
      </c>
      <c r="U177" s="3">
        <f ca="1">VLOOKUP(E177,Vehicles!$A$2:$D$21,3,FALSE)</f>
        <v>22</v>
      </c>
      <c r="V177" s="3" t="str">
        <f ca="1">VLOOKUP(E177,Vehicles!$A$2:$D$21,4,FALSE)</f>
        <v>Diesel</v>
      </c>
      <c r="W177" s="3">
        <f ca="1">VLOOKUP(V177,Fuel_Rates!$A$2:$B$3,2,FALSE)</f>
        <v>95</v>
      </c>
      <c r="X177" s="3">
        <f t="shared" ca="1" si="46"/>
        <v>228.36</v>
      </c>
      <c r="Y177" s="3">
        <f t="shared" ca="1" si="47"/>
        <v>85485</v>
      </c>
      <c r="Z177" s="3" t="str">
        <f t="shared" ca="1" si="48"/>
        <v>Jan</v>
      </c>
      <c r="AA177" s="3" t="str">
        <f t="shared" ca="1" si="49"/>
        <v>Q1</v>
      </c>
      <c r="AB177" s="4" t="str">
        <f t="shared" ca="1" si="50"/>
        <v>Short Haul</v>
      </c>
    </row>
    <row r="178" spans="1:28" x14ac:dyDescent="0.3">
      <c r="A178" s="8" t="str">
        <f t="shared" si="45"/>
        <v>S0177</v>
      </c>
      <c r="B178" s="3">
        <f t="shared" ca="1" si="34"/>
        <v>45974</v>
      </c>
      <c r="C178" s="3" t="str">
        <f ca="1">INDEX(Customers!$A$2:$A$21,RANDBETWEEN(1,20))</f>
        <v>C016</v>
      </c>
      <c r="D178" s="3" t="str">
        <f ca="1">INDEX(Routes!$A$2:$A$31,RANDBETWEEN(1,30))</f>
        <v>R015</v>
      </c>
      <c r="E178" s="3" t="str">
        <f ca="1">INDEX(Vehicles!$A$2:$A$21,RANDBETWEEN(1,20))</f>
        <v>V014</v>
      </c>
      <c r="F178" s="3" t="str">
        <f ca="1">INDEX(Drivers!$A$2:$A$31,RANDBETWEEN(1,30))</f>
        <v>D013</v>
      </c>
      <c r="G178" s="3">
        <f t="shared" ca="1" si="35"/>
        <v>12.3</v>
      </c>
      <c r="H178" s="3">
        <f t="shared" ca="1" si="36"/>
        <v>35001</v>
      </c>
      <c r="I178" s="3">
        <f t="shared" ca="1" si="37"/>
        <v>9800</v>
      </c>
      <c r="J178" s="3">
        <f t="shared" ca="1" si="38"/>
        <v>3472</v>
      </c>
      <c r="K178" s="3">
        <f t="shared" ca="1" si="39"/>
        <v>15</v>
      </c>
      <c r="L178" s="3">
        <f t="shared" ca="1" si="40"/>
        <v>18</v>
      </c>
      <c r="M178" s="3">
        <f t="shared" ca="1" si="41"/>
        <v>3</v>
      </c>
      <c r="N178" s="3" t="str">
        <f t="shared" ca="1" si="42"/>
        <v>Delayed</v>
      </c>
      <c r="O178" s="3" t="str">
        <f t="shared" ca="1" si="43"/>
        <v>Medium</v>
      </c>
      <c r="P178" s="3">
        <f t="shared" ca="1" si="44"/>
        <v>41</v>
      </c>
      <c r="Q178" s="1" t="str">
        <f ca="1">VLOOKUP(D178,Routes!$A$2:$D$31,2,FALSE)</f>
        <v>Hyderabad</v>
      </c>
      <c r="R178" s="1" t="str">
        <f ca="1">VLOOKUP(D178,Routes!$A$2:$D$31,3,FALSE)</f>
        <v>Pune</v>
      </c>
      <c r="S178" s="3">
        <f ca="1">VLOOKUP(D178,Routes!$A$2:$D$31,4,FALSE)</f>
        <v>560</v>
      </c>
      <c r="T178" s="3" t="str">
        <f ca="1">VLOOKUP(E178,Vehicles!$A$2:$D$21,2,FALSE)</f>
        <v>LCV</v>
      </c>
      <c r="U178" s="3">
        <f ca="1">VLOOKUP(E178,Vehicles!$A$2:$D$21,3,FALSE)</f>
        <v>6</v>
      </c>
      <c r="V178" s="3" t="str">
        <f ca="1">VLOOKUP(E178,Vehicles!$A$2:$D$21,4,FALSE)</f>
        <v>CNG</v>
      </c>
      <c r="W178" s="3">
        <f ca="1">VLOOKUP(V178,Fuel_Rates!$A$2:$B$3,2,FALSE)</f>
        <v>78</v>
      </c>
      <c r="X178" s="3">
        <f t="shared" ca="1" si="46"/>
        <v>62.5</v>
      </c>
      <c r="Y178" s="3">
        <f t="shared" ca="1" si="47"/>
        <v>48273</v>
      </c>
      <c r="Z178" s="3" t="str">
        <f t="shared" ca="1" si="48"/>
        <v>Nov</v>
      </c>
      <c r="AA178" s="3" t="str">
        <f t="shared" ca="1" si="49"/>
        <v>Q4</v>
      </c>
      <c r="AB178" s="4" t="str">
        <f t="shared" ca="1" si="50"/>
        <v>Medium Haul</v>
      </c>
    </row>
    <row r="179" spans="1:28" x14ac:dyDescent="0.3">
      <c r="A179" s="8" t="str">
        <f t="shared" si="45"/>
        <v>S0178</v>
      </c>
      <c r="B179" s="3">
        <f t="shared" ca="1" si="34"/>
        <v>45853</v>
      </c>
      <c r="C179" s="3" t="str">
        <f ca="1">INDEX(Customers!$A$2:$A$21,RANDBETWEEN(1,20))</f>
        <v>C020</v>
      </c>
      <c r="D179" s="3" t="str">
        <f ca="1">INDEX(Routes!$A$2:$A$31,RANDBETWEEN(1,30))</f>
        <v>R006</v>
      </c>
      <c r="E179" s="3" t="str">
        <f ca="1">INDEX(Vehicles!$A$2:$A$21,RANDBETWEEN(1,20))</f>
        <v>V009</v>
      </c>
      <c r="F179" s="3" t="str">
        <f ca="1">INDEX(Drivers!$A$2:$A$31,RANDBETWEEN(1,30))</f>
        <v>D024</v>
      </c>
      <c r="G179" s="3">
        <f t="shared" ca="1" si="35"/>
        <v>2.7</v>
      </c>
      <c r="H179" s="3">
        <f t="shared" ca="1" si="36"/>
        <v>12132</v>
      </c>
      <c r="I179" s="3">
        <f t="shared" ca="1" si="37"/>
        <v>3397</v>
      </c>
      <c r="J179" s="3">
        <f t="shared" ca="1" si="38"/>
        <v>3648</v>
      </c>
      <c r="K179" s="3">
        <f t="shared" ca="1" si="39"/>
        <v>19</v>
      </c>
      <c r="L179" s="3">
        <f t="shared" ca="1" si="40"/>
        <v>21</v>
      </c>
      <c r="M179" s="3">
        <f t="shared" ca="1" si="41"/>
        <v>2</v>
      </c>
      <c r="N179" s="3" t="str">
        <f t="shared" ca="1" si="42"/>
        <v>On Time</v>
      </c>
      <c r="O179" s="3" t="str">
        <f t="shared" ca="1" si="43"/>
        <v>High</v>
      </c>
      <c r="P179" s="3">
        <f t="shared" ca="1" si="44"/>
        <v>9</v>
      </c>
      <c r="Q179" s="1" t="str">
        <f ca="1">VLOOKUP(D179,Routes!$A$2:$D$31,2,FALSE)</f>
        <v>Delhi</v>
      </c>
      <c r="R179" s="1" t="str">
        <f ca="1">VLOOKUP(D179,Routes!$A$2:$D$31,3,FALSE)</f>
        <v>Lucknow</v>
      </c>
      <c r="S179" s="3">
        <f ca="1">VLOOKUP(D179,Routes!$A$2:$D$31,4,FALSE)</f>
        <v>550</v>
      </c>
      <c r="T179" s="3" t="str">
        <f ca="1">VLOOKUP(E179,Vehicles!$A$2:$D$21,2,FALSE)</f>
        <v>LCV</v>
      </c>
      <c r="U179" s="3">
        <f ca="1">VLOOKUP(E179,Vehicles!$A$2:$D$21,3,FALSE)</f>
        <v>5</v>
      </c>
      <c r="V179" s="3" t="str">
        <f ca="1">VLOOKUP(E179,Vehicles!$A$2:$D$21,4,FALSE)</f>
        <v>Diesel</v>
      </c>
      <c r="W179" s="3">
        <f ca="1">VLOOKUP(V179,Fuel_Rates!$A$2:$B$3,2,FALSE)</f>
        <v>95</v>
      </c>
      <c r="X179" s="3">
        <f t="shared" ca="1" si="46"/>
        <v>22.06</v>
      </c>
      <c r="Y179" s="3">
        <f t="shared" ca="1" si="47"/>
        <v>19177</v>
      </c>
      <c r="Z179" s="3" t="str">
        <f t="shared" ca="1" si="48"/>
        <v>Jul</v>
      </c>
      <c r="AA179" s="3" t="str">
        <f t="shared" ca="1" si="49"/>
        <v>Q3</v>
      </c>
      <c r="AB179" s="4" t="str">
        <f t="shared" ca="1" si="50"/>
        <v>Medium Haul</v>
      </c>
    </row>
    <row r="180" spans="1:28" x14ac:dyDescent="0.3">
      <c r="A180" s="8" t="str">
        <f t="shared" si="45"/>
        <v>S0179</v>
      </c>
      <c r="B180" s="3">
        <f t="shared" ca="1" si="34"/>
        <v>45753</v>
      </c>
      <c r="C180" s="3" t="str">
        <f ca="1">INDEX(Customers!$A$2:$A$21,RANDBETWEEN(1,20))</f>
        <v>C012</v>
      </c>
      <c r="D180" s="3" t="str">
        <f ca="1">INDEX(Routes!$A$2:$A$31,RANDBETWEEN(1,30))</f>
        <v>R015</v>
      </c>
      <c r="E180" s="3" t="str">
        <f ca="1">INDEX(Vehicles!$A$2:$A$21,RANDBETWEEN(1,20))</f>
        <v>V019</v>
      </c>
      <c r="F180" s="3" t="str">
        <f ca="1">INDEX(Drivers!$A$2:$A$31,RANDBETWEEN(1,30))</f>
        <v>D001</v>
      </c>
      <c r="G180" s="3">
        <f t="shared" ca="1" si="35"/>
        <v>17.100000000000001</v>
      </c>
      <c r="H180" s="3">
        <f t="shared" ca="1" si="36"/>
        <v>35323</v>
      </c>
      <c r="I180" s="3">
        <f t="shared" ca="1" si="37"/>
        <v>9890</v>
      </c>
      <c r="J180" s="3">
        <f t="shared" ca="1" si="38"/>
        <v>1661</v>
      </c>
      <c r="K180" s="3">
        <f t="shared" ca="1" si="39"/>
        <v>18</v>
      </c>
      <c r="L180" s="3">
        <f t="shared" ca="1" si="40"/>
        <v>19</v>
      </c>
      <c r="M180" s="3">
        <f t="shared" ca="1" si="41"/>
        <v>1</v>
      </c>
      <c r="N180" s="3" t="str">
        <f t="shared" ca="1" si="42"/>
        <v>On Time</v>
      </c>
      <c r="O180" s="3" t="str">
        <f t="shared" ca="1" si="43"/>
        <v>High</v>
      </c>
      <c r="P180" s="3">
        <f t="shared" ca="1" si="44"/>
        <v>57</v>
      </c>
      <c r="Q180" s="1" t="str">
        <f ca="1">VLOOKUP(D180,Routes!$A$2:$D$31,2,FALSE)</f>
        <v>Hyderabad</v>
      </c>
      <c r="R180" s="1" t="str">
        <f ca="1">VLOOKUP(D180,Routes!$A$2:$D$31,3,FALSE)</f>
        <v>Pune</v>
      </c>
      <c r="S180" s="3">
        <f ca="1">VLOOKUP(D180,Routes!$A$2:$D$31,4,FALSE)</f>
        <v>560</v>
      </c>
      <c r="T180" s="3" t="str">
        <f ca="1">VLOOKUP(E180,Vehicles!$A$2:$D$21,2,FALSE)</f>
        <v>Trailer</v>
      </c>
      <c r="U180" s="3">
        <f ca="1">VLOOKUP(E180,Vehicles!$A$2:$D$21,3,FALSE)</f>
        <v>35</v>
      </c>
      <c r="V180" s="3" t="str">
        <f ca="1">VLOOKUP(E180,Vehicles!$A$2:$D$21,4,FALSE)</f>
        <v>Diesel</v>
      </c>
      <c r="W180" s="3">
        <f ca="1">VLOOKUP(V180,Fuel_Rates!$A$2:$B$3,2,FALSE)</f>
        <v>95</v>
      </c>
      <c r="X180" s="3">
        <f t="shared" ca="1" si="46"/>
        <v>63.08</v>
      </c>
      <c r="Y180" s="3">
        <f t="shared" ca="1" si="47"/>
        <v>46874</v>
      </c>
      <c r="Z180" s="3" t="str">
        <f t="shared" ca="1" si="48"/>
        <v>Apr</v>
      </c>
      <c r="AA180" s="3" t="str">
        <f t="shared" ca="1" si="49"/>
        <v>Q2</v>
      </c>
      <c r="AB180" s="4" t="str">
        <f t="shared" ca="1" si="50"/>
        <v>Medium Haul</v>
      </c>
    </row>
    <row r="181" spans="1:28" x14ac:dyDescent="0.3">
      <c r="A181" s="8" t="str">
        <f t="shared" si="45"/>
        <v>S0180</v>
      </c>
      <c r="B181" s="3">
        <f t="shared" ca="1" si="34"/>
        <v>45661</v>
      </c>
      <c r="C181" s="3" t="str">
        <f ca="1">INDEX(Customers!$A$2:$A$21,RANDBETWEEN(1,20))</f>
        <v>C017</v>
      </c>
      <c r="D181" s="3" t="str">
        <f ca="1">INDEX(Routes!$A$2:$A$31,RANDBETWEEN(1,30))</f>
        <v>R024</v>
      </c>
      <c r="E181" s="3" t="str">
        <f ca="1">INDEX(Vehicles!$A$2:$A$21,RANDBETWEEN(1,20))</f>
        <v>V003</v>
      </c>
      <c r="F181" s="3" t="str">
        <f ca="1">INDEX(Drivers!$A$2:$A$31,RANDBETWEEN(1,30))</f>
        <v>D025</v>
      </c>
      <c r="G181" s="3">
        <f t="shared" ca="1" si="35"/>
        <v>2.2999999999999998</v>
      </c>
      <c r="H181" s="3">
        <f t="shared" ca="1" si="36"/>
        <v>14686</v>
      </c>
      <c r="I181" s="3">
        <f t="shared" ca="1" si="37"/>
        <v>4112</v>
      </c>
      <c r="J181" s="3">
        <f t="shared" ca="1" si="38"/>
        <v>696</v>
      </c>
      <c r="K181" s="3">
        <f t="shared" ca="1" si="39"/>
        <v>26</v>
      </c>
      <c r="L181" s="3">
        <f t="shared" ca="1" si="40"/>
        <v>33</v>
      </c>
      <c r="M181" s="3">
        <f t="shared" ca="1" si="41"/>
        <v>7</v>
      </c>
      <c r="N181" s="3" t="str">
        <f t="shared" ca="1" si="42"/>
        <v>Delayed</v>
      </c>
      <c r="O181" s="3" t="str">
        <f t="shared" ca="1" si="43"/>
        <v>Medium</v>
      </c>
      <c r="P181" s="3">
        <f t="shared" ca="1" si="44"/>
        <v>7.7</v>
      </c>
      <c r="Q181" s="1" t="str">
        <f ca="1">VLOOKUP(D181,Routes!$A$2:$D$31,2,FALSE)</f>
        <v>Surat</v>
      </c>
      <c r="R181" s="1" t="str">
        <f ca="1">VLOOKUP(D181,Routes!$A$2:$D$31,3,FALSE)</f>
        <v>Mumbai</v>
      </c>
      <c r="S181" s="3">
        <f ca="1">VLOOKUP(D181,Routes!$A$2:$D$31,4,FALSE)</f>
        <v>280</v>
      </c>
      <c r="T181" s="3" t="str">
        <f ca="1">VLOOKUP(E181,Vehicles!$A$2:$D$21,2,FALSE)</f>
        <v>Truck</v>
      </c>
      <c r="U181" s="3">
        <f ca="1">VLOOKUP(E181,Vehicles!$A$2:$D$21,3,FALSE)</f>
        <v>25</v>
      </c>
      <c r="V181" s="3" t="str">
        <f ca="1">VLOOKUP(E181,Vehicles!$A$2:$D$21,4,FALSE)</f>
        <v>Diesel</v>
      </c>
      <c r="W181" s="3">
        <f ca="1">VLOOKUP(V181,Fuel_Rates!$A$2:$B$3,2,FALSE)</f>
        <v>95</v>
      </c>
      <c r="X181" s="3">
        <f t="shared" ca="1" si="46"/>
        <v>52.45</v>
      </c>
      <c r="Y181" s="3">
        <f t="shared" ca="1" si="47"/>
        <v>19494</v>
      </c>
      <c r="Z181" s="3" t="str">
        <f t="shared" ca="1" si="48"/>
        <v>Jan</v>
      </c>
      <c r="AA181" s="3" t="str">
        <f t="shared" ca="1" si="49"/>
        <v>Q1</v>
      </c>
      <c r="AB181" s="4" t="str">
        <f t="shared" ca="1" si="50"/>
        <v>Short Haul</v>
      </c>
    </row>
    <row r="182" spans="1:28" x14ac:dyDescent="0.3">
      <c r="A182" s="8" t="str">
        <f t="shared" si="45"/>
        <v>S0181</v>
      </c>
      <c r="B182" s="3">
        <f t="shared" ca="1" si="34"/>
        <v>45910</v>
      </c>
      <c r="C182" s="3" t="str">
        <f ca="1">INDEX(Customers!$A$2:$A$21,RANDBETWEEN(1,20))</f>
        <v>C002</v>
      </c>
      <c r="D182" s="3" t="str">
        <f ca="1">INDEX(Routes!$A$2:$A$31,RANDBETWEEN(1,30))</f>
        <v>R005</v>
      </c>
      <c r="E182" s="3" t="str">
        <f ca="1">INDEX(Vehicles!$A$2:$A$21,RANDBETWEEN(1,20))</f>
        <v>V011</v>
      </c>
      <c r="F182" s="3" t="str">
        <f ca="1">INDEX(Drivers!$A$2:$A$31,RANDBETWEEN(1,30))</f>
        <v>D016</v>
      </c>
      <c r="G182" s="3">
        <f t="shared" ca="1" si="35"/>
        <v>7.7</v>
      </c>
      <c r="H182" s="3">
        <f t="shared" ca="1" si="36"/>
        <v>25339</v>
      </c>
      <c r="I182" s="3">
        <f t="shared" ca="1" si="37"/>
        <v>7095</v>
      </c>
      <c r="J182" s="3">
        <f t="shared" ca="1" si="38"/>
        <v>679</v>
      </c>
      <c r="K182" s="3">
        <f t="shared" ca="1" si="39"/>
        <v>5</v>
      </c>
      <c r="L182" s="3">
        <f t="shared" ca="1" si="40"/>
        <v>5</v>
      </c>
      <c r="M182" s="3">
        <f t="shared" ca="1" si="41"/>
        <v>0</v>
      </c>
      <c r="N182" s="3" t="str">
        <f t="shared" ca="1" si="42"/>
        <v>On Time</v>
      </c>
      <c r="O182" s="3" t="str">
        <f t="shared" ca="1" si="43"/>
        <v>Medium</v>
      </c>
      <c r="P182" s="3">
        <f t="shared" ca="1" si="44"/>
        <v>25.7</v>
      </c>
      <c r="Q182" s="1" t="str">
        <f ca="1">VLOOKUP(D182,Routes!$A$2:$D$31,2,FALSE)</f>
        <v>Delhi</v>
      </c>
      <c r="R182" s="1" t="str">
        <f ca="1">VLOOKUP(D182,Routes!$A$2:$D$31,3,FALSE)</f>
        <v>Jaipur</v>
      </c>
      <c r="S182" s="3">
        <f ca="1">VLOOKUP(D182,Routes!$A$2:$D$31,4,FALSE)</f>
        <v>280</v>
      </c>
      <c r="T182" s="3" t="str">
        <f ca="1">VLOOKUP(E182,Vehicles!$A$2:$D$21,2,FALSE)</f>
        <v>Truck</v>
      </c>
      <c r="U182" s="3">
        <f ca="1">VLOOKUP(E182,Vehicles!$A$2:$D$21,3,FALSE)</f>
        <v>18</v>
      </c>
      <c r="V182" s="3" t="str">
        <f ca="1">VLOOKUP(E182,Vehicles!$A$2:$D$21,4,FALSE)</f>
        <v>CNG</v>
      </c>
      <c r="W182" s="3">
        <f ca="1">VLOOKUP(V182,Fuel_Rates!$A$2:$B$3,2,FALSE)</f>
        <v>78</v>
      </c>
      <c r="X182" s="3">
        <f t="shared" ca="1" si="46"/>
        <v>90.5</v>
      </c>
      <c r="Y182" s="3">
        <f t="shared" ca="1" si="47"/>
        <v>33113</v>
      </c>
      <c r="Z182" s="3" t="str">
        <f t="shared" ca="1" si="48"/>
        <v>Sep</v>
      </c>
      <c r="AA182" s="3" t="str">
        <f t="shared" ca="1" si="49"/>
        <v>Q3</v>
      </c>
      <c r="AB182" s="4" t="str">
        <f t="shared" ca="1" si="50"/>
        <v>Short Haul</v>
      </c>
    </row>
    <row r="183" spans="1:28" x14ac:dyDescent="0.3">
      <c r="A183" s="8" t="str">
        <f t="shared" si="45"/>
        <v>S0182</v>
      </c>
      <c r="B183" s="3">
        <f t="shared" ca="1" si="34"/>
        <v>45730</v>
      </c>
      <c r="C183" s="3" t="str">
        <f ca="1">INDEX(Customers!$A$2:$A$21,RANDBETWEEN(1,20))</f>
        <v>C007</v>
      </c>
      <c r="D183" s="3" t="str">
        <f ca="1">INDEX(Routes!$A$2:$A$31,RANDBETWEEN(1,30))</f>
        <v>R029</v>
      </c>
      <c r="E183" s="3" t="str">
        <f ca="1">INDEX(Vehicles!$A$2:$A$21,RANDBETWEEN(1,20))</f>
        <v>V007</v>
      </c>
      <c r="F183" s="3" t="str">
        <f ca="1">INDEX(Drivers!$A$2:$A$31,RANDBETWEEN(1,30))</f>
        <v>D022</v>
      </c>
      <c r="G183" s="3">
        <f t="shared" ca="1" si="35"/>
        <v>5.7</v>
      </c>
      <c r="H183" s="3">
        <f t="shared" ca="1" si="36"/>
        <v>19116</v>
      </c>
      <c r="I183" s="3">
        <f t="shared" ca="1" si="37"/>
        <v>5352</v>
      </c>
      <c r="J183" s="3">
        <f t="shared" ca="1" si="38"/>
        <v>3067</v>
      </c>
      <c r="K183" s="3">
        <f t="shared" ca="1" si="39"/>
        <v>35</v>
      </c>
      <c r="L183" s="3">
        <f t="shared" ca="1" si="40"/>
        <v>42</v>
      </c>
      <c r="M183" s="3">
        <f t="shared" ca="1" si="41"/>
        <v>7</v>
      </c>
      <c r="N183" s="3" t="str">
        <f t="shared" ca="1" si="42"/>
        <v>Delayed</v>
      </c>
      <c r="O183" s="3" t="str">
        <f t="shared" ca="1" si="43"/>
        <v>Medium</v>
      </c>
      <c r="P183" s="3">
        <f t="shared" ca="1" si="44"/>
        <v>19</v>
      </c>
      <c r="Q183" s="1" t="str">
        <f ca="1">VLOOKUP(D183,Routes!$A$2:$D$31,2,FALSE)</f>
        <v>Chandigarh</v>
      </c>
      <c r="R183" s="1" t="str">
        <f ca="1">VLOOKUP(D183,Routes!$A$2:$D$31,3,FALSE)</f>
        <v>Delhi</v>
      </c>
      <c r="S183" s="3">
        <f ca="1">VLOOKUP(D183,Routes!$A$2:$D$31,4,FALSE)</f>
        <v>250</v>
      </c>
      <c r="T183" s="3" t="str">
        <f ca="1">VLOOKUP(E183,Vehicles!$A$2:$D$21,2,FALSE)</f>
        <v>Container</v>
      </c>
      <c r="U183" s="3">
        <f ca="1">VLOOKUP(E183,Vehicles!$A$2:$D$21,3,FALSE)</f>
        <v>20</v>
      </c>
      <c r="V183" s="3" t="str">
        <f ca="1">VLOOKUP(E183,Vehicles!$A$2:$D$21,4,FALSE)</f>
        <v>Diesel</v>
      </c>
      <c r="W183" s="3">
        <f ca="1">VLOOKUP(V183,Fuel_Rates!$A$2:$B$3,2,FALSE)</f>
        <v>95</v>
      </c>
      <c r="X183" s="3">
        <f t="shared" ca="1" si="46"/>
        <v>76.459999999999994</v>
      </c>
      <c r="Y183" s="3">
        <f t="shared" ca="1" si="47"/>
        <v>27535</v>
      </c>
      <c r="Z183" s="3" t="str">
        <f t="shared" ca="1" si="48"/>
        <v>Mar</v>
      </c>
      <c r="AA183" s="3" t="str">
        <f t="shared" ca="1" si="49"/>
        <v>Q1</v>
      </c>
      <c r="AB183" s="4" t="str">
        <f t="shared" ca="1" si="50"/>
        <v>Short Haul</v>
      </c>
    </row>
    <row r="184" spans="1:28" x14ac:dyDescent="0.3">
      <c r="A184" s="8" t="str">
        <f t="shared" si="45"/>
        <v>S0183</v>
      </c>
      <c r="B184" s="3">
        <f t="shared" ca="1" si="34"/>
        <v>45999</v>
      </c>
      <c r="C184" s="3" t="str">
        <f ca="1">INDEX(Customers!$A$2:$A$21,RANDBETWEEN(1,20))</f>
        <v>C002</v>
      </c>
      <c r="D184" s="3" t="str">
        <f ca="1">INDEX(Routes!$A$2:$A$31,RANDBETWEEN(1,30))</f>
        <v>R010</v>
      </c>
      <c r="E184" s="3" t="str">
        <f ca="1">INDEX(Vehicles!$A$2:$A$21,RANDBETWEEN(1,20))</f>
        <v>V001</v>
      </c>
      <c r="F184" s="3" t="str">
        <f ca="1">INDEX(Drivers!$A$2:$A$31,RANDBETWEEN(1,30))</f>
        <v>D008</v>
      </c>
      <c r="G184" s="3">
        <f t="shared" ca="1" si="35"/>
        <v>12.7</v>
      </c>
      <c r="H184" s="3">
        <f t="shared" ca="1" si="36"/>
        <v>33349</v>
      </c>
      <c r="I184" s="3">
        <f t="shared" ca="1" si="37"/>
        <v>9338</v>
      </c>
      <c r="J184" s="3">
        <f t="shared" ca="1" si="38"/>
        <v>1010</v>
      </c>
      <c r="K184" s="3">
        <f t="shared" ca="1" si="39"/>
        <v>44</v>
      </c>
      <c r="L184" s="3">
        <f t="shared" ca="1" si="40"/>
        <v>45</v>
      </c>
      <c r="M184" s="3">
        <f t="shared" ca="1" si="41"/>
        <v>1</v>
      </c>
      <c r="N184" s="3" t="str">
        <f t="shared" ca="1" si="42"/>
        <v>On Time</v>
      </c>
      <c r="O184" s="3" t="str">
        <f t="shared" ca="1" si="43"/>
        <v>High</v>
      </c>
      <c r="P184" s="3">
        <f t="shared" ca="1" si="44"/>
        <v>42.3</v>
      </c>
      <c r="Q184" s="1" t="str">
        <f ca="1">VLOOKUP(D184,Routes!$A$2:$D$31,2,FALSE)</f>
        <v>Bengaluru</v>
      </c>
      <c r="R184" s="1" t="str">
        <f ca="1">VLOOKUP(D184,Routes!$A$2:$D$31,3,FALSE)</f>
        <v>Hyderabad</v>
      </c>
      <c r="S184" s="3">
        <f ca="1">VLOOKUP(D184,Routes!$A$2:$D$31,4,FALSE)</f>
        <v>570</v>
      </c>
      <c r="T184" s="3" t="str">
        <f ca="1">VLOOKUP(E184,Vehicles!$A$2:$D$21,2,FALSE)</f>
        <v>Truck</v>
      </c>
      <c r="U184" s="3">
        <f ca="1">VLOOKUP(E184,Vehicles!$A$2:$D$21,3,FALSE)</f>
        <v>16</v>
      </c>
      <c r="V184" s="3" t="str">
        <f ca="1">VLOOKUP(E184,Vehicles!$A$2:$D$21,4,FALSE)</f>
        <v>Diesel</v>
      </c>
      <c r="W184" s="3">
        <f ca="1">VLOOKUP(V184,Fuel_Rates!$A$2:$B$3,2,FALSE)</f>
        <v>95</v>
      </c>
      <c r="X184" s="3">
        <f t="shared" ca="1" si="46"/>
        <v>58.51</v>
      </c>
      <c r="Y184" s="3">
        <f t="shared" ca="1" si="47"/>
        <v>43697</v>
      </c>
      <c r="Z184" s="3" t="str">
        <f t="shared" ca="1" si="48"/>
        <v>Dec</v>
      </c>
      <c r="AA184" s="3" t="str">
        <f t="shared" ca="1" si="49"/>
        <v>Q4</v>
      </c>
      <c r="AB184" s="4" t="str">
        <f t="shared" ca="1" si="50"/>
        <v>Medium Haul</v>
      </c>
    </row>
    <row r="185" spans="1:28" x14ac:dyDescent="0.3">
      <c r="A185" s="8" t="str">
        <f t="shared" si="45"/>
        <v>S0184</v>
      </c>
      <c r="B185" s="3">
        <f t="shared" ca="1" si="34"/>
        <v>45666</v>
      </c>
      <c r="C185" s="3" t="str">
        <f ca="1">INDEX(Customers!$A$2:$A$21,RANDBETWEEN(1,20))</f>
        <v>C009</v>
      </c>
      <c r="D185" s="3" t="str">
        <f ca="1">INDEX(Routes!$A$2:$A$31,RANDBETWEEN(1,30))</f>
        <v>R016</v>
      </c>
      <c r="E185" s="3" t="str">
        <f ca="1">INDEX(Vehicles!$A$2:$A$21,RANDBETWEEN(1,20))</f>
        <v>V005</v>
      </c>
      <c r="F185" s="3" t="str">
        <f ca="1">INDEX(Drivers!$A$2:$A$31,RANDBETWEEN(1,30))</f>
        <v>D018</v>
      </c>
      <c r="G185" s="3">
        <f t="shared" ca="1" si="35"/>
        <v>9.6999999999999993</v>
      </c>
      <c r="H185" s="3">
        <f t="shared" ca="1" si="36"/>
        <v>20702</v>
      </c>
      <c r="I185" s="3">
        <f t="shared" ca="1" si="37"/>
        <v>5797</v>
      </c>
      <c r="J185" s="3">
        <f t="shared" ca="1" si="38"/>
        <v>1795</v>
      </c>
      <c r="K185" s="3">
        <f t="shared" ca="1" si="39"/>
        <v>7</v>
      </c>
      <c r="L185" s="3">
        <f t="shared" ca="1" si="40"/>
        <v>7</v>
      </c>
      <c r="M185" s="3">
        <f t="shared" ca="1" si="41"/>
        <v>0</v>
      </c>
      <c r="N185" s="3" t="str">
        <f t="shared" ca="1" si="42"/>
        <v>On Time</v>
      </c>
      <c r="O185" s="3" t="str">
        <f t="shared" ca="1" si="43"/>
        <v>Low</v>
      </c>
      <c r="P185" s="3">
        <f t="shared" ca="1" si="44"/>
        <v>32.299999999999997</v>
      </c>
      <c r="Q185" s="1" t="str">
        <f ca="1">VLOOKUP(D185,Routes!$A$2:$D$31,2,FALSE)</f>
        <v>Kolkata</v>
      </c>
      <c r="R185" s="1" t="str">
        <f ca="1">VLOOKUP(D185,Routes!$A$2:$D$31,3,FALSE)</f>
        <v>Bhubaneswar</v>
      </c>
      <c r="S185" s="3">
        <f ca="1">VLOOKUP(D185,Routes!$A$2:$D$31,4,FALSE)</f>
        <v>440</v>
      </c>
      <c r="T185" s="3" t="str">
        <f ca="1">VLOOKUP(E185,Vehicles!$A$2:$D$21,2,FALSE)</f>
        <v>Trailer</v>
      </c>
      <c r="U185" s="3">
        <f ca="1">VLOOKUP(E185,Vehicles!$A$2:$D$21,3,FALSE)</f>
        <v>32</v>
      </c>
      <c r="V185" s="3" t="str">
        <f ca="1">VLOOKUP(E185,Vehicles!$A$2:$D$21,4,FALSE)</f>
        <v>Diesel</v>
      </c>
      <c r="W185" s="3">
        <f ca="1">VLOOKUP(V185,Fuel_Rates!$A$2:$B$3,2,FALSE)</f>
        <v>95</v>
      </c>
      <c r="X185" s="3">
        <f t="shared" ca="1" si="46"/>
        <v>47.05</v>
      </c>
      <c r="Y185" s="3">
        <f t="shared" ca="1" si="47"/>
        <v>28294</v>
      </c>
      <c r="Z185" s="3" t="str">
        <f t="shared" ca="1" si="48"/>
        <v>Jan</v>
      </c>
      <c r="AA185" s="3" t="str">
        <f t="shared" ca="1" si="49"/>
        <v>Q1</v>
      </c>
      <c r="AB185" s="4" t="str">
        <f t="shared" ca="1" si="50"/>
        <v>Medium Haul</v>
      </c>
    </row>
    <row r="186" spans="1:28" x14ac:dyDescent="0.3">
      <c r="A186" s="8" t="str">
        <f t="shared" si="45"/>
        <v>S0185</v>
      </c>
      <c r="B186" s="3">
        <f t="shared" ca="1" si="34"/>
        <v>45835</v>
      </c>
      <c r="C186" s="3" t="str">
        <f ca="1">INDEX(Customers!$A$2:$A$21,RANDBETWEEN(1,20))</f>
        <v>C020</v>
      </c>
      <c r="D186" s="3" t="str">
        <f ca="1">INDEX(Routes!$A$2:$A$31,RANDBETWEEN(1,30))</f>
        <v>R017</v>
      </c>
      <c r="E186" s="3" t="str">
        <f ca="1">INDEX(Vehicles!$A$2:$A$21,RANDBETWEEN(1,20))</f>
        <v>V011</v>
      </c>
      <c r="F186" s="3" t="str">
        <f ca="1">INDEX(Drivers!$A$2:$A$31,RANDBETWEEN(1,30))</f>
        <v>D021</v>
      </c>
      <c r="G186" s="3">
        <f t="shared" ca="1" si="35"/>
        <v>5</v>
      </c>
      <c r="H186" s="3">
        <f t="shared" ca="1" si="36"/>
        <v>12977</v>
      </c>
      <c r="I186" s="3">
        <f t="shared" ca="1" si="37"/>
        <v>3634</v>
      </c>
      <c r="J186" s="3">
        <f t="shared" ca="1" si="38"/>
        <v>593</v>
      </c>
      <c r="K186" s="3">
        <f t="shared" ca="1" si="39"/>
        <v>38</v>
      </c>
      <c r="L186" s="3">
        <f t="shared" ca="1" si="40"/>
        <v>41</v>
      </c>
      <c r="M186" s="3">
        <f t="shared" ca="1" si="41"/>
        <v>3</v>
      </c>
      <c r="N186" s="3" t="str">
        <f t="shared" ca="1" si="42"/>
        <v>Delayed</v>
      </c>
      <c r="O186" s="3" t="str">
        <f t="shared" ca="1" si="43"/>
        <v>Medium</v>
      </c>
      <c r="P186" s="3">
        <f t="shared" ca="1" si="44"/>
        <v>16.7</v>
      </c>
      <c r="Q186" s="1" t="str">
        <f ca="1">VLOOKUP(D186,Routes!$A$2:$D$31,2,FALSE)</f>
        <v>Kolkata</v>
      </c>
      <c r="R186" s="1" t="str">
        <f ca="1">VLOOKUP(D186,Routes!$A$2:$D$31,3,FALSE)</f>
        <v>Patna</v>
      </c>
      <c r="S186" s="3">
        <f ca="1">VLOOKUP(D186,Routes!$A$2:$D$31,4,FALSE)</f>
        <v>620</v>
      </c>
      <c r="T186" s="3" t="str">
        <f ca="1">VLOOKUP(E186,Vehicles!$A$2:$D$21,2,FALSE)</f>
        <v>Truck</v>
      </c>
      <c r="U186" s="3">
        <f ca="1">VLOOKUP(E186,Vehicles!$A$2:$D$21,3,FALSE)</f>
        <v>18</v>
      </c>
      <c r="V186" s="3" t="str">
        <f ca="1">VLOOKUP(E186,Vehicles!$A$2:$D$21,4,FALSE)</f>
        <v>CNG</v>
      </c>
      <c r="W186" s="3">
        <f ca="1">VLOOKUP(V186,Fuel_Rates!$A$2:$B$3,2,FALSE)</f>
        <v>78</v>
      </c>
      <c r="X186" s="3">
        <f t="shared" ca="1" si="46"/>
        <v>20.93</v>
      </c>
      <c r="Y186" s="3">
        <f t="shared" ca="1" si="47"/>
        <v>17204</v>
      </c>
      <c r="Z186" s="3" t="str">
        <f t="shared" ca="1" si="48"/>
        <v>Jun</v>
      </c>
      <c r="AA186" s="3" t="str">
        <f t="shared" ca="1" si="49"/>
        <v>Q2</v>
      </c>
      <c r="AB186" s="4" t="str">
        <f t="shared" ca="1" si="50"/>
        <v>Medium Haul</v>
      </c>
    </row>
    <row r="187" spans="1:28" x14ac:dyDescent="0.3">
      <c r="A187" s="8" t="str">
        <f t="shared" si="45"/>
        <v>S0186</v>
      </c>
      <c r="B187" s="3">
        <f t="shared" ca="1" si="34"/>
        <v>45830</v>
      </c>
      <c r="C187" s="3" t="str">
        <f ca="1">INDEX(Customers!$A$2:$A$21,RANDBETWEEN(1,20))</f>
        <v>C017</v>
      </c>
      <c r="D187" s="3" t="str">
        <f ca="1">INDEX(Routes!$A$2:$A$31,RANDBETWEEN(1,30))</f>
        <v>R012</v>
      </c>
      <c r="E187" s="3" t="str">
        <f ca="1">INDEX(Vehicles!$A$2:$A$21,RANDBETWEEN(1,20))</f>
        <v>V009</v>
      </c>
      <c r="F187" s="3" t="str">
        <f ca="1">INDEX(Drivers!$A$2:$A$31,RANDBETWEEN(1,30))</f>
        <v>D026</v>
      </c>
      <c r="G187" s="3">
        <f t="shared" ca="1" si="35"/>
        <v>13.8</v>
      </c>
      <c r="H187" s="3">
        <f t="shared" ca="1" si="36"/>
        <v>35149</v>
      </c>
      <c r="I187" s="3">
        <f t="shared" ca="1" si="37"/>
        <v>9842</v>
      </c>
      <c r="J187" s="3">
        <f t="shared" ca="1" si="38"/>
        <v>825</v>
      </c>
      <c r="K187" s="3">
        <f t="shared" ca="1" si="39"/>
        <v>18</v>
      </c>
      <c r="L187" s="3">
        <f t="shared" ca="1" si="40"/>
        <v>25</v>
      </c>
      <c r="M187" s="3">
        <f t="shared" ca="1" si="41"/>
        <v>7</v>
      </c>
      <c r="N187" s="3" t="str">
        <f t="shared" ca="1" si="42"/>
        <v>Delayed</v>
      </c>
      <c r="O187" s="3" t="str">
        <f t="shared" ca="1" si="43"/>
        <v>High</v>
      </c>
      <c r="P187" s="3">
        <f t="shared" ca="1" si="44"/>
        <v>46</v>
      </c>
      <c r="Q187" s="1" t="str">
        <f ca="1">VLOOKUP(D187,Routes!$A$2:$D$31,2,FALSE)</f>
        <v>Chennai</v>
      </c>
      <c r="R187" s="1" t="str">
        <f ca="1">VLOOKUP(D187,Routes!$A$2:$D$31,3,FALSE)</f>
        <v>Coimbatore</v>
      </c>
      <c r="S187" s="3">
        <f ca="1">VLOOKUP(D187,Routes!$A$2:$D$31,4,FALSE)</f>
        <v>500</v>
      </c>
      <c r="T187" s="3" t="str">
        <f ca="1">VLOOKUP(E187,Vehicles!$A$2:$D$21,2,FALSE)</f>
        <v>LCV</v>
      </c>
      <c r="U187" s="3">
        <f ca="1">VLOOKUP(E187,Vehicles!$A$2:$D$21,3,FALSE)</f>
        <v>5</v>
      </c>
      <c r="V187" s="3" t="str">
        <f ca="1">VLOOKUP(E187,Vehicles!$A$2:$D$21,4,FALSE)</f>
        <v>Diesel</v>
      </c>
      <c r="W187" s="3">
        <f ca="1">VLOOKUP(V187,Fuel_Rates!$A$2:$B$3,2,FALSE)</f>
        <v>95</v>
      </c>
      <c r="X187" s="3">
        <f t="shared" ca="1" si="46"/>
        <v>70.3</v>
      </c>
      <c r="Y187" s="3">
        <f t="shared" ca="1" si="47"/>
        <v>45816</v>
      </c>
      <c r="Z187" s="3" t="str">
        <f t="shared" ca="1" si="48"/>
        <v>Jun</v>
      </c>
      <c r="AA187" s="3" t="str">
        <f t="shared" ca="1" si="49"/>
        <v>Q2</v>
      </c>
      <c r="AB187" s="4" t="str">
        <f t="shared" ca="1" si="50"/>
        <v>Medium Haul</v>
      </c>
    </row>
    <row r="188" spans="1:28" x14ac:dyDescent="0.3">
      <c r="A188" s="8" t="str">
        <f t="shared" si="45"/>
        <v>S0187</v>
      </c>
      <c r="B188" s="3">
        <f t="shared" ca="1" si="34"/>
        <v>45767</v>
      </c>
      <c r="C188" s="3" t="str">
        <f ca="1">INDEX(Customers!$A$2:$A$21,RANDBETWEEN(1,20))</f>
        <v>C010</v>
      </c>
      <c r="D188" s="3" t="str">
        <f ca="1">INDEX(Routes!$A$2:$A$31,RANDBETWEEN(1,30))</f>
        <v>R022</v>
      </c>
      <c r="E188" s="3" t="str">
        <f ca="1">INDEX(Vehicles!$A$2:$A$21,RANDBETWEEN(1,20))</f>
        <v>V019</v>
      </c>
      <c r="F188" s="3" t="str">
        <f ca="1">INDEX(Drivers!$A$2:$A$31,RANDBETWEEN(1,30))</f>
        <v>D023</v>
      </c>
      <c r="G188" s="3">
        <f t="shared" ca="1" si="35"/>
        <v>25.2</v>
      </c>
      <c r="H188" s="3">
        <f t="shared" ca="1" si="36"/>
        <v>55204</v>
      </c>
      <c r="I188" s="3">
        <f t="shared" ca="1" si="37"/>
        <v>15457</v>
      </c>
      <c r="J188" s="3">
        <f t="shared" ca="1" si="38"/>
        <v>2199</v>
      </c>
      <c r="K188" s="3">
        <f t="shared" ca="1" si="39"/>
        <v>21</v>
      </c>
      <c r="L188" s="3">
        <f t="shared" ca="1" si="40"/>
        <v>23</v>
      </c>
      <c r="M188" s="3">
        <f t="shared" ca="1" si="41"/>
        <v>2</v>
      </c>
      <c r="N188" s="3" t="str">
        <f t="shared" ca="1" si="42"/>
        <v>On Time</v>
      </c>
      <c r="O188" s="3" t="str">
        <f t="shared" ca="1" si="43"/>
        <v>Medium</v>
      </c>
      <c r="P188" s="3">
        <f t="shared" ca="1" si="44"/>
        <v>84</v>
      </c>
      <c r="Q188" s="1" t="str">
        <f ca="1">VLOOKUP(D188,Routes!$A$2:$D$31,2,FALSE)</f>
        <v>Jaipur</v>
      </c>
      <c r="R188" s="1" t="str">
        <f ca="1">VLOOKUP(D188,Routes!$A$2:$D$31,3,FALSE)</f>
        <v>Indore</v>
      </c>
      <c r="S188" s="3">
        <f ca="1">VLOOKUP(D188,Routes!$A$2:$D$31,4,FALSE)</f>
        <v>600</v>
      </c>
      <c r="T188" s="3" t="str">
        <f ca="1">VLOOKUP(E188,Vehicles!$A$2:$D$21,2,FALSE)</f>
        <v>Trailer</v>
      </c>
      <c r="U188" s="3">
        <f ca="1">VLOOKUP(E188,Vehicles!$A$2:$D$21,3,FALSE)</f>
        <v>35</v>
      </c>
      <c r="V188" s="3" t="str">
        <f ca="1">VLOOKUP(E188,Vehicles!$A$2:$D$21,4,FALSE)</f>
        <v>Diesel</v>
      </c>
      <c r="W188" s="3">
        <f ca="1">VLOOKUP(V188,Fuel_Rates!$A$2:$B$3,2,FALSE)</f>
        <v>95</v>
      </c>
      <c r="X188" s="3">
        <f t="shared" ca="1" si="46"/>
        <v>92.01</v>
      </c>
      <c r="Y188" s="3">
        <f t="shared" ca="1" si="47"/>
        <v>72860</v>
      </c>
      <c r="Z188" s="3" t="str">
        <f t="shared" ca="1" si="48"/>
        <v>Apr</v>
      </c>
      <c r="AA188" s="3" t="str">
        <f t="shared" ca="1" si="49"/>
        <v>Q2</v>
      </c>
      <c r="AB188" s="4" t="str">
        <f t="shared" ca="1" si="50"/>
        <v>Medium Haul</v>
      </c>
    </row>
    <row r="189" spans="1:28" x14ac:dyDescent="0.3">
      <c r="A189" s="8" t="str">
        <f t="shared" si="45"/>
        <v>S0188</v>
      </c>
      <c r="B189" s="3">
        <f t="shared" ca="1" si="34"/>
        <v>45830</v>
      </c>
      <c r="C189" s="3" t="str">
        <f ca="1">INDEX(Customers!$A$2:$A$21,RANDBETWEEN(1,20))</f>
        <v>C006</v>
      </c>
      <c r="D189" s="3" t="str">
        <f ca="1">INDEX(Routes!$A$2:$A$31,RANDBETWEEN(1,30))</f>
        <v>R023</v>
      </c>
      <c r="E189" s="3" t="str">
        <f ca="1">INDEX(Vehicles!$A$2:$A$21,RANDBETWEEN(1,20))</f>
        <v>V008</v>
      </c>
      <c r="F189" s="3" t="str">
        <f ca="1">INDEX(Drivers!$A$2:$A$31,RANDBETWEEN(1,30))</f>
        <v>D013</v>
      </c>
      <c r="G189" s="3">
        <f t="shared" ca="1" si="35"/>
        <v>2.7</v>
      </c>
      <c r="H189" s="3">
        <f t="shared" ca="1" si="36"/>
        <v>12928</v>
      </c>
      <c r="I189" s="3">
        <f t="shared" ca="1" si="37"/>
        <v>3620</v>
      </c>
      <c r="J189" s="3">
        <f t="shared" ca="1" si="38"/>
        <v>1122</v>
      </c>
      <c r="K189" s="3">
        <f t="shared" ca="1" si="39"/>
        <v>48</v>
      </c>
      <c r="L189" s="3">
        <f t="shared" ca="1" si="40"/>
        <v>51</v>
      </c>
      <c r="M189" s="3">
        <f t="shared" ca="1" si="41"/>
        <v>3</v>
      </c>
      <c r="N189" s="3" t="str">
        <f t="shared" ca="1" si="42"/>
        <v>Delayed</v>
      </c>
      <c r="O189" s="3" t="str">
        <f t="shared" ca="1" si="43"/>
        <v>Low</v>
      </c>
      <c r="P189" s="3">
        <f t="shared" ca="1" si="44"/>
        <v>9</v>
      </c>
      <c r="Q189" s="1" t="str">
        <f ca="1">VLOOKUP(D189,Routes!$A$2:$D$31,2,FALSE)</f>
        <v>Kochi</v>
      </c>
      <c r="R189" s="1" t="str">
        <f ca="1">VLOOKUP(D189,Routes!$A$2:$D$31,3,FALSE)</f>
        <v>Bengaluru</v>
      </c>
      <c r="S189" s="3">
        <f ca="1">VLOOKUP(D189,Routes!$A$2:$D$31,4,FALSE)</f>
        <v>550</v>
      </c>
      <c r="T189" s="3" t="str">
        <f ca="1">VLOOKUP(E189,Vehicles!$A$2:$D$21,2,FALSE)</f>
        <v>Container</v>
      </c>
      <c r="U189" s="3">
        <f ca="1">VLOOKUP(E189,Vehicles!$A$2:$D$21,3,FALSE)</f>
        <v>25</v>
      </c>
      <c r="V189" s="3" t="str">
        <f ca="1">VLOOKUP(E189,Vehicles!$A$2:$D$21,4,FALSE)</f>
        <v>Diesel</v>
      </c>
      <c r="W189" s="3">
        <f ca="1">VLOOKUP(V189,Fuel_Rates!$A$2:$B$3,2,FALSE)</f>
        <v>95</v>
      </c>
      <c r="X189" s="3">
        <f t="shared" ca="1" si="46"/>
        <v>23.51</v>
      </c>
      <c r="Y189" s="3">
        <f t="shared" ca="1" si="47"/>
        <v>17670</v>
      </c>
      <c r="Z189" s="3" t="str">
        <f t="shared" ca="1" si="48"/>
        <v>Jun</v>
      </c>
      <c r="AA189" s="3" t="str">
        <f t="shared" ca="1" si="49"/>
        <v>Q2</v>
      </c>
      <c r="AB189" s="4" t="str">
        <f t="shared" ca="1" si="50"/>
        <v>Medium Haul</v>
      </c>
    </row>
    <row r="190" spans="1:28" x14ac:dyDescent="0.3">
      <c r="A190" s="8" t="str">
        <f t="shared" si="45"/>
        <v>S0189</v>
      </c>
      <c r="B190" s="3">
        <f t="shared" ca="1" si="34"/>
        <v>45798</v>
      </c>
      <c r="C190" s="3" t="str">
        <f ca="1">INDEX(Customers!$A$2:$A$21,RANDBETWEEN(1,20))</f>
        <v>C004</v>
      </c>
      <c r="D190" s="3" t="str">
        <f ca="1">INDEX(Routes!$A$2:$A$31,RANDBETWEEN(1,30))</f>
        <v>R003</v>
      </c>
      <c r="E190" s="3" t="str">
        <f ca="1">INDEX(Vehicles!$A$2:$A$21,RANDBETWEEN(1,20))</f>
        <v>V016</v>
      </c>
      <c r="F190" s="3" t="str">
        <f ca="1">INDEX(Drivers!$A$2:$A$31,RANDBETWEEN(1,30))</f>
        <v>D008</v>
      </c>
      <c r="G190" s="3">
        <f t="shared" ca="1" si="35"/>
        <v>10.9</v>
      </c>
      <c r="H190" s="3">
        <f t="shared" ca="1" si="36"/>
        <v>31649</v>
      </c>
      <c r="I190" s="3">
        <f t="shared" ca="1" si="37"/>
        <v>8862</v>
      </c>
      <c r="J190" s="3">
        <f t="shared" ca="1" si="38"/>
        <v>3603</v>
      </c>
      <c r="K190" s="3">
        <f t="shared" ca="1" si="39"/>
        <v>46</v>
      </c>
      <c r="L190" s="3">
        <f t="shared" ca="1" si="40"/>
        <v>54</v>
      </c>
      <c r="M190" s="3">
        <f t="shared" ca="1" si="41"/>
        <v>8</v>
      </c>
      <c r="N190" s="3" t="str">
        <f t="shared" ca="1" si="42"/>
        <v>Delayed</v>
      </c>
      <c r="O190" s="3" t="str">
        <f t="shared" ca="1" si="43"/>
        <v>Medium</v>
      </c>
      <c r="P190" s="3">
        <f t="shared" ca="1" si="44"/>
        <v>36.299999999999997</v>
      </c>
      <c r="Q190" s="1" t="str">
        <f ca="1">VLOOKUP(D190,Routes!$A$2:$D$31,2,FALSE)</f>
        <v>Mumbai</v>
      </c>
      <c r="R190" s="1" t="str">
        <f ca="1">VLOOKUP(D190,Routes!$A$2:$D$31,3,FALSE)</f>
        <v>Delhi</v>
      </c>
      <c r="S190" s="3">
        <f ca="1">VLOOKUP(D190,Routes!$A$2:$D$31,4,FALSE)</f>
        <v>1450</v>
      </c>
      <c r="T190" s="3" t="str">
        <f ca="1">VLOOKUP(E190,Vehicles!$A$2:$D$21,2,FALSE)</f>
        <v>Container</v>
      </c>
      <c r="U190" s="3">
        <f ca="1">VLOOKUP(E190,Vehicles!$A$2:$D$21,3,FALSE)</f>
        <v>22</v>
      </c>
      <c r="V190" s="3" t="str">
        <f ca="1">VLOOKUP(E190,Vehicles!$A$2:$D$21,4,FALSE)</f>
        <v>Diesel</v>
      </c>
      <c r="W190" s="3">
        <f ca="1">VLOOKUP(V190,Fuel_Rates!$A$2:$B$3,2,FALSE)</f>
        <v>95</v>
      </c>
      <c r="X190" s="3">
        <f t="shared" ca="1" si="46"/>
        <v>21.83</v>
      </c>
      <c r="Y190" s="3">
        <f t="shared" ca="1" si="47"/>
        <v>44114</v>
      </c>
      <c r="Z190" s="3" t="str">
        <f t="shared" ca="1" si="48"/>
        <v>May</v>
      </c>
      <c r="AA190" s="3" t="str">
        <f t="shared" ca="1" si="49"/>
        <v>Q2</v>
      </c>
      <c r="AB190" s="4" t="str">
        <f t="shared" ca="1" si="50"/>
        <v>Long Haul</v>
      </c>
    </row>
    <row r="191" spans="1:28" x14ac:dyDescent="0.3">
      <c r="A191" s="8" t="str">
        <f t="shared" si="45"/>
        <v>S0190</v>
      </c>
      <c r="B191" s="3">
        <f t="shared" ca="1" si="34"/>
        <v>45775</v>
      </c>
      <c r="C191" s="3" t="str">
        <f ca="1">INDEX(Customers!$A$2:$A$21,RANDBETWEEN(1,20))</f>
        <v>C012</v>
      </c>
      <c r="D191" s="3" t="str">
        <f ca="1">INDEX(Routes!$A$2:$A$31,RANDBETWEEN(1,30))</f>
        <v>R016</v>
      </c>
      <c r="E191" s="3" t="str">
        <f ca="1">INDEX(Vehicles!$A$2:$A$21,RANDBETWEEN(1,20))</f>
        <v>V004</v>
      </c>
      <c r="F191" s="3" t="str">
        <f ca="1">INDEX(Drivers!$A$2:$A$31,RANDBETWEEN(1,30))</f>
        <v>D015</v>
      </c>
      <c r="G191" s="3">
        <f t="shared" ca="1" si="35"/>
        <v>13.3</v>
      </c>
      <c r="H191" s="3">
        <f t="shared" ca="1" si="36"/>
        <v>34832</v>
      </c>
      <c r="I191" s="3">
        <f t="shared" ca="1" si="37"/>
        <v>9753</v>
      </c>
      <c r="J191" s="3">
        <f t="shared" ca="1" si="38"/>
        <v>3980</v>
      </c>
      <c r="K191" s="3">
        <f t="shared" ca="1" si="39"/>
        <v>27</v>
      </c>
      <c r="L191" s="3">
        <f t="shared" ca="1" si="40"/>
        <v>27</v>
      </c>
      <c r="M191" s="3">
        <f t="shared" ca="1" si="41"/>
        <v>0</v>
      </c>
      <c r="N191" s="3" t="str">
        <f t="shared" ca="1" si="42"/>
        <v>On Time</v>
      </c>
      <c r="O191" s="3" t="str">
        <f t="shared" ca="1" si="43"/>
        <v>Low</v>
      </c>
      <c r="P191" s="3">
        <f t="shared" ca="1" si="44"/>
        <v>44.3</v>
      </c>
      <c r="Q191" s="1" t="str">
        <f ca="1">VLOOKUP(D191,Routes!$A$2:$D$31,2,FALSE)</f>
        <v>Kolkata</v>
      </c>
      <c r="R191" s="1" t="str">
        <f ca="1">VLOOKUP(D191,Routes!$A$2:$D$31,3,FALSE)</f>
        <v>Bhubaneswar</v>
      </c>
      <c r="S191" s="3">
        <f ca="1">VLOOKUP(D191,Routes!$A$2:$D$31,4,FALSE)</f>
        <v>440</v>
      </c>
      <c r="T191" s="3" t="str">
        <f ca="1">VLOOKUP(E191,Vehicles!$A$2:$D$21,2,FALSE)</f>
        <v>Trailer</v>
      </c>
      <c r="U191" s="3">
        <f ca="1">VLOOKUP(E191,Vehicles!$A$2:$D$21,3,FALSE)</f>
        <v>28</v>
      </c>
      <c r="V191" s="3" t="str">
        <f ca="1">VLOOKUP(E191,Vehicles!$A$2:$D$21,4,FALSE)</f>
        <v>Diesel</v>
      </c>
      <c r="W191" s="3">
        <f ca="1">VLOOKUP(V191,Fuel_Rates!$A$2:$B$3,2,FALSE)</f>
        <v>95</v>
      </c>
      <c r="X191" s="3">
        <f t="shared" ca="1" si="46"/>
        <v>79.16</v>
      </c>
      <c r="Y191" s="3">
        <f t="shared" ca="1" si="47"/>
        <v>48565</v>
      </c>
      <c r="Z191" s="3" t="str">
        <f t="shared" ca="1" si="48"/>
        <v>Apr</v>
      </c>
      <c r="AA191" s="3" t="str">
        <f t="shared" ca="1" si="49"/>
        <v>Q2</v>
      </c>
      <c r="AB191" s="4" t="str">
        <f t="shared" ca="1" si="50"/>
        <v>Medium Haul</v>
      </c>
    </row>
    <row r="192" spans="1:28" x14ac:dyDescent="0.3">
      <c r="A192" s="8" t="str">
        <f t="shared" si="45"/>
        <v>S0191</v>
      </c>
      <c r="B192" s="3">
        <f t="shared" ca="1" si="34"/>
        <v>45925</v>
      </c>
      <c r="C192" s="3" t="str">
        <f ca="1">INDEX(Customers!$A$2:$A$21,RANDBETWEEN(1,20))</f>
        <v>C001</v>
      </c>
      <c r="D192" s="3" t="str">
        <f ca="1">INDEX(Routes!$A$2:$A$31,RANDBETWEEN(1,30))</f>
        <v>R022</v>
      </c>
      <c r="E192" s="3" t="str">
        <f ca="1">INDEX(Vehicles!$A$2:$A$21,RANDBETWEEN(1,20))</f>
        <v>V014</v>
      </c>
      <c r="F192" s="3" t="str">
        <f ca="1">INDEX(Drivers!$A$2:$A$31,RANDBETWEEN(1,30))</f>
        <v>D013</v>
      </c>
      <c r="G192" s="3">
        <f t="shared" ca="1" si="35"/>
        <v>14.2</v>
      </c>
      <c r="H192" s="3">
        <f t="shared" ca="1" si="36"/>
        <v>30713</v>
      </c>
      <c r="I192" s="3">
        <f t="shared" ca="1" si="37"/>
        <v>8600</v>
      </c>
      <c r="J192" s="3">
        <f t="shared" ca="1" si="38"/>
        <v>828</v>
      </c>
      <c r="K192" s="3">
        <f t="shared" ca="1" si="39"/>
        <v>40</v>
      </c>
      <c r="L192" s="3">
        <f t="shared" ca="1" si="40"/>
        <v>40</v>
      </c>
      <c r="M192" s="3">
        <f t="shared" ca="1" si="41"/>
        <v>0</v>
      </c>
      <c r="N192" s="3" t="str">
        <f t="shared" ca="1" si="42"/>
        <v>On Time</v>
      </c>
      <c r="O192" s="3" t="str">
        <f t="shared" ca="1" si="43"/>
        <v>High</v>
      </c>
      <c r="P192" s="3">
        <f t="shared" ca="1" si="44"/>
        <v>47.3</v>
      </c>
      <c r="Q192" s="1" t="str">
        <f ca="1">VLOOKUP(D192,Routes!$A$2:$D$31,2,FALSE)</f>
        <v>Jaipur</v>
      </c>
      <c r="R192" s="1" t="str">
        <f ca="1">VLOOKUP(D192,Routes!$A$2:$D$31,3,FALSE)</f>
        <v>Indore</v>
      </c>
      <c r="S192" s="3">
        <f ca="1">VLOOKUP(D192,Routes!$A$2:$D$31,4,FALSE)</f>
        <v>600</v>
      </c>
      <c r="T192" s="3" t="str">
        <f ca="1">VLOOKUP(E192,Vehicles!$A$2:$D$21,2,FALSE)</f>
        <v>LCV</v>
      </c>
      <c r="U192" s="3">
        <f ca="1">VLOOKUP(E192,Vehicles!$A$2:$D$21,3,FALSE)</f>
        <v>6</v>
      </c>
      <c r="V192" s="3" t="str">
        <f ca="1">VLOOKUP(E192,Vehicles!$A$2:$D$21,4,FALSE)</f>
        <v>CNG</v>
      </c>
      <c r="W192" s="3">
        <f ca="1">VLOOKUP(V192,Fuel_Rates!$A$2:$B$3,2,FALSE)</f>
        <v>78</v>
      </c>
      <c r="X192" s="3">
        <f t="shared" ca="1" si="46"/>
        <v>51.19</v>
      </c>
      <c r="Y192" s="3">
        <f t="shared" ca="1" si="47"/>
        <v>40141</v>
      </c>
      <c r="Z192" s="3" t="str">
        <f t="shared" ca="1" si="48"/>
        <v>Sep</v>
      </c>
      <c r="AA192" s="3" t="str">
        <f t="shared" ca="1" si="49"/>
        <v>Q3</v>
      </c>
      <c r="AB192" s="4" t="str">
        <f t="shared" ca="1" si="50"/>
        <v>Medium Haul</v>
      </c>
    </row>
    <row r="193" spans="1:28" x14ac:dyDescent="0.3">
      <c r="A193" s="8" t="str">
        <f t="shared" si="45"/>
        <v>S0192</v>
      </c>
      <c r="B193" s="3">
        <f t="shared" ca="1" si="34"/>
        <v>45913</v>
      </c>
      <c r="C193" s="3" t="str">
        <f ca="1">INDEX(Customers!$A$2:$A$21,RANDBETWEEN(1,20))</f>
        <v>C008</v>
      </c>
      <c r="D193" s="3" t="str">
        <f ca="1">INDEX(Routes!$A$2:$A$31,RANDBETWEEN(1,30))</f>
        <v>R006</v>
      </c>
      <c r="E193" s="3" t="str">
        <f ca="1">INDEX(Vehicles!$A$2:$A$21,RANDBETWEEN(1,20))</f>
        <v>V014</v>
      </c>
      <c r="F193" s="3" t="str">
        <f ca="1">INDEX(Drivers!$A$2:$A$31,RANDBETWEEN(1,30))</f>
        <v>D025</v>
      </c>
      <c r="G193" s="3">
        <f t="shared" ca="1" si="35"/>
        <v>16.2</v>
      </c>
      <c r="H193" s="3">
        <f t="shared" ca="1" si="36"/>
        <v>39360</v>
      </c>
      <c r="I193" s="3">
        <f t="shared" ca="1" si="37"/>
        <v>11021</v>
      </c>
      <c r="J193" s="3">
        <f t="shared" ca="1" si="38"/>
        <v>1420</v>
      </c>
      <c r="K193" s="3">
        <f t="shared" ca="1" si="39"/>
        <v>7</v>
      </c>
      <c r="L193" s="3">
        <f t="shared" ca="1" si="40"/>
        <v>9</v>
      </c>
      <c r="M193" s="3">
        <f t="shared" ca="1" si="41"/>
        <v>2</v>
      </c>
      <c r="N193" s="3" t="str">
        <f t="shared" ca="1" si="42"/>
        <v>On Time</v>
      </c>
      <c r="O193" s="3" t="str">
        <f t="shared" ca="1" si="43"/>
        <v>Low</v>
      </c>
      <c r="P193" s="3">
        <f t="shared" ca="1" si="44"/>
        <v>54</v>
      </c>
      <c r="Q193" s="1" t="str">
        <f ca="1">VLOOKUP(D193,Routes!$A$2:$D$31,2,FALSE)</f>
        <v>Delhi</v>
      </c>
      <c r="R193" s="1" t="str">
        <f ca="1">VLOOKUP(D193,Routes!$A$2:$D$31,3,FALSE)</f>
        <v>Lucknow</v>
      </c>
      <c r="S193" s="3">
        <f ca="1">VLOOKUP(D193,Routes!$A$2:$D$31,4,FALSE)</f>
        <v>550</v>
      </c>
      <c r="T193" s="3" t="str">
        <f ca="1">VLOOKUP(E193,Vehicles!$A$2:$D$21,2,FALSE)</f>
        <v>LCV</v>
      </c>
      <c r="U193" s="3">
        <f ca="1">VLOOKUP(E193,Vehicles!$A$2:$D$21,3,FALSE)</f>
        <v>6</v>
      </c>
      <c r="V193" s="3" t="str">
        <f ca="1">VLOOKUP(E193,Vehicles!$A$2:$D$21,4,FALSE)</f>
        <v>CNG</v>
      </c>
      <c r="W193" s="3">
        <f ca="1">VLOOKUP(V193,Fuel_Rates!$A$2:$B$3,2,FALSE)</f>
        <v>78</v>
      </c>
      <c r="X193" s="3">
        <f t="shared" ca="1" si="46"/>
        <v>71.56</v>
      </c>
      <c r="Y193" s="3">
        <f t="shared" ca="1" si="47"/>
        <v>51801</v>
      </c>
      <c r="Z193" s="3" t="str">
        <f t="shared" ca="1" si="48"/>
        <v>Sep</v>
      </c>
      <c r="AA193" s="3" t="str">
        <f t="shared" ca="1" si="49"/>
        <v>Q3</v>
      </c>
      <c r="AB193" s="4" t="str">
        <f t="shared" ca="1" si="50"/>
        <v>Medium Haul</v>
      </c>
    </row>
    <row r="194" spans="1:28" x14ac:dyDescent="0.3">
      <c r="A194" s="8" t="str">
        <f t="shared" si="45"/>
        <v>S0193</v>
      </c>
      <c r="B194" s="3">
        <f t="shared" ref="B194:B257" ca="1" si="51">DATE(2025,RANDBETWEEN(1,12),RANDBETWEEN(1,28))</f>
        <v>45835</v>
      </c>
      <c r="C194" s="3" t="str">
        <f ca="1">INDEX(Customers!$A$2:$A$21,RANDBETWEEN(1,20))</f>
        <v>C011</v>
      </c>
      <c r="D194" s="3" t="str">
        <f ca="1">INDEX(Routes!$A$2:$A$31,RANDBETWEEN(1,30))</f>
        <v>R009</v>
      </c>
      <c r="E194" s="3" t="str">
        <f ca="1">INDEX(Vehicles!$A$2:$A$21,RANDBETWEEN(1,20))</f>
        <v>V007</v>
      </c>
      <c r="F194" s="3" t="str">
        <f ca="1">INDEX(Drivers!$A$2:$A$31,RANDBETWEEN(1,30))</f>
        <v>D019</v>
      </c>
      <c r="G194" s="3">
        <f t="shared" ref="G194:G257" ca="1" si="52">ROUND(RANDBETWEEN(20,300)/10,1)</f>
        <v>16</v>
      </c>
      <c r="H194" s="3">
        <f t="shared" ref="H194:H257" ca="1" si="53">ROUND((G194*1800)+RANDBETWEEN(3000,15000),0)</f>
        <v>40143</v>
      </c>
      <c r="I194" s="3">
        <f t="shared" ref="I194:I257" ca="1" si="54">ROUND(H194*0.28,0)</f>
        <v>11240</v>
      </c>
      <c r="J194" s="3">
        <f t="shared" ref="J194:J257" ca="1" si="55">RANDBETWEEN(500,4000)</f>
        <v>2315</v>
      </c>
      <c r="K194" s="3">
        <f t="shared" ref="K194:K257" ca="1" si="56">RANDBETWEEN(4,48)</f>
        <v>11</v>
      </c>
      <c r="L194" s="3">
        <f t="shared" ref="L194:L257" ca="1" si="57">K194+RANDBETWEEN(0,8)</f>
        <v>12</v>
      </c>
      <c r="M194" s="3">
        <f t="shared" ref="M194:M257" ca="1" si="58">L194-K194</f>
        <v>1</v>
      </c>
      <c r="N194" s="3" t="str">
        <f t="shared" ref="N194:N257" ca="1" si="59">IF(M194&lt;=2,"On Time","Delayed")</f>
        <v>On Time</v>
      </c>
      <c r="O194" s="3" t="str">
        <f t="shared" ref="O194:O257" ca="1" si="60">CHOOSE(RANDBETWEEN(1,3),"High","Medium","Low")</f>
        <v>High</v>
      </c>
      <c r="P194" s="3">
        <f t="shared" ref="P194:P257" ca="1" si="61">ROUND((G194/30)*100,1)</f>
        <v>53.3</v>
      </c>
      <c r="Q194" s="1" t="str">
        <f ca="1">VLOOKUP(D194,Routes!$A$2:$D$31,2,FALSE)</f>
        <v>Bengaluru</v>
      </c>
      <c r="R194" s="1" t="str">
        <f ca="1">VLOOKUP(D194,Routes!$A$2:$D$31,3,FALSE)</f>
        <v>Chennai</v>
      </c>
      <c r="S194" s="3">
        <f ca="1">VLOOKUP(D194,Routes!$A$2:$D$31,4,FALSE)</f>
        <v>350</v>
      </c>
      <c r="T194" s="3" t="str">
        <f ca="1">VLOOKUP(E194,Vehicles!$A$2:$D$21,2,FALSE)</f>
        <v>Container</v>
      </c>
      <c r="U194" s="3">
        <f ca="1">VLOOKUP(E194,Vehicles!$A$2:$D$21,3,FALSE)</f>
        <v>20</v>
      </c>
      <c r="V194" s="3" t="str">
        <f ca="1">VLOOKUP(E194,Vehicles!$A$2:$D$21,4,FALSE)</f>
        <v>Diesel</v>
      </c>
      <c r="W194" s="3">
        <f ca="1">VLOOKUP(V194,Fuel_Rates!$A$2:$B$3,2,FALSE)</f>
        <v>95</v>
      </c>
      <c r="X194" s="3">
        <f t="shared" ca="1" si="46"/>
        <v>114.69</v>
      </c>
      <c r="Y194" s="3">
        <f t="shared" ca="1" si="47"/>
        <v>53698</v>
      </c>
      <c r="Z194" s="3" t="str">
        <f t="shared" ca="1" si="48"/>
        <v>Jun</v>
      </c>
      <c r="AA194" s="3" t="str">
        <f t="shared" ca="1" si="49"/>
        <v>Q2</v>
      </c>
      <c r="AB194" s="4" t="str">
        <f t="shared" ca="1" si="50"/>
        <v>Medium Haul</v>
      </c>
    </row>
    <row r="195" spans="1:28" x14ac:dyDescent="0.3">
      <c r="A195" s="8" t="str">
        <f t="shared" ref="A195:A258" si="62">"S"&amp;TEXT(ROW()-1,"0000")</f>
        <v>S0194</v>
      </c>
      <c r="B195" s="3">
        <f t="shared" ca="1" si="51"/>
        <v>45943</v>
      </c>
      <c r="C195" s="3" t="str">
        <f ca="1">INDEX(Customers!$A$2:$A$21,RANDBETWEEN(1,20))</f>
        <v>C015</v>
      </c>
      <c r="D195" s="3" t="str">
        <f ca="1">INDEX(Routes!$A$2:$A$31,RANDBETWEEN(1,30))</f>
        <v>R003</v>
      </c>
      <c r="E195" s="3" t="str">
        <f ca="1">INDEX(Vehicles!$A$2:$A$21,RANDBETWEEN(1,20))</f>
        <v>V010</v>
      </c>
      <c r="F195" s="3" t="str">
        <f ca="1">INDEX(Drivers!$A$2:$A$31,RANDBETWEEN(1,30))</f>
        <v>D020</v>
      </c>
      <c r="G195" s="3">
        <f t="shared" ca="1" si="52"/>
        <v>30</v>
      </c>
      <c r="H195" s="3">
        <f t="shared" ca="1" si="53"/>
        <v>67958</v>
      </c>
      <c r="I195" s="3">
        <f t="shared" ca="1" si="54"/>
        <v>19028</v>
      </c>
      <c r="J195" s="3">
        <f t="shared" ca="1" si="55"/>
        <v>2327</v>
      </c>
      <c r="K195" s="3">
        <f t="shared" ca="1" si="56"/>
        <v>27</v>
      </c>
      <c r="L195" s="3">
        <f t="shared" ca="1" si="57"/>
        <v>33</v>
      </c>
      <c r="M195" s="3">
        <f t="shared" ca="1" si="58"/>
        <v>6</v>
      </c>
      <c r="N195" s="3" t="str">
        <f t="shared" ca="1" si="59"/>
        <v>Delayed</v>
      </c>
      <c r="O195" s="3" t="str">
        <f t="shared" ca="1" si="60"/>
        <v>High</v>
      </c>
      <c r="P195" s="3">
        <f t="shared" ca="1" si="61"/>
        <v>100</v>
      </c>
      <c r="Q195" s="1" t="str">
        <f ca="1">VLOOKUP(D195,Routes!$A$2:$D$31,2,FALSE)</f>
        <v>Mumbai</v>
      </c>
      <c r="R195" s="1" t="str">
        <f ca="1">VLOOKUP(D195,Routes!$A$2:$D$31,3,FALSE)</f>
        <v>Delhi</v>
      </c>
      <c r="S195" s="3">
        <f ca="1">VLOOKUP(D195,Routes!$A$2:$D$31,4,FALSE)</f>
        <v>1450</v>
      </c>
      <c r="T195" s="3" t="str">
        <f ca="1">VLOOKUP(E195,Vehicles!$A$2:$D$21,2,FALSE)</f>
        <v>LCV</v>
      </c>
      <c r="U195" s="3">
        <f ca="1">VLOOKUP(E195,Vehicles!$A$2:$D$21,3,FALSE)</f>
        <v>7</v>
      </c>
      <c r="V195" s="3" t="str">
        <f ca="1">VLOOKUP(E195,Vehicles!$A$2:$D$21,4,FALSE)</f>
        <v>Diesel</v>
      </c>
      <c r="W195" s="3">
        <f ca="1">VLOOKUP(V195,Fuel_Rates!$A$2:$B$3,2,FALSE)</f>
        <v>95</v>
      </c>
      <c r="X195" s="3">
        <f t="shared" ref="X195:X258" ca="1" si="63">ROUND(H195/S195,2)</f>
        <v>46.87</v>
      </c>
      <c r="Y195" s="3">
        <f t="shared" ref="Y195:Y258" ca="1" si="64">H195+I195+J195</f>
        <v>89313</v>
      </c>
      <c r="Z195" s="3" t="str">
        <f t="shared" ref="Z195:Z258" ca="1" si="65">TEXT(B195,"mmm")</f>
        <v>Oct</v>
      </c>
      <c r="AA195" s="3" t="str">
        <f t="shared" ref="AA195:AA258" ca="1" si="66">"Q"&amp;ROUNDUP(MONTH(B195)/3,0)</f>
        <v>Q4</v>
      </c>
      <c r="AB195" s="4" t="str">
        <f t="shared" ref="AB195:AB258" ca="1" si="67">IF(S195&lt;300,"Short Haul",IF(S195&lt;800,"Medium Haul","Long Haul"))</f>
        <v>Long Haul</v>
      </c>
    </row>
    <row r="196" spans="1:28" x14ac:dyDescent="0.3">
      <c r="A196" s="8" t="str">
        <f t="shared" si="62"/>
        <v>S0195</v>
      </c>
      <c r="B196" s="3">
        <f t="shared" ca="1" si="51"/>
        <v>45871</v>
      </c>
      <c r="C196" s="3" t="str">
        <f ca="1">INDEX(Customers!$A$2:$A$21,RANDBETWEEN(1,20))</f>
        <v>C019</v>
      </c>
      <c r="D196" s="3" t="str">
        <f ca="1">INDEX(Routes!$A$2:$A$31,RANDBETWEEN(1,30))</f>
        <v>R029</v>
      </c>
      <c r="E196" s="3" t="str">
        <f ca="1">INDEX(Vehicles!$A$2:$A$21,RANDBETWEEN(1,20))</f>
        <v>V008</v>
      </c>
      <c r="F196" s="3" t="str">
        <f ca="1">INDEX(Drivers!$A$2:$A$31,RANDBETWEEN(1,30))</f>
        <v>D010</v>
      </c>
      <c r="G196" s="3">
        <f t="shared" ca="1" si="52"/>
        <v>18.2</v>
      </c>
      <c r="H196" s="3">
        <f t="shared" ca="1" si="53"/>
        <v>47278</v>
      </c>
      <c r="I196" s="3">
        <f t="shared" ca="1" si="54"/>
        <v>13238</v>
      </c>
      <c r="J196" s="3">
        <f t="shared" ca="1" si="55"/>
        <v>3990</v>
      </c>
      <c r="K196" s="3">
        <f t="shared" ca="1" si="56"/>
        <v>5</v>
      </c>
      <c r="L196" s="3">
        <f t="shared" ca="1" si="57"/>
        <v>6</v>
      </c>
      <c r="M196" s="3">
        <f t="shared" ca="1" si="58"/>
        <v>1</v>
      </c>
      <c r="N196" s="3" t="str">
        <f t="shared" ca="1" si="59"/>
        <v>On Time</v>
      </c>
      <c r="O196" s="3" t="str">
        <f t="shared" ca="1" si="60"/>
        <v>Medium</v>
      </c>
      <c r="P196" s="3">
        <f t="shared" ca="1" si="61"/>
        <v>60.7</v>
      </c>
      <c r="Q196" s="1" t="str">
        <f ca="1">VLOOKUP(D196,Routes!$A$2:$D$31,2,FALSE)</f>
        <v>Chandigarh</v>
      </c>
      <c r="R196" s="1" t="str">
        <f ca="1">VLOOKUP(D196,Routes!$A$2:$D$31,3,FALSE)</f>
        <v>Delhi</v>
      </c>
      <c r="S196" s="3">
        <f ca="1">VLOOKUP(D196,Routes!$A$2:$D$31,4,FALSE)</f>
        <v>250</v>
      </c>
      <c r="T196" s="3" t="str">
        <f ca="1">VLOOKUP(E196,Vehicles!$A$2:$D$21,2,FALSE)</f>
        <v>Container</v>
      </c>
      <c r="U196" s="3">
        <f ca="1">VLOOKUP(E196,Vehicles!$A$2:$D$21,3,FALSE)</f>
        <v>25</v>
      </c>
      <c r="V196" s="3" t="str">
        <f ca="1">VLOOKUP(E196,Vehicles!$A$2:$D$21,4,FALSE)</f>
        <v>Diesel</v>
      </c>
      <c r="W196" s="3">
        <f ca="1">VLOOKUP(V196,Fuel_Rates!$A$2:$B$3,2,FALSE)</f>
        <v>95</v>
      </c>
      <c r="X196" s="3">
        <f t="shared" ca="1" si="63"/>
        <v>189.11</v>
      </c>
      <c r="Y196" s="3">
        <f t="shared" ca="1" si="64"/>
        <v>64506</v>
      </c>
      <c r="Z196" s="3" t="str">
        <f t="shared" ca="1" si="65"/>
        <v>Aug</v>
      </c>
      <c r="AA196" s="3" t="str">
        <f t="shared" ca="1" si="66"/>
        <v>Q3</v>
      </c>
      <c r="AB196" s="4" t="str">
        <f t="shared" ca="1" si="67"/>
        <v>Short Haul</v>
      </c>
    </row>
    <row r="197" spans="1:28" x14ac:dyDescent="0.3">
      <c r="A197" s="8" t="str">
        <f t="shared" si="62"/>
        <v>S0196</v>
      </c>
      <c r="B197" s="3">
        <f t="shared" ca="1" si="51"/>
        <v>45820</v>
      </c>
      <c r="C197" s="3" t="str">
        <f ca="1">INDEX(Customers!$A$2:$A$21,RANDBETWEEN(1,20))</f>
        <v>C007</v>
      </c>
      <c r="D197" s="3" t="str">
        <f ca="1">INDEX(Routes!$A$2:$A$31,RANDBETWEEN(1,30))</f>
        <v>R001</v>
      </c>
      <c r="E197" s="3" t="str">
        <f ca="1">INDEX(Vehicles!$A$2:$A$21,RANDBETWEEN(1,20))</f>
        <v>V013</v>
      </c>
      <c r="F197" s="3" t="str">
        <f ca="1">INDEX(Drivers!$A$2:$A$31,RANDBETWEEN(1,30))</f>
        <v>D007</v>
      </c>
      <c r="G197" s="3">
        <f t="shared" ca="1" si="52"/>
        <v>21.9</v>
      </c>
      <c r="H197" s="3">
        <f t="shared" ca="1" si="53"/>
        <v>47140</v>
      </c>
      <c r="I197" s="3">
        <f t="shared" ca="1" si="54"/>
        <v>13199</v>
      </c>
      <c r="J197" s="3">
        <f t="shared" ca="1" si="55"/>
        <v>3570</v>
      </c>
      <c r="K197" s="3">
        <f t="shared" ca="1" si="56"/>
        <v>46</v>
      </c>
      <c r="L197" s="3">
        <f t="shared" ca="1" si="57"/>
        <v>52</v>
      </c>
      <c r="M197" s="3">
        <f t="shared" ca="1" si="58"/>
        <v>6</v>
      </c>
      <c r="N197" s="3" t="str">
        <f t="shared" ca="1" si="59"/>
        <v>Delayed</v>
      </c>
      <c r="O197" s="3" t="str">
        <f t="shared" ca="1" si="60"/>
        <v>Low</v>
      </c>
      <c r="P197" s="3">
        <f t="shared" ca="1" si="61"/>
        <v>73</v>
      </c>
      <c r="Q197" s="1" t="str">
        <f ca="1">VLOOKUP(D197,Routes!$A$2:$D$31,2,FALSE)</f>
        <v>Mumbai</v>
      </c>
      <c r="R197" s="1" t="str">
        <f ca="1">VLOOKUP(D197,Routes!$A$2:$D$31,3,FALSE)</f>
        <v>Pune</v>
      </c>
      <c r="S197" s="3">
        <f ca="1">VLOOKUP(D197,Routes!$A$2:$D$31,4,FALSE)</f>
        <v>150</v>
      </c>
      <c r="T197" s="3" t="str">
        <f ca="1">VLOOKUP(E197,Vehicles!$A$2:$D$21,2,FALSE)</f>
        <v>LCV</v>
      </c>
      <c r="U197" s="3">
        <f ca="1">VLOOKUP(E197,Vehicles!$A$2:$D$21,3,FALSE)</f>
        <v>4</v>
      </c>
      <c r="V197" s="3" t="str">
        <f ca="1">VLOOKUP(E197,Vehicles!$A$2:$D$21,4,FALSE)</f>
        <v>CNG</v>
      </c>
      <c r="W197" s="3">
        <f ca="1">VLOOKUP(V197,Fuel_Rates!$A$2:$B$3,2,FALSE)</f>
        <v>78</v>
      </c>
      <c r="X197" s="3">
        <f t="shared" ca="1" si="63"/>
        <v>314.27</v>
      </c>
      <c r="Y197" s="3">
        <f t="shared" ca="1" si="64"/>
        <v>63909</v>
      </c>
      <c r="Z197" s="3" t="str">
        <f t="shared" ca="1" si="65"/>
        <v>Jun</v>
      </c>
      <c r="AA197" s="3" t="str">
        <f t="shared" ca="1" si="66"/>
        <v>Q2</v>
      </c>
      <c r="AB197" s="4" t="str">
        <f t="shared" ca="1" si="67"/>
        <v>Short Haul</v>
      </c>
    </row>
    <row r="198" spans="1:28" x14ac:dyDescent="0.3">
      <c r="A198" s="8" t="str">
        <f t="shared" si="62"/>
        <v>S0197</v>
      </c>
      <c r="B198" s="3">
        <f t="shared" ca="1" si="51"/>
        <v>45697</v>
      </c>
      <c r="C198" s="3" t="str">
        <f ca="1">INDEX(Customers!$A$2:$A$21,RANDBETWEEN(1,20))</f>
        <v>C010</v>
      </c>
      <c r="D198" s="3" t="str">
        <f ca="1">INDEX(Routes!$A$2:$A$31,RANDBETWEEN(1,30))</f>
        <v>R008</v>
      </c>
      <c r="E198" s="3" t="str">
        <f ca="1">INDEX(Vehicles!$A$2:$A$21,RANDBETWEEN(1,20))</f>
        <v>V010</v>
      </c>
      <c r="F198" s="3" t="str">
        <f ca="1">INDEX(Drivers!$A$2:$A$31,RANDBETWEEN(1,30))</f>
        <v>D026</v>
      </c>
      <c r="G198" s="3">
        <f t="shared" ca="1" si="52"/>
        <v>11.7</v>
      </c>
      <c r="H198" s="3">
        <f t="shared" ca="1" si="53"/>
        <v>28839</v>
      </c>
      <c r="I198" s="3">
        <f t="shared" ca="1" si="54"/>
        <v>8075</v>
      </c>
      <c r="J198" s="3">
        <f t="shared" ca="1" si="55"/>
        <v>2541</v>
      </c>
      <c r="K198" s="3">
        <f t="shared" ca="1" si="56"/>
        <v>42</v>
      </c>
      <c r="L198" s="3">
        <f t="shared" ca="1" si="57"/>
        <v>45</v>
      </c>
      <c r="M198" s="3">
        <f t="shared" ca="1" si="58"/>
        <v>3</v>
      </c>
      <c r="N198" s="3" t="str">
        <f t="shared" ca="1" si="59"/>
        <v>Delayed</v>
      </c>
      <c r="O198" s="3" t="str">
        <f t="shared" ca="1" si="60"/>
        <v>High</v>
      </c>
      <c r="P198" s="3">
        <f t="shared" ca="1" si="61"/>
        <v>39</v>
      </c>
      <c r="Q198" s="1" t="str">
        <f ca="1">VLOOKUP(D198,Routes!$A$2:$D$31,2,FALSE)</f>
        <v>Delhi</v>
      </c>
      <c r="R198" s="1" t="str">
        <f ca="1">VLOOKUP(D198,Routes!$A$2:$D$31,3,FALSE)</f>
        <v>Kolkata</v>
      </c>
      <c r="S198" s="3">
        <f ca="1">VLOOKUP(D198,Routes!$A$2:$D$31,4,FALSE)</f>
        <v>1500</v>
      </c>
      <c r="T198" s="3" t="str">
        <f ca="1">VLOOKUP(E198,Vehicles!$A$2:$D$21,2,FALSE)</f>
        <v>LCV</v>
      </c>
      <c r="U198" s="3">
        <f ca="1">VLOOKUP(E198,Vehicles!$A$2:$D$21,3,FALSE)</f>
        <v>7</v>
      </c>
      <c r="V198" s="3" t="str">
        <f ca="1">VLOOKUP(E198,Vehicles!$A$2:$D$21,4,FALSE)</f>
        <v>Diesel</v>
      </c>
      <c r="W198" s="3">
        <f ca="1">VLOOKUP(V198,Fuel_Rates!$A$2:$B$3,2,FALSE)</f>
        <v>95</v>
      </c>
      <c r="X198" s="3">
        <f t="shared" ca="1" si="63"/>
        <v>19.23</v>
      </c>
      <c r="Y198" s="3">
        <f t="shared" ca="1" si="64"/>
        <v>39455</v>
      </c>
      <c r="Z198" s="3" t="str">
        <f t="shared" ca="1" si="65"/>
        <v>Feb</v>
      </c>
      <c r="AA198" s="3" t="str">
        <f t="shared" ca="1" si="66"/>
        <v>Q1</v>
      </c>
      <c r="AB198" s="4" t="str">
        <f t="shared" ca="1" si="67"/>
        <v>Long Haul</v>
      </c>
    </row>
    <row r="199" spans="1:28" x14ac:dyDescent="0.3">
      <c r="A199" s="8" t="str">
        <f t="shared" si="62"/>
        <v>S0198</v>
      </c>
      <c r="B199" s="3">
        <f t="shared" ca="1" si="51"/>
        <v>45759</v>
      </c>
      <c r="C199" s="3" t="str">
        <f ca="1">INDEX(Customers!$A$2:$A$21,RANDBETWEEN(1,20))</f>
        <v>C008</v>
      </c>
      <c r="D199" s="3" t="str">
        <f ca="1">INDEX(Routes!$A$2:$A$31,RANDBETWEEN(1,30))</f>
        <v>R028</v>
      </c>
      <c r="E199" s="3" t="str">
        <f ca="1">INDEX(Vehicles!$A$2:$A$21,RANDBETWEEN(1,20))</f>
        <v>V006</v>
      </c>
      <c r="F199" s="3" t="str">
        <f ca="1">INDEX(Drivers!$A$2:$A$31,RANDBETWEEN(1,30))</f>
        <v>D004</v>
      </c>
      <c r="G199" s="3">
        <f t="shared" ca="1" si="52"/>
        <v>24.2</v>
      </c>
      <c r="H199" s="3">
        <f t="shared" ca="1" si="53"/>
        <v>55541</v>
      </c>
      <c r="I199" s="3">
        <f t="shared" ca="1" si="54"/>
        <v>15551</v>
      </c>
      <c r="J199" s="3">
        <f t="shared" ca="1" si="55"/>
        <v>3740</v>
      </c>
      <c r="K199" s="3">
        <f t="shared" ca="1" si="56"/>
        <v>28</v>
      </c>
      <c r="L199" s="3">
        <f t="shared" ca="1" si="57"/>
        <v>30</v>
      </c>
      <c r="M199" s="3">
        <f t="shared" ca="1" si="58"/>
        <v>2</v>
      </c>
      <c r="N199" s="3" t="str">
        <f t="shared" ca="1" si="59"/>
        <v>On Time</v>
      </c>
      <c r="O199" s="3" t="str">
        <f t="shared" ca="1" si="60"/>
        <v>Medium</v>
      </c>
      <c r="P199" s="3">
        <f t="shared" ca="1" si="61"/>
        <v>80.7</v>
      </c>
      <c r="Q199" s="1" t="str">
        <f ca="1">VLOOKUP(D199,Routes!$A$2:$D$31,2,FALSE)</f>
        <v>Indore</v>
      </c>
      <c r="R199" s="1" t="str">
        <f ca="1">VLOOKUP(D199,Routes!$A$2:$D$31,3,FALSE)</f>
        <v>Mumbai</v>
      </c>
      <c r="S199" s="3">
        <f ca="1">VLOOKUP(D199,Routes!$A$2:$D$31,4,FALSE)</f>
        <v>590</v>
      </c>
      <c r="T199" s="3" t="str">
        <f ca="1">VLOOKUP(E199,Vehicles!$A$2:$D$21,2,FALSE)</f>
        <v>Container</v>
      </c>
      <c r="U199" s="3">
        <f ca="1">VLOOKUP(E199,Vehicles!$A$2:$D$21,3,FALSE)</f>
        <v>18</v>
      </c>
      <c r="V199" s="3" t="str">
        <f ca="1">VLOOKUP(E199,Vehicles!$A$2:$D$21,4,FALSE)</f>
        <v>Diesel</v>
      </c>
      <c r="W199" s="3">
        <f ca="1">VLOOKUP(V199,Fuel_Rates!$A$2:$B$3,2,FALSE)</f>
        <v>95</v>
      </c>
      <c r="X199" s="3">
        <f t="shared" ca="1" si="63"/>
        <v>94.14</v>
      </c>
      <c r="Y199" s="3">
        <f t="shared" ca="1" si="64"/>
        <v>74832</v>
      </c>
      <c r="Z199" s="3" t="str">
        <f t="shared" ca="1" si="65"/>
        <v>Apr</v>
      </c>
      <c r="AA199" s="3" t="str">
        <f t="shared" ca="1" si="66"/>
        <v>Q2</v>
      </c>
      <c r="AB199" s="4" t="str">
        <f t="shared" ca="1" si="67"/>
        <v>Medium Haul</v>
      </c>
    </row>
    <row r="200" spans="1:28" x14ac:dyDescent="0.3">
      <c r="A200" s="8" t="str">
        <f t="shared" si="62"/>
        <v>S0199</v>
      </c>
      <c r="B200" s="3">
        <f t="shared" ca="1" si="51"/>
        <v>45916</v>
      </c>
      <c r="C200" s="3" t="str">
        <f ca="1">INDEX(Customers!$A$2:$A$21,RANDBETWEEN(1,20))</f>
        <v>C004</v>
      </c>
      <c r="D200" s="3" t="str">
        <f ca="1">INDEX(Routes!$A$2:$A$31,RANDBETWEEN(1,30))</f>
        <v>R027</v>
      </c>
      <c r="E200" s="3" t="str">
        <f ca="1">INDEX(Vehicles!$A$2:$A$21,RANDBETWEEN(1,20))</f>
        <v>V001</v>
      </c>
      <c r="F200" s="3" t="str">
        <f ca="1">INDEX(Drivers!$A$2:$A$31,RANDBETWEEN(1,30))</f>
        <v>D016</v>
      </c>
      <c r="G200" s="3">
        <f t="shared" ca="1" si="52"/>
        <v>4.2</v>
      </c>
      <c r="H200" s="3">
        <f t="shared" ca="1" si="53"/>
        <v>10894</v>
      </c>
      <c r="I200" s="3">
        <f t="shared" ca="1" si="54"/>
        <v>3050</v>
      </c>
      <c r="J200" s="3">
        <f t="shared" ca="1" si="55"/>
        <v>1935</v>
      </c>
      <c r="K200" s="3">
        <f t="shared" ca="1" si="56"/>
        <v>8</v>
      </c>
      <c r="L200" s="3">
        <f t="shared" ca="1" si="57"/>
        <v>14</v>
      </c>
      <c r="M200" s="3">
        <f t="shared" ca="1" si="58"/>
        <v>6</v>
      </c>
      <c r="N200" s="3" t="str">
        <f t="shared" ca="1" si="59"/>
        <v>Delayed</v>
      </c>
      <c r="O200" s="3" t="str">
        <f t="shared" ca="1" si="60"/>
        <v>High</v>
      </c>
      <c r="P200" s="3">
        <f t="shared" ca="1" si="61"/>
        <v>14</v>
      </c>
      <c r="Q200" s="1" t="str">
        <f ca="1">VLOOKUP(D200,Routes!$A$2:$D$31,2,FALSE)</f>
        <v>Patna</v>
      </c>
      <c r="R200" s="1" t="str">
        <f ca="1">VLOOKUP(D200,Routes!$A$2:$D$31,3,FALSE)</f>
        <v>Ranchi</v>
      </c>
      <c r="S200" s="3">
        <f ca="1">VLOOKUP(D200,Routes!$A$2:$D$31,4,FALSE)</f>
        <v>330</v>
      </c>
      <c r="T200" s="3" t="str">
        <f ca="1">VLOOKUP(E200,Vehicles!$A$2:$D$21,2,FALSE)</f>
        <v>Truck</v>
      </c>
      <c r="U200" s="3">
        <f ca="1">VLOOKUP(E200,Vehicles!$A$2:$D$21,3,FALSE)</f>
        <v>16</v>
      </c>
      <c r="V200" s="3" t="str">
        <f ca="1">VLOOKUP(E200,Vehicles!$A$2:$D$21,4,FALSE)</f>
        <v>Diesel</v>
      </c>
      <c r="W200" s="3">
        <f ca="1">VLOOKUP(V200,Fuel_Rates!$A$2:$B$3,2,FALSE)</f>
        <v>95</v>
      </c>
      <c r="X200" s="3">
        <f t="shared" ca="1" si="63"/>
        <v>33.01</v>
      </c>
      <c r="Y200" s="3">
        <f t="shared" ca="1" si="64"/>
        <v>15879</v>
      </c>
      <c r="Z200" s="3" t="str">
        <f t="shared" ca="1" si="65"/>
        <v>Sep</v>
      </c>
      <c r="AA200" s="3" t="str">
        <f t="shared" ca="1" si="66"/>
        <v>Q3</v>
      </c>
      <c r="AB200" s="4" t="str">
        <f t="shared" ca="1" si="67"/>
        <v>Medium Haul</v>
      </c>
    </row>
    <row r="201" spans="1:28" x14ac:dyDescent="0.3">
      <c r="A201" s="8" t="str">
        <f t="shared" si="62"/>
        <v>S0200</v>
      </c>
      <c r="B201" s="3">
        <f t="shared" ca="1" si="51"/>
        <v>45669</v>
      </c>
      <c r="C201" s="3" t="str">
        <f ca="1">INDEX(Customers!$A$2:$A$21,RANDBETWEEN(1,20))</f>
        <v>C003</v>
      </c>
      <c r="D201" s="3" t="str">
        <f ca="1">INDEX(Routes!$A$2:$A$31,RANDBETWEEN(1,30))</f>
        <v>R021</v>
      </c>
      <c r="E201" s="3" t="str">
        <f ca="1">INDEX(Vehicles!$A$2:$A$21,RANDBETWEEN(1,20))</f>
        <v>V020</v>
      </c>
      <c r="F201" s="3" t="str">
        <f ca="1">INDEX(Drivers!$A$2:$A$31,RANDBETWEEN(1,30))</f>
        <v>D004</v>
      </c>
      <c r="G201" s="3">
        <f t="shared" ca="1" si="52"/>
        <v>6.4</v>
      </c>
      <c r="H201" s="3">
        <f t="shared" ca="1" si="53"/>
        <v>17351</v>
      </c>
      <c r="I201" s="3">
        <f t="shared" ca="1" si="54"/>
        <v>4858</v>
      </c>
      <c r="J201" s="3">
        <f t="shared" ca="1" si="55"/>
        <v>1901</v>
      </c>
      <c r="K201" s="3">
        <f t="shared" ca="1" si="56"/>
        <v>41</v>
      </c>
      <c r="L201" s="3">
        <f t="shared" ca="1" si="57"/>
        <v>44</v>
      </c>
      <c r="M201" s="3">
        <f t="shared" ca="1" si="58"/>
        <v>3</v>
      </c>
      <c r="N201" s="3" t="str">
        <f t="shared" ca="1" si="59"/>
        <v>Delayed</v>
      </c>
      <c r="O201" s="3" t="str">
        <f t="shared" ca="1" si="60"/>
        <v>Low</v>
      </c>
      <c r="P201" s="3">
        <f t="shared" ca="1" si="61"/>
        <v>21.3</v>
      </c>
      <c r="Q201" s="1" t="str">
        <f ca="1">VLOOKUP(D201,Routes!$A$2:$D$31,2,FALSE)</f>
        <v>Lucknow</v>
      </c>
      <c r="R201" s="1" t="str">
        <f ca="1">VLOOKUP(D201,Routes!$A$2:$D$31,3,FALSE)</f>
        <v>Kanpur</v>
      </c>
      <c r="S201" s="3">
        <f ca="1">VLOOKUP(D201,Routes!$A$2:$D$31,4,FALSE)</f>
        <v>90</v>
      </c>
      <c r="T201" s="3" t="str">
        <f ca="1">VLOOKUP(E201,Vehicles!$A$2:$D$21,2,FALSE)</f>
        <v>Container</v>
      </c>
      <c r="U201" s="3">
        <f ca="1">VLOOKUP(E201,Vehicles!$A$2:$D$21,3,FALSE)</f>
        <v>28</v>
      </c>
      <c r="V201" s="3" t="str">
        <f ca="1">VLOOKUP(E201,Vehicles!$A$2:$D$21,4,FALSE)</f>
        <v>Diesel</v>
      </c>
      <c r="W201" s="3">
        <f ca="1">VLOOKUP(V201,Fuel_Rates!$A$2:$B$3,2,FALSE)</f>
        <v>95</v>
      </c>
      <c r="X201" s="3">
        <f t="shared" ca="1" si="63"/>
        <v>192.79</v>
      </c>
      <c r="Y201" s="3">
        <f t="shared" ca="1" si="64"/>
        <v>24110</v>
      </c>
      <c r="Z201" s="3" t="str">
        <f t="shared" ca="1" si="65"/>
        <v>Jan</v>
      </c>
      <c r="AA201" s="3" t="str">
        <f t="shared" ca="1" si="66"/>
        <v>Q1</v>
      </c>
      <c r="AB201" s="4" t="str">
        <f t="shared" ca="1" si="67"/>
        <v>Short Haul</v>
      </c>
    </row>
    <row r="202" spans="1:28" x14ac:dyDescent="0.3">
      <c r="A202" s="8" t="str">
        <f t="shared" si="62"/>
        <v>S0201</v>
      </c>
      <c r="B202" s="3">
        <f t="shared" ca="1" si="51"/>
        <v>45720</v>
      </c>
      <c r="C202" s="3" t="str">
        <f ca="1">INDEX(Customers!$A$2:$A$21,RANDBETWEEN(1,20))</f>
        <v>C002</v>
      </c>
      <c r="D202" s="3" t="str">
        <f ca="1">INDEX(Routes!$A$2:$A$31,RANDBETWEEN(1,30))</f>
        <v>R009</v>
      </c>
      <c r="E202" s="3" t="str">
        <f ca="1">INDEX(Vehicles!$A$2:$A$21,RANDBETWEEN(1,20))</f>
        <v>V008</v>
      </c>
      <c r="F202" s="3" t="str">
        <f ca="1">INDEX(Drivers!$A$2:$A$31,RANDBETWEEN(1,30))</f>
        <v>D003</v>
      </c>
      <c r="G202" s="3">
        <f t="shared" ca="1" si="52"/>
        <v>10.199999999999999</v>
      </c>
      <c r="H202" s="3">
        <f t="shared" ca="1" si="53"/>
        <v>24683</v>
      </c>
      <c r="I202" s="3">
        <f t="shared" ca="1" si="54"/>
        <v>6911</v>
      </c>
      <c r="J202" s="3">
        <f t="shared" ca="1" si="55"/>
        <v>3972</v>
      </c>
      <c r="K202" s="3">
        <f t="shared" ca="1" si="56"/>
        <v>30</v>
      </c>
      <c r="L202" s="3">
        <f t="shared" ca="1" si="57"/>
        <v>34</v>
      </c>
      <c r="M202" s="3">
        <f t="shared" ca="1" si="58"/>
        <v>4</v>
      </c>
      <c r="N202" s="3" t="str">
        <f t="shared" ca="1" si="59"/>
        <v>Delayed</v>
      </c>
      <c r="O202" s="3" t="str">
        <f t="shared" ca="1" si="60"/>
        <v>High</v>
      </c>
      <c r="P202" s="3">
        <f t="shared" ca="1" si="61"/>
        <v>34</v>
      </c>
      <c r="Q202" s="1" t="str">
        <f ca="1">VLOOKUP(D202,Routes!$A$2:$D$31,2,FALSE)</f>
        <v>Bengaluru</v>
      </c>
      <c r="R202" s="1" t="str">
        <f ca="1">VLOOKUP(D202,Routes!$A$2:$D$31,3,FALSE)</f>
        <v>Chennai</v>
      </c>
      <c r="S202" s="3">
        <f ca="1">VLOOKUP(D202,Routes!$A$2:$D$31,4,FALSE)</f>
        <v>350</v>
      </c>
      <c r="T202" s="3" t="str">
        <f ca="1">VLOOKUP(E202,Vehicles!$A$2:$D$21,2,FALSE)</f>
        <v>Container</v>
      </c>
      <c r="U202" s="3">
        <f ca="1">VLOOKUP(E202,Vehicles!$A$2:$D$21,3,FALSE)</f>
        <v>25</v>
      </c>
      <c r="V202" s="3" t="str">
        <f ca="1">VLOOKUP(E202,Vehicles!$A$2:$D$21,4,FALSE)</f>
        <v>Diesel</v>
      </c>
      <c r="W202" s="3">
        <f ca="1">VLOOKUP(V202,Fuel_Rates!$A$2:$B$3,2,FALSE)</f>
        <v>95</v>
      </c>
      <c r="X202" s="3">
        <f t="shared" ca="1" si="63"/>
        <v>70.52</v>
      </c>
      <c r="Y202" s="3">
        <f t="shared" ca="1" si="64"/>
        <v>35566</v>
      </c>
      <c r="Z202" s="3" t="str">
        <f t="shared" ca="1" si="65"/>
        <v>Mar</v>
      </c>
      <c r="AA202" s="3" t="str">
        <f t="shared" ca="1" si="66"/>
        <v>Q1</v>
      </c>
      <c r="AB202" s="4" t="str">
        <f t="shared" ca="1" si="67"/>
        <v>Medium Haul</v>
      </c>
    </row>
    <row r="203" spans="1:28" x14ac:dyDescent="0.3">
      <c r="A203" s="8" t="str">
        <f t="shared" si="62"/>
        <v>S0202</v>
      </c>
      <c r="B203" s="3">
        <f t="shared" ca="1" si="51"/>
        <v>45863</v>
      </c>
      <c r="C203" s="3" t="str">
        <f ca="1">INDEX(Customers!$A$2:$A$21,RANDBETWEEN(1,20))</f>
        <v>C008</v>
      </c>
      <c r="D203" s="3" t="str">
        <f ca="1">INDEX(Routes!$A$2:$A$31,RANDBETWEEN(1,30))</f>
        <v>R015</v>
      </c>
      <c r="E203" s="3" t="str">
        <f ca="1">INDEX(Vehicles!$A$2:$A$21,RANDBETWEEN(1,20))</f>
        <v>V016</v>
      </c>
      <c r="F203" s="3" t="str">
        <f ca="1">INDEX(Drivers!$A$2:$A$31,RANDBETWEEN(1,30))</f>
        <v>D013</v>
      </c>
      <c r="G203" s="3">
        <f t="shared" ca="1" si="52"/>
        <v>8.3000000000000007</v>
      </c>
      <c r="H203" s="3">
        <f t="shared" ca="1" si="53"/>
        <v>25643</v>
      </c>
      <c r="I203" s="3">
        <f t="shared" ca="1" si="54"/>
        <v>7180</v>
      </c>
      <c r="J203" s="3">
        <f t="shared" ca="1" si="55"/>
        <v>1966</v>
      </c>
      <c r="K203" s="3">
        <f t="shared" ca="1" si="56"/>
        <v>19</v>
      </c>
      <c r="L203" s="3">
        <f t="shared" ca="1" si="57"/>
        <v>19</v>
      </c>
      <c r="M203" s="3">
        <f t="shared" ca="1" si="58"/>
        <v>0</v>
      </c>
      <c r="N203" s="3" t="str">
        <f t="shared" ca="1" si="59"/>
        <v>On Time</v>
      </c>
      <c r="O203" s="3" t="str">
        <f t="shared" ca="1" si="60"/>
        <v>Low</v>
      </c>
      <c r="P203" s="3">
        <f t="shared" ca="1" si="61"/>
        <v>27.7</v>
      </c>
      <c r="Q203" s="1" t="str">
        <f ca="1">VLOOKUP(D203,Routes!$A$2:$D$31,2,FALSE)</f>
        <v>Hyderabad</v>
      </c>
      <c r="R203" s="1" t="str">
        <f ca="1">VLOOKUP(D203,Routes!$A$2:$D$31,3,FALSE)</f>
        <v>Pune</v>
      </c>
      <c r="S203" s="3">
        <f ca="1">VLOOKUP(D203,Routes!$A$2:$D$31,4,FALSE)</f>
        <v>560</v>
      </c>
      <c r="T203" s="3" t="str">
        <f ca="1">VLOOKUP(E203,Vehicles!$A$2:$D$21,2,FALSE)</f>
        <v>Container</v>
      </c>
      <c r="U203" s="3">
        <f ca="1">VLOOKUP(E203,Vehicles!$A$2:$D$21,3,FALSE)</f>
        <v>22</v>
      </c>
      <c r="V203" s="3" t="str">
        <f ca="1">VLOOKUP(E203,Vehicles!$A$2:$D$21,4,FALSE)</f>
        <v>Diesel</v>
      </c>
      <c r="W203" s="3">
        <f ca="1">VLOOKUP(V203,Fuel_Rates!$A$2:$B$3,2,FALSE)</f>
        <v>95</v>
      </c>
      <c r="X203" s="3">
        <f t="shared" ca="1" si="63"/>
        <v>45.79</v>
      </c>
      <c r="Y203" s="3">
        <f t="shared" ca="1" si="64"/>
        <v>34789</v>
      </c>
      <c r="Z203" s="3" t="str">
        <f t="shared" ca="1" si="65"/>
        <v>Jul</v>
      </c>
      <c r="AA203" s="3" t="str">
        <f t="shared" ca="1" si="66"/>
        <v>Q3</v>
      </c>
      <c r="AB203" s="4" t="str">
        <f t="shared" ca="1" si="67"/>
        <v>Medium Haul</v>
      </c>
    </row>
    <row r="204" spans="1:28" x14ac:dyDescent="0.3">
      <c r="A204" s="8" t="str">
        <f t="shared" si="62"/>
        <v>S0203</v>
      </c>
      <c r="B204" s="3">
        <f t="shared" ca="1" si="51"/>
        <v>45700</v>
      </c>
      <c r="C204" s="3" t="str">
        <f ca="1">INDEX(Customers!$A$2:$A$21,RANDBETWEEN(1,20))</f>
        <v>C019</v>
      </c>
      <c r="D204" s="3" t="str">
        <f ca="1">INDEX(Routes!$A$2:$A$31,RANDBETWEEN(1,30))</f>
        <v>R009</v>
      </c>
      <c r="E204" s="3" t="str">
        <f ca="1">INDEX(Vehicles!$A$2:$A$21,RANDBETWEEN(1,20))</f>
        <v>V004</v>
      </c>
      <c r="F204" s="3" t="str">
        <f ca="1">INDEX(Drivers!$A$2:$A$31,RANDBETWEEN(1,30))</f>
        <v>D013</v>
      </c>
      <c r="G204" s="3">
        <f t="shared" ca="1" si="52"/>
        <v>29.6</v>
      </c>
      <c r="H204" s="3">
        <f t="shared" ca="1" si="53"/>
        <v>67421</v>
      </c>
      <c r="I204" s="3">
        <f t="shared" ca="1" si="54"/>
        <v>18878</v>
      </c>
      <c r="J204" s="3">
        <f t="shared" ca="1" si="55"/>
        <v>1228</v>
      </c>
      <c r="K204" s="3">
        <f t="shared" ca="1" si="56"/>
        <v>30</v>
      </c>
      <c r="L204" s="3">
        <f t="shared" ca="1" si="57"/>
        <v>37</v>
      </c>
      <c r="M204" s="3">
        <f t="shared" ca="1" si="58"/>
        <v>7</v>
      </c>
      <c r="N204" s="3" t="str">
        <f t="shared" ca="1" si="59"/>
        <v>Delayed</v>
      </c>
      <c r="O204" s="3" t="str">
        <f t="shared" ca="1" si="60"/>
        <v>High</v>
      </c>
      <c r="P204" s="3">
        <f t="shared" ca="1" si="61"/>
        <v>98.7</v>
      </c>
      <c r="Q204" s="1" t="str">
        <f ca="1">VLOOKUP(D204,Routes!$A$2:$D$31,2,FALSE)</f>
        <v>Bengaluru</v>
      </c>
      <c r="R204" s="1" t="str">
        <f ca="1">VLOOKUP(D204,Routes!$A$2:$D$31,3,FALSE)</f>
        <v>Chennai</v>
      </c>
      <c r="S204" s="3">
        <f ca="1">VLOOKUP(D204,Routes!$A$2:$D$31,4,FALSE)</f>
        <v>350</v>
      </c>
      <c r="T204" s="3" t="str">
        <f ca="1">VLOOKUP(E204,Vehicles!$A$2:$D$21,2,FALSE)</f>
        <v>Trailer</v>
      </c>
      <c r="U204" s="3">
        <f ca="1">VLOOKUP(E204,Vehicles!$A$2:$D$21,3,FALSE)</f>
        <v>28</v>
      </c>
      <c r="V204" s="3" t="str">
        <f ca="1">VLOOKUP(E204,Vehicles!$A$2:$D$21,4,FALSE)</f>
        <v>Diesel</v>
      </c>
      <c r="W204" s="3">
        <f ca="1">VLOOKUP(V204,Fuel_Rates!$A$2:$B$3,2,FALSE)</f>
        <v>95</v>
      </c>
      <c r="X204" s="3">
        <f t="shared" ca="1" si="63"/>
        <v>192.63</v>
      </c>
      <c r="Y204" s="3">
        <f t="shared" ca="1" si="64"/>
        <v>87527</v>
      </c>
      <c r="Z204" s="3" t="str">
        <f t="shared" ca="1" si="65"/>
        <v>Feb</v>
      </c>
      <c r="AA204" s="3" t="str">
        <f t="shared" ca="1" si="66"/>
        <v>Q1</v>
      </c>
      <c r="AB204" s="4" t="str">
        <f t="shared" ca="1" si="67"/>
        <v>Medium Haul</v>
      </c>
    </row>
    <row r="205" spans="1:28" x14ac:dyDescent="0.3">
      <c r="A205" s="8" t="str">
        <f t="shared" si="62"/>
        <v>S0204</v>
      </c>
      <c r="B205" s="3">
        <f t="shared" ca="1" si="51"/>
        <v>46003</v>
      </c>
      <c r="C205" s="3" t="str">
        <f ca="1">INDEX(Customers!$A$2:$A$21,RANDBETWEEN(1,20))</f>
        <v>C020</v>
      </c>
      <c r="D205" s="3" t="str">
        <f ca="1">INDEX(Routes!$A$2:$A$31,RANDBETWEEN(1,30))</f>
        <v>R011</v>
      </c>
      <c r="E205" s="3" t="str">
        <f ca="1">INDEX(Vehicles!$A$2:$A$21,RANDBETWEEN(1,20))</f>
        <v>V004</v>
      </c>
      <c r="F205" s="3" t="str">
        <f ca="1">INDEX(Drivers!$A$2:$A$31,RANDBETWEEN(1,30))</f>
        <v>D025</v>
      </c>
      <c r="G205" s="3">
        <f t="shared" ca="1" si="52"/>
        <v>24.8</v>
      </c>
      <c r="H205" s="3">
        <f t="shared" ca="1" si="53"/>
        <v>53235</v>
      </c>
      <c r="I205" s="3">
        <f t="shared" ca="1" si="54"/>
        <v>14906</v>
      </c>
      <c r="J205" s="3">
        <f t="shared" ca="1" si="55"/>
        <v>2339</v>
      </c>
      <c r="K205" s="3">
        <f t="shared" ca="1" si="56"/>
        <v>12</v>
      </c>
      <c r="L205" s="3">
        <f t="shared" ca="1" si="57"/>
        <v>16</v>
      </c>
      <c r="M205" s="3">
        <f t="shared" ca="1" si="58"/>
        <v>4</v>
      </c>
      <c r="N205" s="3" t="str">
        <f t="shared" ca="1" si="59"/>
        <v>Delayed</v>
      </c>
      <c r="O205" s="3" t="str">
        <f t="shared" ca="1" si="60"/>
        <v>Low</v>
      </c>
      <c r="P205" s="3">
        <f t="shared" ca="1" si="61"/>
        <v>82.7</v>
      </c>
      <c r="Q205" s="1" t="str">
        <f ca="1">VLOOKUP(D205,Routes!$A$2:$D$31,2,FALSE)</f>
        <v>Bengaluru</v>
      </c>
      <c r="R205" s="1" t="str">
        <f ca="1">VLOOKUP(D205,Routes!$A$2:$D$31,3,FALSE)</f>
        <v>Kochi</v>
      </c>
      <c r="S205" s="3">
        <f ca="1">VLOOKUP(D205,Routes!$A$2:$D$31,4,FALSE)</f>
        <v>550</v>
      </c>
      <c r="T205" s="3" t="str">
        <f ca="1">VLOOKUP(E205,Vehicles!$A$2:$D$21,2,FALSE)</f>
        <v>Trailer</v>
      </c>
      <c r="U205" s="3">
        <f ca="1">VLOOKUP(E205,Vehicles!$A$2:$D$21,3,FALSE)</f>
        <v>28</v>
      </c>
      <c r="V205" s="3" t="str">
        <f ca="1">VLOOKUP(E205,Vehicles!$A$2:$D$21,4,FALSE)</f>
        <v>Diesel</v>
      </c>
      <c r="W205" s="3">
        <f ca="1">VLOOKUP(V205,Fuel_Rates!$A$2:$B$3,2,FALSE)</f>
        <v>95</v>
      </c>
      <c r="X205" s="3">
        <f t="shared" ca="1" si="63"/>
        <v>96.79</v>
      </c>
      <c r="Y205" s="3">
        <f t="shared" ca="1" si="64"/>
        <v>70480</v>
      </c>
      <c r="Z205" s="3" t="str">
        <f t="shared" ca="1" si="65"/>
        <v>Dec</v>
      </c>
      <c r="AA205" s="3" t="str">
        <f t="shared" ca="1" si="66"/>
        <v>Q4</v>
      </c>
      <c r="AB205" s="4" t="str">
        <f t="shared" ca="1" si="67"/>
        <v>Medium Haul</v>
      </c>
    </row>
    <row r="206" spans="1:28" x14ac:dyDescent="0.3">
      <c r="A206" s="8" t="str">
        <f t="shared" si="62"/>
        <v>S0205</v>
      </c>
      <c r="B206" s="3">
        <f t="shared" ca="1" si="51"/>
        <v>45862</v>
      </c>
      <c r="C206" s="3" t="str">
        <f ca="1">INDEX(Customers!$A$2:$A$21,RANDBETWEEN(1,20))</f>
        <v>C007</v>
      </c>
      <c r="D206" s="3" t="str">
        <f ca="1">INDEX(Routes!$A$2:$A$31,RANDBETWEEN(1,30))</f>
        <v>R014</v>
      </c>
      <c r="E206" s="3" t="str">
        <f ca="1">INDEX(Vehicles!$A$2:$A$21,RANDBETWEEN(1,20))</f>
        <v>V010</v>
      </c>
      <c r="F206" s="3" t="str">
        <f ca="1">INDEX(Drivers!$A$2:$A$31,RANDBETWEEN(1,30))</f>
        <v>D014</v>
      </c>
      <c r="G206" s="3">
        <f t="shared" ca="1" si="52"/>
        <v>24.2</v>
      </c>
      <c r="H206" s="3">
        <f t="shared" ca="1" si="53"/>
        <v>57968</v>
      </c>
      <c r="I206" s="3">
        <f t="shared" ca="1" si="54"/>
        <v>16231</v>
      </c>
      <c r="J206" s="3">
        <f t="shared" ca="1" si="55"/>
        <v>3886</v>
      </c>
      <c r="K206" s="3">
        <f t="shared" ca="1" si="56"/>
        <v>20</v>
      </c>
      <c r="L206" s="3">
        <f t="shared" ca="1" si="57"/>
        <v>21</v>
      </c>
      <c r="M206" s="3">
        <f t="shared" ca="1" si="58"/>
        <v>1</v>
      </c>
      <c r="N206" s="3" t="str">
        <f t="shared" ca="1" si="59"/>
        <v>On Time</v>
      </c>
      <c r="O206" s="3" t="str">
        <f t="shared" ca="1" si="60"/>
        <v>Medium</v>
      </c>
      <c r="P206" s="3">
        <f t="shared" ca="1" si="61"/>
        <v>80.7</v>
      </c>
      <c r="Q206" s="1" t="str">
        <f ca="1">VLOOKUP(D206,Routes!$A$2:$D$31,2,FALSE)</f>
        <v>Hyderabad</v>
      </c>
      <c r="R206" s="1" t="str">
        <f ca="1">VLOOKUP(D206,Routes!$A$2:$D$31,3,FALSE)</f>
        <v>Nagpur</v>
      </c>
      <c r="S206" s="3">
        <f ca="1">VLOOKUP(D206,Routes!$A$2:$D$31,4,FALSE)</f>
        <v>500</v>
      </c>
      <c r="T206" s="3" t="str">
        <f ca="1">VLOOKUP(E206,Vehicles!$A$2:$D$21,2,FALSE)</f>
        <v>LCV</v>
      </c>
      <c r="U206" s="3">
        <f ca="1">VLOOKUP(E206,Vehicles!$A$2:$D$21,3,FALSE)</f>
        <v>7</v>
      </c>
      <c r="V206" s="3" t="str">
        <f ca="1">VLOOKUP(E206,Vehicles!$A$2:$D$21,4,FALSE)</f>
        <v>Diesel</v>
      </c>
      <c r="W206" s="3">
        <f ca="1">VLOOKUP(V206,Fuel_Rates!$A$2:$B$3,2,FALSE)</f>
        <v>95</v>
      </c>
      <c r="X206" s="3">
        <f t="shared" ca="1" si="63"/>
        <v>115.94</v>
      </c>
      <c r="Y206" s="3">
        <f t="shared" ca="1" si="64"/>
        <v>78085</v>
      </c>
      <c r="Z206" s="3" t="str">
        <f t="shared" ca="1" si="65"/>
        <v>Jul</v>
      </c>
      <c r="AA206" s="3" t="str">
        <f t="shared" ca="1" si="66"/>
        <v>Q3</v>
      </c>
      <c r="AB206" s="4" t="str">
        <f t="shared" ca="1" si="67"/>
        <v>Medium Haul</v>
      </c>
    </row>
    <row r="207" spans="1:28" x14ac:dyDescent="0.3">
      <c r="A207" s="8" t="str">
        <f t="shared" si="62"/>
        <v>S0206</v>
      </c>
      <c r="B207" s="3">
        <f t="shared" ca="1" si="51"/>
        <v>45971</v>
      </c>
      <c r="C207" s="3" t="str">
        <f ca="1">INDEX(Customers!$A$2:$A$21,RANDBETWEEN(1,20))</f>
        <v>C010</v>
      </c>
      <c r="D207" s="3" t="str">
        <f ca="1">INDEX(Routes!$A$2:$A$31,RANDBETWEEN(1,30))</f>
        <v>R009</v>
      </c>
      <c r="E207" s="3" t="str">
        <f ca="1">INDEX(Vehicles!$A$2:$A$21,RANDBETWEEN(1,20))</f>
        <v>V015</v>
      </c>
      <c r="F207" s="3" t="str">
        <f ca="1">INDEX(Drivers!$A$2:$A$31,RANDBETWEEN(1,30))</f>
        <v>D023</v>
      </c>
      <c r="G207" s="3">
        <f t="shared" ca="1" si="52"/>
        <v>26</v>
      </c>
      <c r="H207" s="3">
        <f t="shared" ca="1" si="53"/>
        <v>51528</v>
      </c>
      <c r="I207" s="3">
        <f t="shared" ca="1" si="54"/>
        <v>14428</v>
      </c>
      <c r="J207" s="3">
        <f t="shared" ca="1" si="55"/>
        <v>3459</v>
      </c>
      <c r="K207" s="3">
        <f t="shared" ca="1" si="56"/>
        <v>25</v>
      </c>
      <c r="L207" s="3">
        <f t="shared" ca="1" si="57"/>
        <v>30</v>
      </c>
      <c r="M207" s="3">
        <f t="shared" ca="1" si="58"/>
        <v>5</v>
      </c>
      <c r="N207" s="3" t="str">
        <f t="shared" ca="1" si="59"/>
        <v>Delayed</v>
      </c>
      <c r="O207" s="3" t="str">
        <f t="shared" ca="1" si="60"/>
        <v>High</v>
      </c>
      <c r="P207" s="3">
        <f t="shared" ca="1" si="61"/>
        <v>86.7</v>
      </c>
      <c r="Q207" s="1" t="str">
        <f ca="1">VLOOKUP(D207,Routes!$A$2:$D$31,2,FALSE)</f>
        <v>Bengaluru</v>
      </c>
      <c r="R207" s="1" t="str">
        <f ca="1">VLOOKUP(D207,Routes!$A$2:$D$31,3,FALSE)</f>
        <v>Chennai</v>
      </c>
      <c r="S207" s="3">
        <f ca="1">VLOOKUP(D207,Routes!$A$2:$D$31,4,FALSE)</f>
        <v>350</v>
      </c>
      <c r="T207" s="3" t="str">
        <f ca="1">VLOOKUP(E207,Vehicles!$A$2:$D$21,2,FALSE)</f>
        <v>Trailer</v>
      </c>
      <c r="U207" s="3">
        <f ca="1">VLOOKUP(E207,Vehicles!$A$2:$D$21,3,FALSE)</f>
        <v>30</v>
      </c>
      <c r="V207" s="3" t="str">
        <f ca="1">VLOOKUP(E207,Vehicles!$A$2:$D$21,4,FALSE)</f>
        <v>Diesel</v>
      </c>
      <c r="W207" s="3">
        <f ca="1">VLOOKUP(V207,Fuel_Rates!$A$2:$B$3,2,FALSE)</f>
        <v>95</v>
      </c>
      <c r="X207" s="3">
        <f t="shared" ca="1" si="63"/>
        <v>147.22</v>
      </c>
      <c r="Y207" s="3">
        <f t="shared" ca="1" si="64"/>
        <v>69415</v>
      </c>
      <c r="Z207" s="3" t="str">
        <f t="shared" ca="1" si="65"/>
        <v>Nov</v>
      </c>
      <c r="AA207" s="3" t="str">
        <f t="shared" ca="1" si="66"/>
        <v>Q4</v>
      </c>
      <c r="AB207" s="4" t="str">
        <f t="shared" ca="1" si="67"/>
        <v>Medium Haul</v>
      </c>
    </row>
    <row r="208" spans="1:28" x14ac:dyDescent="0.3">
      <c r="A208" s="8" t="str">
        <f t="shared" si="62"/>
        <v>S0207</v>
      </c>
      <c r="B208" s="3">
        <f t="shared" ca="1" si="51"/>
        <v>45675</v>
      </c>
      <c r="C208" s="3" t="str">
        <f ca="1">INDEX(Customers!$A$2:$A$21,RANDBETWEEN(1,20))</f>
        <v>C018</v>
      </c>
      <c r="D208" s="3" t="str">
        <f ca="1">INDEX(Routes!$A$2:$A$31,RANDBETWEEN(1,30))</f>
        <v>R026</v>
      </c>
      <c r="E208" s="3" t="str">
        <f ca="1">INDEX(Vehicles!$A$2:$A$21,RANDBETWEEN(1,20))</f>
        <v>V018</v>
      </c>
      <c r="F208" s="3" t="str">
        <f ca="1">INDEX(Drivers!$A$2:$A$31,RANDBETWEEN(1,30))</f>
        <v>D022</v>
      </c>
      <c r="G208" s="3">
        <f t="shared" ca="1" si="52"/>
        <v>3.1</v>
      </c>
      <c r="H208" s="3">
        <f t="shared" ca="1" si="53"/>
        <v>17688</v>
      </c>
      <c r="I208" s="3">
        <f t="shared" ca="1" si="54"/>
        <v>4953</v>
      </c>
      <c r="J208" s="3">
        <f t="shared" ca="1" si="55"/>
        <v>722</v>
      </c>
      <c r="K208" s="3">
        <f t="shared" ca="1" si="56"/>
        <v>36</v>
      </c>
      <c r="L208" s="3">
        <f t="shared" ca="1" si="57"/>
        <v>41</v>
      </c>
      <c r="M208" s="3">
        <f t="shared" ca="1" si="58"/>
        <v>5</v>
      </c>
      <c r="N208" s="3" t="str">
        <f t="shared" ca="1" si="59"/>
        <v>Delayed</v>
      </c>
      <c r="O208" s="3" t="str">
        <f t="shared" ca="1" si="60"/>
        <v>Medium</v>
      </c>
      <c r="P208" s="3">
        <f t="shared" ca="1" si="61"/>
        <v>10.3</v>
      </c>
      <c r="Q208" s="1" t="str">
        <f ca="1">VLOOKUP(D208,Routes!$A$2:$D$31,2,FALSE)</f>
        <v>Nagpur</v>
      </c>
      <c r="R208" s="1" t="str">
        <f ca="1">VLOOKUP(D208,Routes!$A$2:$D$31,3,FALSE)</f>
        <v>Bhopal</v>
      </c>
      <c r="S208" s="3">
        <f ca="1">VLOOKUP(D208,Routes!$A$2:$D$31,4,FALSE)</f>
        <v>350</v>
      </c>
      <c r="T208" s="3" t="str">
        <f ca="1">VLOOKUP(E208,Vehicles!$A$2:$D$21,2,FALSE)</f>
        <v>Truck</v>
      </c>
      <c r="U208" s="3">
        <f ca="1">VLOOKUP(E208,Vehicles!$A$2:$D$21,3,FALSE)</f>
        <v>26</v>
      </c>
      <c r="V208" s="3" t="str">
        <f ca="1">VLOOKUP(E208,Vehicles!$A$2:$D$21,4,FALSE)</f>
        <v>Diesel</v>
      </c>
      <c r="W208" s="3">
        <f ca="1">VLOOKUP(V208,Fuel_Rates!$A$2:$B$3,2,FALSE)</f>
        <v>95</v>
      </c>
      <c r="X208" s="3">
        <f t="shared" ca="1" si="63"/>
        <v>50.54</v>
      </c>
      <c r="Y208" s="3">
        <f t="shared" ca="1" si="64"/>
        <v>23363</v>
      </c>
      <c r="Z208" s="3" t="str">
        <f t="shared" ca="1" si="65"/>
        <v>Jan</v>
      </c>
      <c r="AA208" s="3" t="str">
        <f t="shared" ca="1" si="66"/>
        <v>Q1</v>
      </c>
      <c r="AB208" s="4" t="str">
        <f t="shared" ca="1" si="67"/>
        <v>Medium Haul</v>
      </c>
    </row>
    <row r="209" spans="1:28" x14ac:dyDescent="0.3">
      <c r="A209" s="8" t="str">
        <f t="shared" si="62"/>
        <v>S0208</v>
      </c>
      <c r="B209" s="3">
        <f t="shared" ca="1" si="51"/>
        <v>45947</v>
      </c>
      <c r="C209" s="3" t="str">
        <f ca="1">INDEX(Customers!$A$2:$A$21,RANDBETWEEN(1,20))</f>
        <v>C005</v>
      </c>
      <c r="D209" s="3" t="str">
        <f ca="1">INDEX(Routes!$A$2:$A$31,RANDBETWEEN(1,30))</f>
        <v>R008</v>
      </c>
      <c r="E209" s="3" t="str">
        <f ca="1">INDEX(Vehicles!$A$2:$A$21,RANDBETWEEN(1,20))</f>
        <v>V009</v>
      </c>
      <c r="F209" s="3" t="str">
        <f ca="1">INDEX(Drivers!$A$2:$A$31,RANDBETWEEN(1,30))</f>
        <v>D029</v>
      </c>
      <c r="G209" s="3">
        <f t="shared" ca="1" si="52"/>
        <v>2.8</v>
      </c>
      <c r="H209" s="3">
        <f t="shared" ca="1" si="53"/>
        <v>17425</v>
      </c>
      <c r="I209" s="3">
        <f t="shared" ca="1" si="54"/>
        <v>4879</v>
      </c>
      <c r="J209" s="3">
        <f t="shared" ca="1" si="55"/>
        <v>1518</v>
      </c>
      <c r="K209" s="3">
        <f t="shared" ca="1" si="56"/>
        <v>47</v>
      </c>
      <c r="L209" s="3">
        <f t="shared" ca="1" si="57"/>
        <v>52</v>
      </c>
      <c r="M209" s="3">
        <f t="shared" ca="1" si="58"/>
        <v>5</v>
      </c>
      <c r="N209" s="3" t="str">
        <f t="shared" ca="1" si="59"/>
        <v>Delayed</v>
      </c>
      <c r="O209" s="3" t="str">
        <f t="shared" ca="1" si="60"/>
        <v>Low</v>
      </c>
      <c r="P209" s="3">
        <f t="shared" ca="1" si="61"/>
        <v>9.3000000000000007</v>
      </c>
      <c r="Q209" s="1" t="str">
        <f ca="1">VLOOKUP(D209,Routes!$A$2:$D$31,2,FALSE)</f>
        <v>Delhi</v>
      </c>
      <c r="R209" s="1" t="str">
        <f ca="1">VLOOKUP(D209,Routes!$A$2:$D$31,3,FALSE)</f>
        <v>Kolkata</v>
      </c>
      <c r="S209" s="3">
        <f ca="1">VLOOKUP(D209,Routes!$A$2:$D$31,4,FALSE)</f>
        <v>1500</v>
      </c>
      <c r="T209" s="3" t="str">
        <f ca="1">VLOOKUP(E209,Vehicles!$A$2:$D$21,2,FALSE)</f>
        <v>LCV</v>
      </c>
      <c r="U209" s="3">
        <f ca="1">VLOOKUP(E209,Vehicles!$A$2:$D$21,3,FALSE)</f>
        <v>5</v>
      </c>
      <c r="V209" s="3" t="str">
        <f ca="1">VLOOKUP(E209,Vehicles!$A$2:$D$21,4,FALSE)</f>
        <v>Diesel</v>
      </c>
      <c r="W209" s="3">
        <f ca="1">VLOOKUP(V209,Fuel_Rates!$A$2:$B$3,2,FALSE)</f>
        <v>95</v>
      </c>
      <c r="X209" s="3">
        <f t="shared" ca="1" si="63"/>
        <v>11.62</v>
      </c>
      <c r="Y209" s="3">
        <f t="shared" ca="1" si="64"/>
        <v>23822</v>
      </c>
      <c r="Z209" s="3" t="str">
        <f t="shared" ca="1" si="65"/>
        <v>Oct</v>
      </c>
      <c r="AA209" s="3" t="str">
        <f t="shared" ca="1" si="66"/>
        <v>Q4</v>
      </c>
      <c r="AB209" s="4" t="str">
        <f t="shared" ca="1" si="67"/>
        <v>Long Haul</v>
      </c>
    </row>
    <row r="210" spans="1:28" x14ac:dyDescent="0.3">
      <c r="A210" s="8" t="str">
        <f t="shared" si="62"/>
        <v>S0209</v>
      </c>
      <c r="B210" s="3">
        <f t="shared" ca="1" si="51"/>
        <v>45689</v>
      </c>
      <c r="C210" s="3" t="str">
        <f ca="1">INDEX(Customers!$A$2:$A$21,RANDBETWEEN(1,20))</f>
        <v>C011</v>
      </c>
      <c r="D210" s="3" t="str">
        <f ca="1">INDEX(Routes!$A$2:$A$31,RANDBETWEEN(1,30))</f>
        <v>R004</v>
      </c>
      <c r="E210" s="3" t="str">
        <f ca="1">INDEX(Vehicles!$A$2:$A$21,RANDBETWEEN(1,20))</f>
        <v>V003</v>
      </c>
      <c r="F210" s="3" t="str">
        <f ca="1">INDEX(Drivers!$A$2:$A$31,RANDBETWEEN(1,30))</f>
        <v>D018</v>
      </c>
      <c r="G210" s="3">
        <f t="shared" ca="1" si="52"/>
        <v>23.2</v>
      </c>
      <c r="H210" s="3">
        <f t="shared" ca="1" si="53"/>
        <v>49562</v>
      </c>
      <c r="I210" s="3">
        <f t="shared" ca="1" si="54"/>
        <v>13877</v>
      </c>
      <c r="J210" s="3">
        <f t="shared" ca="1" si="55"/>
        <v>3673</v>
      </c>
      <c r="K210" s="3">
        <f t="shared" ca="1" si="56"/>
        <v>35</v>
      </c>
      <c r="L210" s="3">
        <f t="shared" ca="1" si="57"/>
        <v>42</v>
      </c>
      <c r="M210" s="3">
        <f t="shared" ca="1" si="58"/>
        <v>7</v>
      </c>
      <c r="N210" s="3" t="str">
        <f t="shared" ca="1" si="59"/>
        <v>Delayed</v>
      </c>
      <c r="O210" s="3" t="str">
        <f t="shared" ca="1" si="60"/>
        <v>Low</v>
      </c>
      <c r="P210" s="3">
        <f t="shared" ca="1" si="61"/>
        <v>77.3</v>
      </c>
      <c r="Q210" s="1" t="str">
        <f ca="1">VLOOKUP(D210,Routes!$A$2:$D$31,2,FALSE)</f>
        <v>Mumbai</v>
      </c>
      <c r="R210" s="1" t="str">
        <f ca="1">VLOOKUP(D210,Routes!$A$2:$D$31,3,FALSE)</f>
        <v>Bengaluru</v>
      </c>
      <c r="S210" s="3">
        <f ca="1">VLOOKUP(D210,Routes!$A$2:$D$31,4,FALSE)</f>
        <v>980</v>
      </c>
      <c r="T210" s="3" t="str">
        <f ca="1">VLOOKUP(E210,Vehicles!$A$2:$D$21,2,FALSE)</f>
        <v>Truck</v>
      </c>
      <c r="U210" s="3">
        <f ca="1">VLOOKUP(E210,Vehicles!$A$2:$D$21,3,FALSE)</f>
        <v>25</v>
      </c>
      <c r="V210" s="3" t="str">
        <f ca="1">VLOOKUP(E210,Vehicles!$A$2:$D$21,4,FALSE)</f>
        <v>Diesel</v>
      </c>
      <c r="W210" s="3">
        <f ca="1">VLOOKUP(V210,Fuel_Rates!$A$2:$B$3,2,FALSE)</f>
        <v>95</v>
      </c>
      <c r="X210" s="3">
        <f t="shared" ca="1" si="63"/>
        <v>50.57</v>
      </c>
      <c r="Y210" s="3">
        <f t="shared" ca="1" si="64"/>
        <v>67112</v>
      </c>
      <c r="Z210" s="3" t="str">
        <f t="shared" ca="1" si="65"/>
        <v>Feb</v>
      </c>
      <c r="AA210" s="3" t="str">
        <f t="shared" ca="1" si="66"/>
        <v>Q1</v>
      </c>
      <c r="AB210" s="4" t="str">
        <f t="shared" ca="1" si="67"/>
        <v>Long Haul</v>
      </c>
    </row>
    <row r="211" spans="1:28" x14ac:dyDescent="0.3">
      <c r="A211" s="8" t="str">
        <f t="shared" si="62"/>
        <v>S0210</v>
      </c>
      <c r="B211" s="3">
        <f t="shared" ca="1" si="51"/>
        <v>45842</v>
      </c>
      <c r="C211" s="3" t="str">
        <f ca="1">INDEX(Customers!$A$2:$A$21,RANDBETWEEN(1,20))</f>
        <v>C018</v>
      </c>
      <c r="D211" s="3" t="str">
        <f ca="1">INDEX(Routes!$A$2:$A$31,RANDBETWEEN(1,30))</f>
        <v>R022</v>
      </c>
      <c r="E211" s="3" t="str">
        <f ca="1">INDEX(Vehicles!$A$2:$A$21,RANDBETWEEN(1,20))</f>
        <v>V011</v>
      </c>
      <c r="F211" s="3" t="str">
        <f ca="1">INDEX(Drivers!$A$2:$A$31,RANDBETWEEN(1,30))</f>
        <v>D020</v>
      </c>
      <c r="G211" s="3">
        <f t="shared" ca="1" si="52"/>
        <v>16.899999999999999</v>
      </c>
      <c r="H211" s="3">
        <f t="shared" ca="1" si="53"/>
        <v>45201</v>
      </c>
      <c r="I211" s="3">
        <f t="shared" ca="1" si="54"/>
        <v>12656</v>
      </c>
      <c r="J211" s="3">
        <f t="shared" ca="1" si="55"/>
        <v>3946</v>
      </c>
      <c r="K211" s="3">
        <f t="shared" ca="1" si="56"/>
        <v>13</v>
      </c>
      <c r="L211" s="3">
        <f t="shared" ca="1" si="57"/>
        <v>21</v>
      </c>
      <c r="M211" s="3">
        <f t="shared" ca="1" si="58"/>
        <v>8</v>
      </c>
      <c r="N211" s="3" t="str">
        <f t="shared" ca="1" si="59"/>
        <v>Delayed</v>
      </c>
      <c r="O211" s="3" t="str">
        <f t="shared" ca="1" si="60"/>
        <v>Medium</v>
      </c>
      <c r="P211" s="3">
        <f t="shared" ca="1" si="61"/>
        <v>56.3</v>
      </c>
      <c r="Q211" s="1" t="str">
        <f ca="1">VLOOKUP(D211,Routes!$A$2:$D$31,2,FALSE)</f>
        <v>Jaipur</v>
      </c>
      <c r="R211" s="1" t="str">
        <f ca="1">VLOOKUP(D211,Routes!$A$2:$D$31,3,FALSE)</f>
        <v>Indore</v>
      </c>
      <c r="S211" s="3">
        <f ca="1">VLOOKUP(D211,Routes!$A$2:$D$31,4,FALSE)</f>
        <v>600</v>
      </c>
      <c r="T211" s="3" t="str">
        <f ca="1">VLOOKUP(E211,Vehicles!$A$2:$D$21,2,FALSE)</f>
        <v>Truck</v>
      </c>
      <c r="U211" s="3">
        <f ca="1">VLOOKUP(E211,Vehicles!$A$2:$D$21,3,FALSE)</f>
        <v>18</v>
      </c>
      <c r="V211" s="3" t="str">
        <f ca="1">VLOOKUP(E211,Vehicles!$A$2:$D$21,4,FALSE)</f>
        <v>CNG</v>
      </c>
      <c r="W211" s="3">
        <f ca="1">VLOOKUP(V211,Fuel_Rates!$A$2:$B$3,2,FALSE)</f>
        <v>78</v>
      </c>
      <c r="X211" s="3">
        <f t="shared" ca="1" si="63"/>
        <v>75.34</v>
      </c>
      <c r="Y211" s="3">
        <f t="shared" ca="1" si="64"/>
        <v>61803</v>
      </c>
      <c r="Z211" s="3" t="str">
        <f t="shared" ca="1" si="65"/>
        <v>Jul</v>
      </c>
      <c r="AA211" s="3" t="str">
        <f t="shared" ca="1" si="66"/>
        <v>Q3</v>
      </c>
      <c r="AB211" s="4" t="str">
        <f t="shared" ca="1" si="67"/>
        <v>Medium Haul</v>
      </c>
    </row>
    <row r="212" spans="1:28" x14ac:dyDescent="0.3">
      <c r="A212" s="8" t="str">
        <f t="shared" si="62"/>
        <v>S0211</v>
      </c>
      <c r="B212" s="3">
        <f t="shared" ca="1" si="51"/>
        <v>45710</v>
      </c>
      <c r="C212" s="3" t="str">
        <f ca="1">INDEX(Customers!$A$2:$A$21,RANDBETWEEN(1,20))</f>
        <v>C012</v>
      </c>
      <c r="D212" s="3" t="str">
        <f ca="1">INDEX(Routes!$A$2:$A$31,RANDBETWEEN(1,30))</f>
        <v>R017</v>
      </c>
      <c r="E212" s="3" t="str">
        <f ca="1">INDEX(Vehicles!$A$2:$A$21,RANDBETWEEN(1,20))</f>
        <v>V010</v>
      </c>
      <c r="F212" s="3" t="str">
        <f ca="1">INDEX(Drivers!$A$2:$A$31,RANDBETWEEN(1,30))</f>
        <v>D016</v>
      </c>
      <c r="G212" s="3">
        <f t="shared" ca="1" si="52"/>
        <v>18.899999999999999</v>
      </c>
      <c r="H212" s="3">
        <f t="shared" ca="1" si="53"/>
        <v>41685</v>
      </c>
      <c r="I212" s="3">
        <f t="shared" ca="1" si="54"/>
        <v>11672</v>
      </c>
      <c r="J212" s="3">
        <f t="shared" ca="1" si="55"/>
        <v>2668</v>
      </c>
      <c r="K212" s="3">
        <f t="shared" ca="1" si="56"/>
        <v>24</v>
      </c>
      <c r="L212" s="3">
        <f t="shared" ca="1" si="57"/>
        <v>30</v>
      </c>
      <c r="M212" s="3">
        <f t="shared" ca="1" si="58"/>
        <v>6</v>
      </c>
      <c r="N212" s="3" t="str">
        <f t="shared" ca="1" si="59"/>
        <v>Delayed</v>
      </c>
      <c r="O212" s="3" t="str">
        <f t="shared" ca="1" si="60"/>
        <v>Low</v>
      </c>
      <c r="P212" s="3">
        <f t="shared" ca="1" si="61"/>
        <v>63</v>
      </c>
      <c r="Q212" s="1" t="str">
        <f ca="1">VLOOKUP(D212,Routes!$A$2:$D$31,2,FALSE)</f>
        <v>Kolkata</v>
      </c>
      <c r="R212" s="1" t="str">
        <f ca="1">VLOOKUP(D212,Routes!$A$2:$D$31,3,FALSE)</f>
        <v>Patna</v>
      </c>
      <c r="S212" s="3">
        <f ca="1">VLOOKUP(D212,Routes!$A$2:$D$31,4,FALSE)</f>
        <v>620</v>
      </c>
      <c r="T212" s="3" t="str">
        <f ca="1">VLOOKUP(E212,Vehicles!$A$2:$D$21,2,FALSE)</f>
        <v>LCV</v>
      </c>
      <c r="U212" s="3">
        <f ca="1">VLOOKUP(E212,Vehicles!$A$2:$D$21,3,FALSE)</f>
        <v>7</v>
      </c>
      <c r="V212" s="3" t="str">
        <f ca="1">VLOOKUP(E212,Vehicles!$A$2:$D$21,4,FALSE)</f>
        <v>Diesel</v>
      </c>
      <c r="W212" s="3">
        <f ca="1">VLOOKUP(V212,Fuel_Rates!$A$2:$B$3,2,FALSE)</f>
        <v>95</v>
      </c>
      <c r="X212" s="3">
        <f t="shared" ca="1" si="63"/>
        <v>67.23</v>
      </c>
      <c r="Y212" s="3">
        <f t="shared" ca="1" si="64"/>
        <v>56025</v>
      </c>
      <c r="Z212" s="3" t="str">
        <f t="shared" ca="1" si="65"/>
        <v>Feb</v>
      </c>
      <c r="AA212" s="3" t="str">
        <f t="shared" ca="1" si="66"/>
        <v>Q1</v>
      </c>
      <c r="AB212" s="4" t="str">
        <f t="shared" ca="1" si="67"/>
        <v>Medium Haul</v>
      </c>
    </row>
    <row r="213" spans="1:28" x14ac:dyDescent="0.3">
      <c r="A213" s="8" t="str">
        <f t="shared" si="62"/>
        <v>S0212</v>
      </c>
      <c r="B213" s="3">
        <f t="shared" ca="1" si="51"/>
        <v>45817</v>
      </c>
      <c r="C213" s="3" t="str">
        <f ca="1">INDEX(Customers!$A$2:$A$21,RANDBETWEEN(1,20))</f>
        <v>C008</v>
      </c>
      <c r="D213" s="3" t="str">
        <f ca="1">INDEX(Routes!$A$2:$A$31,RANDBETWEEN(1,30))</f>
        <v>R001</v>
      </c>
      <c r="E213" s="3" t="str">
        <f ca="1">INDEX(Vehicles!$A$2:$A$21,RANDBETWEEN(1,20))</f>
        <v>V020</v>
      </c>
      <c r="F213" s="3" t="str">
        <f ca="1">INDEX(Drivers!$A$2:$A$31,RANDBETWEEN(1,30))</f>
        <v>D006</v>
      </c>
      <c r="G213" s="3">
        <f t="shared" ca="1" si="52"/>
        <v>6.1</v>
      </c>
      <c r="H213" s="3">
        <f t="shared" ca="1" si="53"/>
        <v>23705</v>
      </c>
      <c r="I213" s="3">
        <f t="shared" ca="1" si="54"/>
        <v>6637</v>
      </c>
      <c r="J213" s="3">
        <f t="shared" ca="1" si="55"/>
        <v>1072</v>
      </c>
      <c r="K213" s="3">
        <f t="shared" ca="1" si="56"/>
        <v>28</v>
      </c>
      <c r="L213" s="3">
        <f t="shared" ca="1" si="57"/>
        <v>29</v>
      </c>
      <c r="M213" s="3">
        <f t="shared" ca="1" si="58"/>
        <v>1</v>
      </c>
      <c r="N213" s="3" t="str">
        <f t="shared" ca="1" si="59"/>
        <v>On Time</v>
      </c>
      <c r="O213" s="3" t="str">
        <f t="shared" ca="1" si="60"/>
        <v>High</v>
      </c>
      <c r="P213" s="3">
        <f t="shared" ca="1" si="61"/>
        <v>20.3</v>
      </c>
      <c r="Q213" s="1" t="str">
        <f ca="1">VLOOKUP(D213,Routes!$A$2:$D$31,2,FALSE)</f>
        <v>Mumbai</v>
      </c>
      <c r="R213" s="1" t="str">
        <f ca="1">VLOOKUP(D213,Routes!$A$2:$D$31,3,FALSE)</f>
        <v>Pune</v>
      </c>
      <c r="S213" s="3">
        <f ca="1">VLOOKUP(D213,Routes!$A$2:$D$31,4,FALSE)</f>
        <v>150</v>
      </c>
      <c r="T213" s="3" t="str">
        <f ca="1">VLOOKUP(E213,Vehicles!$A$2:$D$21,2,FALSE)</f>
        <v>Container</v>
      </c>
      <c r="U213" s="3">
        <f ca="1">VLOOKUP(E213,Vehicles!$A$2:$D$21,3,FALSE)</f>
        <v>28</v>
      </c>
      <c r="V213" s="3" t="str">
        <f ca="1">VLOOKUP(E213,Vehicles!$A$2:$D$21,4,FALSE)</f>
        <v>Diesel</v>
      </c>
      <c r="W213" s="3">
        <f ca="1">VLOOKUP(V213,Fuel_Rates!$A$2:$B$3,2,FALSE)</f>
        <v>95</v>
      </c>
      <c r="X213" s="3">
        <f t="shared" ca="1" si="63"/>
        <v>158.03</v>
      </c>
      <c r="Y213" s="3">
        <f t="shared" ca="1" si="64"/>
        <v>31414</v>
      </c>
      <c r="Z213" s="3" t="str">
        <f t="shared" ca="1" si="65"/>
        <v>Jun</v>
      </c>
      <c r="AA213" s="3" t="str">
        <f t="shared" ca="1" si="66"/>
        <v>Q2</v>
      </c>
      <c r="AB213" s="4" t="str">
        <f t="shared" ca="1" si="67"/>
        <v>Short Haul</v>
      </c>
    </row>
    <row r="214" spans="1:28" x14ac:dyDescent="0.3">
      <c r="A214" s="8" t="str">
        <f t="shared" si="62"/>
        <v>S0213</v>
      </c>
      <c r="B214" s="3">
        <f t="shared" ca="1" si="51"/>
        <v>45736</v>
      </c>
      <c r="C214" s="3" t="str">
        <f ca="1">INDEX(Customers!$A$2:$A$21,RANDBETWEEN(1,20))</f>
        <v>C017</v>
      </c>
      <c r="D214" s="3" t="str">
        <f ca="1">INDEX(Routes!$A$2:$A$31,RANDBETWEEN(1,30))</f>
        <v>R023</v>
      </c>
      <c r="E214" s="3" t="str">
        <f ca="1">INDEX(Vehicles!$A$2:$A$21,RANDBETWEEN(1,20))</f>
        <v>V016</v>
      </c>
      <c r="F214" s="3" t="str">
        <f ca="1">INDEX(Drivers!$A$2:$A$31,RANDBETWEEN(1,30))</f>
        <v>D001</v>
      </c>
      <c r="G214" s="3">
        <f t="shared" ca="1" si="52"/>
        <v>19.899999999999999</v>
      </c>
      <c r="H214" s="3">
        <f t="shared" ca="1" si="53"/>
        <v>46326</v>
      </c>
      <c r="I214" s="3">
        <f t="shared" ca="1" si="54"/>
        <v>12971</v>
      </c>
      <c r="J214" s="3">
        <f t="shared" ca="1" si="55"/>
        <v>2183</v>
      </c>
      <c r="K214" s="3">
        <f t="shared" ca="1" si="56"/>
        <v>43</v>
      </c>
      <c r="L214" s="3">
        <f t="shared" ca="1" si="57"/>
        <v>48</v>
      </c>
      <c r="M214" s="3">
        <f t="shared" ca="1" si="58"/>
        <v>5</v>
      </c>
      <c r="N214" s="3" t="str">
        <f t="shared" ca="1" si="59"/>
        <v>Delayed</v>
      </c>
      <c r="O214" s="3" t="str">
        <f t="shared" ca="1" si="60"/>
        <v>Low</v>
      </c>
      <c r="P214" s="3">
        <f t="shared" ca="1" si="61"/>
        <v>66.3</v>
      </c>
      <c r="Q214" s="1" t="str">
        <f ca="1">VLOOKUP(D214,Routes!$A$2:$D$31,2,FALSE)</f>
        <v>Kochi</v>
      </c>
      <c r="R214" s="1" t="str">
        <f ca="1">VLOOKUP(D214,Routes!$A$2:$D$31,3,FALSE)</f>
        <v>Bengaluru</v>
      </c>
      <c r="S214" s="3">
        <f ca="1">VLOOKUP(D214,Routes!$A$2:$D$31,4,FALSE)</f>
        <v>550</v>
      </c>
      <c r="T214" s="3" t="str">
        <f ca="1">VLOOKUP(E214,Vehicles!$A$2:$D$21,2,FALSE)</f>
        <v>Container</v>
      </c>
      <c r="U214" s="3">
        <f ca="1">VLOOKUP(E214,Vehicles!$A$2:$D$21,3,FALSE)</f>
        <v>22</v>
      </c>
      <c r="V214" s="3" t="str">
        <f ca="1">VLOOKUP(E214,Vehicles!$A$2:$D$21,4,FALSE)</f>
        <v>Diesel</v>
      </c>
      <c r="W214" s="3">
        <f ca="1">VLOOKUP(V214,Fuel_Rates!$A$2:$B$3,2,FALSE)</f>
        <v>95</v>
      </c>
      <c r="X214" s="3">
        <f t="shared" ca="1" si="63"/>
        <v>84.23</v>
      </c>
      <c r="Y214" s="3">
        <f t="shared" ca="1" si="64"/>
        <v>61480</v>
      </c>
      <c r="Z214" s="3" t="str">
        <f t="shared" ca="1" si="65"/>
        <v>Mar</v>
      </c>
      <c r="AA214" s="3" t="str">
        <f t="shared" ca="1" si="66"/>
        <v>Q1</v>
      </c>
      <c r="AB214" s="4" t="str">
        <f t="shared" ca="1" si="67"/>
        <v>Medium Haul</v>
      </c>
    </row>
    <row r="215" spans="1:28" x14ac:dyDescent="0.3">
      <c r="A215" s="8" t="str">
        <f t="shared" si="62"/>
        <v>S0214</v>
      </c>
      <c r="B215" s="3">
        <f t="shared" ca="1" si="51"/>
        <v>45864</v>
      </c>
      <c r="C215" s="3" t="str">
        <f ca="1">INDEX(Customers!$A$2:$A$21,RANDBETWEEN(1,20))</f>
        <v>C013</v>
      </c>
      <c r="D215" s="3" t="str">
        <f ca="1">INDEX(Routes!$A$2:$A$31,RANDBETWEEN(1,30))</f>
        <v>R025</v>
      </c>
      <c r="E215" s="3" t="str">
        <f ca="1">INDEX(Vehicles!$A$2:$A$21,RANDBETWEEN(1,20))</f>
        <v>V019</v>
      </c>
      <c r="F215" s="3" t="str">
        <f ca="1">INDEX(Drivers!$A$2:$A$31,RANDBETWEEN(1,30))</f>
        <v>D006</v>
      </c>
      <c r="G215" s="3">
        <f t="shared" ca="1" si="52"/>
        <v>25.7</v>
      </c>
      <c r="H215" s="3">
        <f t="shared" ca="1" si="53"/>
        <v>53846</v>
      </c>
      <c r="I215" s="3">
        <f t="shared" ca="1" si="54"/>
        <v>15077</v>
      </c>
      <c r="J215" s="3">
        <f t="shared" ca="1" si="55"/>
        <v>1895</v>
      </c>
      <c r="K215" s="3">
        <f t="shared" ca="1" si="56"/>
        <v>26</v>
      </c>
      <c r="L215" s="3">
        <f t="shared" ca="1" si="57"/>
        <v>34</v>
      </c>
      <c r="M215" s="3">
        <f t="shared" ca="1" si="58"/>
        <v>8</v>
      </c>
      <c r="N215" s="3" t="str">
        <f t="shared" ca="1" si="59"/>
        <v>Delayed</v>
      </c>
      <c r="O215" s="3" t="str">
        <f t="shared" ca="1" si="60"/>
        <v>Low</v>
      </c>
      <c r="P215" s="3">
        <f t="shared" ca="1" si="61"/>
        <v>85.7</v>
      </c>
      <c r="Q215" s="1" t="str">
        <f ca="1">VLOOKUP(D215,Routes!$A$2:$D$31,2,FALSE)</f>
        <v>Visakhapatnam</v>
      </c>
      <c r="R215" s="1" t="str">
        <f ca="1">VLOOKUP(D215,Routes!$A$2:$D$31,3,FALSE)</f>
        <v>Hyderabad</v>
      </c>
      <c r="S215" s="3">
        <f ca="1">VLOOKUP(D215,Routes!$A$2:$D$31,4,FALSE)</f>
        <v>620</v>
      </c>
      <c r="T215" s="3" t="str">
        <f ca="1">VLOOKUP(E215,Vehicles!$A$2:$D$21,2,FALSE)</f>
        <v>Trailer</v>
      </c>
      <c r="U215" s="3">
        <f ca="1">VLOOKUP(E215,Vehicles!$A$2:$D$21,3,FALSE)</f>
        <v>35</v>
      </c>
      <c r="V215" s="3" t="str">
        <f ca="1">VLOOKUP(E215,Vehicles!$A$2:$D$21,4,FALSE)</f>
        <v>Diesel</v>
      </c>
      <c r="W215" s="3">
        <f ca="1">VLOOKUP(V215,Fuel_Rates!$A$2:$B$3,2,FALSE)</f>
        <v>95</v>
      </c>
      <c r="X215" s="3">
        <f t="shared" ca="1" si="63"/>
        <v>86.85</v>
      </c>
      <c r="Y215" s="3">
        <f t="shared" ca="1" si="64"/>
        <v>70818</v>
      </c>
      <c r="Z215" s="3" t="str">
        <f t="shared" ca="1" si="65"/>
        <v>Jul</v>
      </c>
      <c r="AA215" s="3" t="str">
        <f t="shared" ca="1" si="66"/>
        <v>Q3</v>
      </c>
      <c r="AB215" s="4" t="str">
        <f t="shared" ca="1" si="67"/>
        <v>Medium Haul</v>
      </c>
    </row>
    <row r="216" spans="1:28" x14ac:dyDescent="0.3">
      <c r="A216" s="8" t="str">
        <f t="shared" si="62"/>
        <v>S0215</v>
      </c>
      <c r="B216" s="3">
        <f t="shared" ca="1" si="51"/>
        <v>45979</v>
      </c>
      <c r="C216" s="3" t="str">
        <f ca="1">INDEX(Customers!$A$2:$A$21,RANDBETWEEN(1,20))</f>
        <v>C014</v>
      </c>
      <c r="D216" s="3" t="str">
        <f ca="1">INDEX(Routes!$A$2:$A$31,RANDBETWEEN(1,30))</f>
        <v>R016</v>
      </c>
      <c r="E216" s="3" t="str">
        <f ca="1">INDEX(Vehicles!$A$2:$A$21,RANDBETWEEN(1,20))</f>
        <v>V005</v>
      </c>
      <c r="F216" s="3" t="str">
        <f ca="1">INDEX(Drivers!$A$2:$A$31,RANDBETWEEN(1,30))</f>
        <v>D003</v>
      </c>
      <c r="G216" s="3">
        <f t="shared" ca="1" si="52"/>
        <v>23.9</v>
      </c>
      <c r="H216" s="3">
        <f t="shared" ca="1" si="53"/>
        <v>52236</v>
      </c>
      <c r="I216" s="3">
        <f t="shared" ca="1" si="54"/>
        <v>14626</v>
      </c>
      <c r="J216" s="3">
        <f t="shared" ca="1" si="55"/>
        <v>2280</v>
      </c>
      <c r="K216" s="3">
        <f t="shared" ca="1" si="56"/>
        <v>39</v>
      </c>
      <c r="L216" s="3">
        <f t="shared" ca="1" si="57"/>
        <v>39</v>
      </c>
      <c r="M216" s="3">
        <f t="shared" ca="1" si="58"/>
        <v>0</v>
      </c>
      <c r="N216" s="3" t="str">
        <f t="shared" ca="1" si="59"/>
        <v>On Time</v>
      </c>
      <c r="O216" s="3" t="str">
        <f t="shared" ca="1" si="60"/>
        <v>Medium</v>
      </c>
      <c r="P216" s="3">
        <f t="shared" ca="1" si="61"/>
        <v>79.7</v>
      </c>
      <c r="Q216" s="1" t="str">
        <f ca="1">VLOOKUP(D216,Routes!$A$2:$D$31,2,FALSE)</f>
        <v>Kolkata</v>
      </c>
      <c r="R216" s="1" t="str">
        <f ca="1">VLOOKUP(D216,Routes!$A$2:$D$31,3,FALSE)</f>
        <v>Bhubaneswar</v>
      </c>
      <c r="S216" s="3">
        <f ca="1">VLOOKUP(D216,Routes!$A$2:$D$31,4,FALSE)</f>
        <v>440</v>
      </c>
      <c r="T216" s="3" t="str">
        <f ca="1">VLOOKUP(E216,Vehicles!$A$2:$D$21,2,FALSE)</f>
        <v>Trailer</v>
      </c>
      <c r="U216" s="3">
        <f ca="1">VLOOKUP(E216,Vehicles!$A$2:$D$21,3,FALSE)</f>
        <v>32</v>
      </c>
      <c r="V216" s="3" t="str">
        <f ca="1">VLOOKUP(E216,Vehicles!$A$2:$D$21,4,FALSE)</f>
        <v>Diesel</v>
      </c>
      <c r="W216" s="3">
        <f ca="1">VLOOKUP(V216,Fuel_Rates!$A$2:$B$3,2,FALSE)</f>
        <v>95</v>
      </c>
      <c r="X216" s="3">
        <f t="shared" ca="1" si="63"/>
        <v>118.72</v>
      </c>
      <c r="Y216" s="3">
        <f t="shared" ca="1" si="64"/>
        <v>69142</v>
      </c>
      <c r="Z216" s="3" t="str">
        <f t="shared" ca="1" si="65"/>
        <v>Nov</v>
      </c>
      <c r="AA216" s="3" t="str">
        <f t="shared" ca="1" si="66"/>
        <v>Q4</v>
      </c>
      <c r="AB216" s="4" t="str">
        <f t="shared" ca="1" si="67"/>
        <v>Medium Haul</v>
      </c>
    </row>
    <row r="217" spans="1:28" x14ac:dyDescent="0.3">
      <c r="A217" s="8" t="str">
        <f t="shared" si="62"/>
        <v>S0216</v>
      </c>
      <c r="B217" s="3">
        <f t="shared" ca="1" si="51"/>
        <v>45735</v>
      </c>
      <c r="C217" s="3" t="str">
        <f ca="1">INDEX(Customers!$A$2:$A$21,RANDBETWEEN(1,20))</f>
        <v>C003</v>
      </c>
      <c r="D217" s="3" t="str">
        <f ca="1">INDEX(Routes!$A$2:$A$31,RANDBETWEEN(1,30))</f>
        <v>R010</v>
      </c>
      <c r="E217" s="3" t="str">
        <f ca="1">INDEX(Vehicles!$A$2:$A$21,RANDBETWEEN(1,20))</f>
        <v>V019</v>
      </c>
      <c r="F217" s="3" t="str">
        <f ca="1">INDEX(Drivers!$A$2:$A$31,RANDBETWEEN(1,30))</f>
        <v>D028</v>
      </c>
      <c r="G217" s="3">
        <f t="shared" ca="1" si="52"/>
        <v>20.5</v>
      </c>
      <c r="H217" s="3">
        <f t="shared" ca="1" si="53"/>
        <v>42431</v>
      </c>
      <c r="I217" s="3">
        <f t="shared" ca="1" si="54"/>
        <v>11881</v>
      </c>
      <c r="J217" s="3">
        <f t="shared" ca="1" si="55"/>
        <v>1681</v>
      </c>
      <c r="K217" s="3">
        <f t="shared" ca="1" si="56"/>
        <v>7</v>
      </c>
      <c r="L217" s="3">
        <f t="shared" ca="1" si="57"/>
        <v>8</v>
      </c>
      <c r="M217" s="3">
        <f t="shared" ca="1" si="58"/>
        <v>1</v>
      </c>
      <c r="N217" s="3" t="str">
        <f t="shared" ca="1" si="59"/>
        <v>On Time</v>
      </c>
      <c r="O217" s="3" t="str">
        <f t="shared" ca="1" si="60"/>
        <v>High</v>
      </c>
      <c r="P217" s="3">
        <f t="shared" ca="1" si="61"/>
        <v>68.3</v>
      </c>
      <c r="Q217" s="1" t="str">
        <f ca="1">VLOOKUP(D217,Routes!$A$2:$D$31,2,FALSE)</f>
        <v>Bengaluru</v>
      </c>
      <c r="R217" s="1" t="str">
        <f ca="1">VLOOKUP(D217,Routes!$A$2:$D$31,3,FALSE)</f>
        <v>Hyderabad</v>
      </c>
      <c r="S217" s="3">
        <f ca="1">VLOOKUP(D217,Routes!$A$2:$D$31,4,FALSE)</f>
        <v>570</v>
      </c>
      <c r="T217" s="3" t="str">
        <f ca="1">VLOOKUP(E217,Vehicles!$A$2:$D$21,2,FALSE)</f>
        <v>Trailer</v>
      </c>
      <c r="U217" s="3">
        <f ca="1">VLOOKUP(E217,Vehicles!$A$2:$D$21,3,FALSE)</f>
        <v>35</v>
      </c>
      <c r="V217" s="3" t="str">
        <f ca="1">VLOOKUP(E217,Vehicles!$A$2:$D$21,4,FALSE)</f>
        <v>Diesel</v>
      </c>
      <c r="W217" s="3">
        <f ca="1">VLOOKUP(V217,Fuel_Rates!$A$2:$B$3,2,FALSE)</f>
        <v>95</v>
      </c>
      <c r="X217" s="3">
        <f t="shared" ca="1" si="63"/>
        <v>74.44</v>
      </c>
      <c r="Y217" s="3">
        <f t="shared" ca="1" si="64"/>
        <v>55993</v>
      </c>
      <c r="Z217" s="3" t="str">
        <f t="shared" ca="1" si="65"/>
        <v>Mar</v>
      </c>
      <c r="AA217" s="3" t="str">
        <f t="shared" ca="1" si="66"/>
        <v>Q1</v>
      </c>
      <c r="AB217" s="4" t="str">
        <f t="shared" ca="1" si="67"/>
        <v>Medium Haul</v>
      </c>
    </row>
    <row r="218" spans="1:28" x14ac:dyDescent="0.3">
      <c r="A218" s="8" t="str">
        <f t="shared" si="62"/>
        <v>S0217</v>
      </c>
      <c r="B218" s="3">
        <f t="shared" ca="1" si="51"/>
        <v>45759</v>
      </c>
      <c r="C218" s="3" t="str">
        <f ca="1">INDEX(Customers!$A$2:$A$21,RANDBETWEEN(1,20))</f>
        <v>C002</v>
      </c>
      <c r="D218" s="3" t="str">
        <f ca="1">INDEX(Routes!$A$2:$A$31,RANDBETWEEN(1,30))</f>
        <v>R009</v>
      </c>
      <c r="E218" s="3" t="str">
        <f ca="1">INDEX(Vehicles!$A$2:$A$21,RANDBETWEEN(1,20))</f>
        <v>V007</v>
      </c>
      <c r="F218" s="3" t="str">
        <f ca="1">INDEX(Drivers!$A$2:$A$31,RANDBETWEEN(1,30))</f>
        <v>D011</v>
      </c>
      <c r="G218" s="3">
        <f t="shared" ca="1" si="52"/>
        <v>16.7</v>
      </c>
      <c r="H218" s="3">
        <f t="shared" ca="1" si="53"/>
        <v>34297</v>
      </c>
      <c r="I218" s="3">
        <f t="shared" ca="1" si="54"/>
        <v>9603</v>
      </c>
      <c r="J218" s="3">
        <f t="shared" ca="1" si="55"/>
        <v>1580</v>
      </c>
      <c r="K218" s="3">
        <f t="shared" ca="1" si="56"/>
        <v>28</v>
      </c>
      <c r="L218" s="3">
        <f t="shared" ca="1" si="57"/>
        <v>29</v>
      </c>
      <c r="M218" s="3">
        <f t="shared" ca="1" si="58"/>
        <v>1</v>
      </c>
      <c r="N218" s="3" t="str">
        <f t="shared" ca="1" si="59"/>
        <v>On Time</v>
      </c>
      <c r="O218" s="3" t="str">
        <f t="shared" ca="1" si="60"/>
        <v>Low</v>
      </c>
      <c r="P218" s="3">
        <f t="shared" ca="1" si="61"/>
        <v>55.7</v>
      </c>
      <c r="Q218" s="1" t="str">
        <f ca="1">VLOOKUP(D218,Routes!$A$2:$D$31,2,FALSE)</f>
        <v>Bengaluru</v>
      </c>
      <c r="R218" s="1" t="str">
        <f ca="1">VLOOKUP(D218,Routes!$A$2:$D$31,3,FALSE)</f>
        <v>Chennai</v>
      </c>
      <c r="S218" s="3">
        <f ca="1">VLOOKUP(D218,Routes!$A$2:$D$31,4,FALSE)</f>
        <v>350</v>
      </c>
      <c r="T218" s="3" t="str">
        <f ca="1">VLOOKUP(E218,Vehicles!$A$2:$D$21,2,FALSE)</f>
        <v>Container</v>
      </c>
      <c r="U218" s="3">
        <f ca="1">VLOOKUP(E218,Vehicles!$A$2:$D$21,3,FALSE)</f>
        <v>20</v>
      </c>
      <c r="V218" s="3" t="str">
        <f ca="1">VLOOKUP(E218,Vehicles!$A$2:$D$21,4,FALSE)</f>
        <v>Diesel</v>
      </c>
      <c r="W218" s="3">
        <f ca="1">VLOOKUP(V218,Fuel_Rates!$A$2:$B$3,2,FALSE)</f>
        <v>95</v>
      </c>
      <c r="X218" s="3">
        <f t="shared" ca="1" si="63"/>
        <v>97.99</v>
      </c>
      <c r="Y218" s="3">
        <f t="shared" ca="1" si="64"/>
        <v>45480</v>
      </c>
      <c r="Z218" s="3" t="str">
        <f t="shared" ca="1" si="65"/>
        <v>Apr</v>
      </c>
      <c r="AA218" s="3" t="str">
        <f t="shared" ca="1" si="66"/>
        <v>Q2</v>
      </c>
      <c r="AB218" s="4" t="str">
        <f t="shared" ca="1" si="67"/>
        <v>Medium Haul</v>
      </c>
    </row>
    <row r="219" spans="1:28" x14ac:dyDescent="0.3">
      <c r="A219" s="8" t="str">
        <f t="shared" si="62"/>
        <v>S0218</v>
      </c>
      <c r="B219" s="3">
        <f t="shared" ca="1" si="51"/>
        <v>45738</v>
      </c>
      <c r="C219" s="3" t="str">
        <f ca="1">INDEX(Customers!$A$2:$A$21,RANDBETWEEN(1,20))</f>
        <v>C014</v>
      </c>
      <c r="D219" s="3" t="str">
        <f ca="1">INDEX(Routes!$A$2:$A$31,RANDBETWEEN(1,30))</f>
        <v>R025</v>
      </c>
      <c r="E219" s="3" t="str">
        <f ca="1">INDEX(Vehicles!$A$2:$A$21,RANDBETWEEN(1,20))</f>
        <v>V014</v>
      </c>
      <c r="F219" s="3" t="str">
        <f ca="1">INDEX(Drivers!$A$2:$A$31,RANDBETWEEN(1,30))</f>
        <v>D004</v>
      </c>
      <c r="G219" s="3">
        <f t="shared" ca="1" si="52"/>
        <v>29.3</v>
      </c>
      <c r="H219" s="3">
        <f t="shared" ca="1" si="53"/>
        <v>57876</v>
      </c>
      <c r="I219" s="3">
        <f t="shared" ca="1" si="54"/>
        <v>16205</v>
      </c>
      <c r="J219" s="3">
        <f t="shared" ca="1" si="55"/>
        <v>1488</v>
      </c>
      <c r="K219" s="3">
        <f t="shared" ca="1" si="56"/>
        <v>24</v>
      </c>
      <c r="L219" s="3">
        <f t="shared" ca="1" si="57"/>
        <v>27</v>
      </c>
      <c r="M219" s="3">
        <f t="shared" ca="1" si="58"/>
        <v>3</v>
      </c>
      <c r="N219" s="3" t="str">
        <f t="shared" ca="1" si="59"/>
        <v>Delayed</v>
      </c>
      <c r="O219" s="3" t="str">
        <f t="shared" ca="1" si="60"/>
        <v>Medium</v>
      </c>
      <c r="P219" s="3">
        <f t="shared" ca="1" si="61"/>
        <v>97.7</v>
      </c>
      <c r="Q219" s="1" t="str">
        <f ca="1">VLOOKUP(D219,Routes!$A$2:$D$31,2,FALSE)</f>
        <v>Visakhapatnam</v>
      </c>
      <c r="R219" s="1" t="str">
        <f ca="1">VLOOKUP(D219,Routes!$A$2:$D$31,3,FALSE)</f>
        <v>Hyderabad</v>
      </c>
      <c r="S219" s="3">
        <f ca="1">VLOOKUP(D219,Routes!$A$2:$D$31,4,FALSE)</f>
        <v>620</v>
      </c>
      <c r="T219" s="3" t="str">
        <f ca="1">VLOOKUP(E219,Vehicles!$A$2:$D$21,2,FALSE)</f>
        <v>LCV</v>
      </c>
      <c r="U219" s="3">
        <f ca="1">VLOOKUP(E219,Vehicles!$A$2:$D$21,3,FALSE)</f>
        <v>6</v>
      </c>
      <c r="V219" s="3" t="str">
        <f ca="1">VLOOKUP(E219,Vehicles!$A$2:$D$21,4,FALSE)</f>
        <v>CNG</v>
      </c>
      <c r="W219" s="3">
        <f ca="1">VLOOKUP(V219,Fuel_Rates!$A$2:$B$3,2,FALSE)</f>
        <v>78</v>
      </c>
      <c r="X219" s="3">
        <f t="shared" ca="1" si="63"/>
        <v>93.35</v>
      </c>
      <c r="Y219" s="3">
        <f t="shared" ca="1" si="64"/>
        <v>75569</v>
      </c>
      <c r="Z219" s="3" t="str">
        <f t="shared" ca="1" si="65"/>
        <v>Mar</v>
      </c>
      <c r="AA219" s="3" t="str">
        <f t="shared" ca="1" si="66"/>
        <v>Q1</v>
      </c>
      <c r="AB219" s="4" t="str">
        <f t="shared" ca="1" si="67"/>
        <v>Medium Haul</v>
      </c>
    </row>
    <row r="220" spans="1:28" x14ac:dyDescent="0.3">
      <c r="A220" s="8" t="str">
        <f t="shared" si="62"/>
        <v>S0219</v>
      </c>
      <c r="B220" s="3">
        <f t="shared" ca="1" si="51"/>
        <v>45796</v>
      </c>
      <c r="C220" s="3" t="str">
        <f ca="1">INDEX(Customers!$A$2:$A$21,RANDBETWEEN(1,20))</f>
        <v>C013</v>
      </c>
      <c r="D220" s="3" t="str">
        <f ca="1">INDEX(Routes!$A$2:$A$31,RANDBETWEEN(1,30))</f>
        <v>R026</v>
      </c>
      <c r="E220" s="3" t="str">
        <f ca="1">INDEX(Vehicles!$A$2:$A$21,RANDBETWEEN(1,20))</f>
        <v>V004</v>
      </c>
      <c r="F220" s="3" t="str">
        <f ca="1">INDEX(Drivers!$A$2:$A$31,RANDBETWEEN(1,30))</f>
        <v>D013</v>
      </c>
      <c r="G220" s="3">
        <f t="shared" ca="1" si="52"/>
        <v>3.6</v>
      </c>
      <c r="H220" s="3">
        <f t="shared" ca="1" si="53"/>
        <v>20296</v>
      </c>
      <c r="I220" s="3">
        <f t="shared" ca="1" si="54"/>
        <v>5683</v>
      </c>
      <c r="J220" s="3">
        <f t="shared" ca="1" si="55"/>
        <v>737</v>
      </c>
      <c r="K220" s="3">
        <f t="shared" ca="1" si="56"/>
        <v>12</v>
      </c>
      <c r="L220" s="3">
        <f t="shared" ca="1" si="57"/>
        <v>13</v>
      </c>
      <c r="M220" s="3">
        <f t="shared" ca="1" si="58"/>
        <v>1</v>
      </c>
      <c r="N220" s="3" t="str">
        <f t="shared" ca="1" si="59"/>
        <v>On Time</v>
      </c>
      <c r="O220" s="3" t="str">
        <f t="shared" ca="1" si="60"/>
        <v>Medium</v>
      </c>
      <c r="P220" s="3">
        <f t="shared" ca="1" si="61"/>
        <v>12</v>
      </c>
      <c r="Q220" s="1" t="str">
        <f ca="1">VLOOKUP(D220,Routes!$A$2:$D$31,2,FALSE)</f>
        <v>Nagpur</v>
      </c>
      <c r="R220" s="1" t="str">
        <f ca="1">VLOOKUP(D220,Routes!$A$2:$D$31,3,FALSE)</f>
        <v>Bhopal</v>
      </c>
      <c r="S220" s="3">
        <f ca="1">VLOOKUP(D220,Routes!$A$2:$D$31,4,FALSE)</f>
        <v>350</v>
      </c>
      <c r="T220" s="3" t="str">
        <f ca="1">VLOOKUP(E220,Vehicles!$A$2:$D$21,2,FALSE)</f>
        <v>Trailer</v>
      </c>
      <c r="U220" s="3">
        <f ca="1">VLOOKUP(E220,Vehicles!$A$2:$D$21,3,FALSE)</f>
        <v>28</v>
      </c>
      <c r="V220" s="3" t="str">
        <f ca="1">VLOOKUP(E220,Vehicles!$A$2:$D$21,4,FALSE)</f>
        <v>Diesel</v>
      </c>
      <c r="W220" s="3">
        <f ca="1">VLOOKUP(V220,Fuel_Rates!$A$2:$B$3,2,FALSE)</f>
        <v>95</v>
      </c>
      <c r="X220" s="3">
        <f t="shared" ca="1" si="63"/>
        <v>57.99</v>
      </c>
      <c r="Y220" s="3">
        <f t="shared" ca="1" si="64"/>
        <v>26716</v>
      </c>
      <c r="Z220" s="3" t="str">
        <f t="shared" ca="1" si="65"/>
        <v>May</v>
      </c>
      <c r="AA220" s="3" t="str">
        <f t="shared" ca="1" si="66"/>
        <v>Q2</v>
      </c>
      <c r="AB220" s="4" t="str">
        <f t="shared" ca="1" si="67"/>
        <v>Medium Haul</v>
      </c>
    </row>
    <row r="221" spans="1:28" x14ac:dyDescent="0.3">
      <c r="A221" s="8" t="str">
        <f t="shared" si="62"/>
        <v>S0220</v>
      </c>
      <c r="B221" s="3">
        <f t="shared" ca="1" si="51"/>
        <v>45845</v>
      </c>
      <c r="C221" s="3" t="str">
        <f ca="1">INDEX(Customers!$A$2:$A$21,RANDBETWEEN(1,20))</f>
        <v>C013</v>
      </c>
      <c r="D221" s="3" t="str">
        <f ca="1">INDEX(Routes!$A$2:$A$31,RANDBETWEEN(1,30))</f>
        <v>R029</v>
      </c>
      <c r="E221" s="3" t="str">
        <f ca="1">INDEX(Vehicles!$A$2:$A$21,RANDBETWEEN(1,20))</f>
        <v>V011</v>
      </c>
      <c r="F221" s="3" t="str">
        <f ca="1">INDEX(Drivers!$A$2:$A$31,RANDBETWEEN(1,30))</f>
        <v>D013</v>
      </c>
      <c r="G221" s="3">
        <f t="shared" ca="1" si="52"/>
        <v>15.4</v>
      </c>
      <c r="H221" s="3">
        <f t="shared" ca="1" si="53"/>
        <v>35797</v>
      </c>
      <c r="I221" s="3">
        <f t="shared" ca="1" si="54"/>
        <v>10023</v>
      </c>
      <c r="J221" s="3">
        <f t="shared" ca="1" si="55"/>
        <v>3358</v>
      </c>
      <c r="K221" s="3">
        <f t="shared" ca="1" si="56"/>
        <v>44</v>
      </c>
      <c r="L221" s="3">
        <f t="shared" ca="1" si="57"/>
        <v>50</v>
      </c>
      <c r="M221" s="3">
        <f t="shared" ca="1" si="58"/>
        <v>6</v>
      </c>
      <c r="N221" s="3" t="str">
        <f t="shared" ca="1" si="59"/>
        <v>Delayed</v>
      </c>
      <c r="O221" s="3" t="str">
        <f t="shared" ca="1" si="60"/>
        <v>Low</v>
      </c>
      <c r="P221" s="3">
        <f t="shared" ca="1" si="61"/>
        <v>51.3</v>
      </c>
      <c r="Q221" s="1" t="str">
        <f ca="1">VLOOKUP(D221,Routes!$A$2:$D$31,2,FALSE)</f>
        <v>Chandigarh</v>
      </c>
      <c r="R221" s="1" t="str">
        <f ca="1">VLOOKUP(D221,Routes!$A$2:$D$31,3,FALSE)</f>
        <v>Delhi</v>
      </c>
      <c r="S221" s="3">
        <f ca="1">VLOOKUP(D221,Routes!$A$2:$D$31,4,FALSE)</f>
        <v>250</v>
      </c>
      <c r="T221" s="3" t="str">
        <f ca="1">VLOOKUP(E221,Vehicles!$A$2:$D$21,2,FALSE)</f>
        <v>Truck</v>
      </c>
      <c r="U221" s="3">
        <f ca="1">VLOOKUP(E221,Vehicles!$A$2:$D$21,3,FALSE)</f>
        <v>18</v>
      </c>
      <c r="V221" s="3" t="str">
        <f ca="1">VLOOKUP(E221,Vehicles!$A$2:$D$21,4,FALSE)</f>
        <v>CNG</v>
      </c>
      <c r="W221" s="3">
        <f ca="1">VLOOKUP(V221,Fuel_Rates!$A$2:$B$3,2,FALSE)</f>
        <v>78</v>
      </c>
      <c r="X221" s="3">
        <f t="shared" ca="1" si="63"/>
        <v>143.19</v>
      </c>
      <c r="Y221" s="3">
        <f t="shared" ca="1" si="64"/>
        <v>49178</v>
      </c>
      <c r="Z221" s="3" t="str">
        <f t="shared" ca="1" si="65"/>
        <v>Jul</v>
      </c>
      <c r="AA221" s="3" t="str">
        <f t="shared" ca="1" si="66"/>
        <v>Q3</v>
      </c>
      <c r="AB221" s="4" t="str">
        <f t="shared" ca="1" si="67"/>
        <v>Short Haul</v>
      </c>
    </row>
    <row r="222" spans="1:28" x14ac:dyDescent="0.3">
      <c r="A222" s="8" t="str">
        <f t="shared" si="62"/>
        <v>S0221</v>
      </c>
      <c r="B222" s="3">
        <f t="shared" ca="1" si="51"/>
        <v>45974</v>
      </c>
      <c r="C222" s="3" t="str">
        <f ca="1">INDEX(Customers!$A$2:$A$21,RANDBETWEEN(1,20))</f>
        <v>C019</v>
      </c>
      <c r="D222" s="3" t="str">
        <f ca="1">INDEX(Routes!$A$2:$A$31,RANDBETWEEN(1,30))</f>
        <v>R006</v>
      </c>
      <c r="E222" s="3" t="str">
        <f ca="1">INDEX(Vehicles!$A$2:$A$21,RANDBETWEEN(1,20))</f>
        <v>V003</v>
      </c>
      <c r="F222" s="3" t="str">
        <f ca="1">INDEX(Drivers!$A$2:$A$31,RANDBETWEEN(1,30))</f>
        <v>D005</v>
      </c>
      <c r="G222" s="3">
        <f t="shared" ca="1" si="52"/>
        <v>26.7</v>
      </c>
      <c r="H222" s="3">
        <f t="shared" ca="1" si="53"/>
        <v>52606</v>
      </c>
      <c r="I222" s="3">
        <f t="shared" ca="1" si="54"/>
        <v>14730</v>
      </c>
      <c r="J222" s="3">
        <f t="shared" ca="1" si="55"/>
        <v>2834</v>
      </c>
      <c r="K222" s="3">
        <f t="shared" ca="1" si="56"/>
        <v>29</v>
      </c>
      <c r="L222" s="3">
        <f t="shared" ca="1" si="57"/>
        <v>37</v>
      </c>
      <c r="M222" s="3">
        <f t="shared" ca="1" si="58"/>
        <v>8</v>
      </c>
      <c r="N222" s="3" t="str">
        <f t="shared" ca="1" si="59"/>
        <v>Delayed</v>
      </c>
      <c r="O222" s="3" t="str">
        <f t="shared" ca="1" si="60"/>
        <v>Medium</v>
      </c>
      <c r="P222" s="3">
        <f t="shared" ca="1" si="61"/>
        <v>89</v>
      </c>
      <c r="Q222" s="1" t="str">
        <f ca="1">VLOOKUP(D222,Routes!$A$2:$D$31,2,FALSE)</f>
        <v>Delhi</v>
      </c>
      <c r="R222" s="1" t="str">
        <f ca="1">VLOOKUP(D222,Routes!$A$2:$D$31,3,FALSE)</f>
        <v>Lucknow</v>
      </c>
      <c r="S222" s="3">
        <f ca="1">VLOOKUP(D222,Routes!$A$2:$D$31,4,FALSE)</f>
        <v>550</v>
      </c>
      <c r="T222" s="3" t="str">
        <f ca="1">VLOOKUP(E222,Vehicles!$A$2:$D$21,2,FALSE)</f>
        <v>Truck</v>
      </c>
      <c r="U222" s="3">
        <f ca="1">VLOOKUP(E222,Vehicles!$A$2:$D$21,3,FALSE)</f>
        <v>25</v>
      </c>
      <c r="V222" s="3" t="str">
        <f ca="1">VLOOKUP(E222,Vehicles!$A$2:$D$21,4,FALSE)</f>
        <v>Diesel</v>
      </c>
      <c r="W222" s="3">
        <f ca="1">VLOOKUP(V222,Fuel_Rates!$A$2:$B$3,2,FALSE)</f>
        <v>95</v>
      </c>
      <c r="X222" s="3">
        <f t="shared" ca="1" si="63"/>
        <v>95.65</v>
      </c>
      <c r="Y222" s="3">
        <f t="shared" ca="1" si="64"/>
        <v>70170</v>
      </c>
      <c r="Z222" s="3" t="str">
        <f t="shared" ca="1" si="65"/>
        <v>Nov</v>
      </c>
      <c r="AA222" s="3" t="str">
        <f t="shared" ca="1" si="66"/>
        <v>Q4</v>
      </c>
      <c r="AB222" s="4" t="str">
        <f t="shared" ca="1" si="67"/>
        <v>Medium Haul</v>
      </c>
    </row>
    <row r="223" spans="1:28" x14ac:dyDescent="0.3">
      <c r="A223" s="8" t="str">
        <f t="shared" si="62"/>
        <v>S0222</v>
      </c>
      <c r="B223" s="3">
        <f t="shared" ca="1" si="51"/>
        <v>45679</v>
      </c>
      <c r="C223" s="3" t="str">
        <f ca="1">INDEX(Customers!$A$2:$A$21,RANDBETWEEN(1,20))</f>
        <v>C002</v>
      </c>
      <c r="D223" s="3" t="str">
        <f ca="1">INDEX(Routes!$A$2:$A$31,RANDBETWEEN(1,30))</f>
        <v>R007</v>
      </c>
      <c r="E223" s="3" t="str">
        <f ca="1">INDEX(Vehicles!$A$2:$A$21,RANDBETWEEN(1,20))</f>
        <v>V004</v>
      </c>
      <c r="F223" s="3" t="str">
        <f ca="1">INDEX(Drivers!$A$2:$A$31,RANDBETWEEN(1,30))</f>
        <v>D016</v>
      </c>
      <c r="G223" s="3">
        <f t="shared" ca="1" si="52"/>
        <v>14.8</v>
      </c>
      <c r="H223" s="3">
        <f t="shared" ca="1" si="53"/>
        <v>32613</v>
      </c>
      <c r="I223" s="3">
        <f t="shared" ca="1" si="54"/>
        <v>9132</v>
      </c>
      <c r="J223" s="3">
        <f t="shared" ca="1" si="55"/>
        <v>1628</v>
      </c>
      <c r="K223" s="3">
        <f t="shared" ca="1" si="56"/>
        <v>38</v>
      </c>
      <c r="L223" s="3">
        <f t="shared" ca="1" si="57"/>
        <v>46</v>
      </c>
      <c r="M223" s="3">
        <f t="shared" ca="1" si="58"/>
        <v>8</v>
      </c>
      <c r="N223" s="3" t="str">
        <f t="shared" ca="1" si="59"/>
        <v>Delayed</v>
      </c>
      <c r="O223" s="3" t="str">
        <f t="shared" ca="1" si="60"/>
        <v>High</v>
      </c>
      <c r="P223" s="3">
        <f t="shared" ca="1" si="61"/>
        <v>49.3</v>
      </c>
      <c r="Q223" s="1" t="str">
        <f ca="1">VLOOKUP(D223,Routes!$A$2:$D$31,2,FALSE)</f>
        <v>Delhi</v>
      </c>
      <c r="R223" s="1" t="str">
        <f ca="1">VLOOKUP(D223,Routes!$A$2:$D$31,3,FALSE)</f>
        <v>Chandigarh</v>
      </c>
      <c r="S223" s="3">
        <f ca="1">VLOOKUP(D223,Routes!$A$2:$D$31,4,FALSE)</f>
        <v>250</v>
      </c>
      <c r="T223" s="3" t="str">
        <f ca="1">VLOOKUP(E223,Vehicles!$A$2:$D$21,2,FALSE)</f>
        <v>Trailer</v>
      </c>
      <c r="U223" s="3">
        <f ca="1">VLOOKUP(E223,Vehicles!$A$2:$D$21,3,FALSE)</f>
        <v>28</v>
      </c>
      <c r="V223" s="3" t="str">
        <f ca="1">VLOOKUP(E223,Vehicles!$A$2:$D$21,4,FALSE)</f>
        <v>Diesel</v>
      </c>
      <c r="W223" s="3">
        <f ca="1">VLOOKUP(V223,Fuel_Rates!$A$2:$B$3,2,FALSE)</f>
        <v>95</v>
      </c>
      <c r="X223" s="3">
        <f t="shared" ca="1" si="63"/>
        <v>130.44999999999999</v>
      </c>
      <c r="Y223" s="3">
        <f t="shared" ca="1" si="64"/>
        <v>43373</v>
      </c>
      <c r="Z223" s="3" t="str">
        <f t="shared" ca="1" si="65"/>
        <v>Jan</v>
      </c>
      <c r="AA223" s="3" t="str">
        <f t="shared" ca="1" si="66"/>
        <v>Q1</v>
      </c>
      <c r="AB223" s="4" t="str">
        <f t="shared" ca="1" si="67"/>
        <v>Short Haul</v>
      </c>
    </row>
    <row r="224" spans="1:28" x14ac:dyDescent="0.3">
      <c r="A224" s="8" t="str">
        <f t="shared" si="62"/>
        <v>S0223</v>
      </c>
      <c r="B224" s="3">
        <f t="shared" ca="1" si="51"/>
        <v>45735</v>
      </c>
      <c r="C224" s="3" t="str">
        <f ca="1">INDEX(Customers!$A$2:$A$21,RANDBETWEEN(1,20))</f>
        <v>C011</v>
      </c>
      <c r="D224" s="3" t="str">
        <f ca="1">INDEX(Routes!$A$2:$A$31,RANDBETWEEN(1,30))</f>
        <v>R017</v>
      </c>
      <c r="E224" s="3" t="str">
        <f ca="1">INDEX(Vehicles!$A$2:$A$21,RANDBETWEEN(1,20))</f>
        <v>V012</v>
      </c>
      <c r="F224" s="3" t="str">
        <f ca="1">INDEX(Drivers!$A$2:$A$31,RANDBETWEEN(1,30))</f>
        <v>D017</v>
      </c>
      <c r="G224" s="3">
        <f t="shared" ca="1" si="52"/>
        <v>13.9</v>
      </c>
      <c r="H224" s="3">
        <f t="shared" ca="1" si="53"/>
        <v>34566</v>
      </c>
      <c r="I224" s="3">
        <f t="shared" ca="1" si="54"/>
        <v>9678</v>
      </c>
      <c r="J224" s="3">
        <f t="shared" ca="1" si="55"/>
        <v>3670</v>
      </c>
      <c r="K224" s="3">
        <f t="shared" ca="1" si="56"/>
        <v>22</v>
      </c>
      <c r="L224" s="3">
        <f t="shared" ca="1" si="57"/>
        <v>25</v>
      </c>
      <c r="M224" s="3">
        <f t="shared" ca="1" si="58"/>
        <v>3</v>
      </c>
      <c r="N224" s="3" t="str">
        <f t="shared" ca="1" si="59"/>
        <v>Delayed</v>
      </c>
      <c r="O224" s="3" t="str">
        <f t="shared" ca="1" si="60"/>
        <v>Low</v>
      </c>
      <c r="P224" s="3">
        <f t="shared" ca="1" si="61"/>
        <v>46.3</v>
      </c>
      <c r="Q224" s="1" t="str">
        <f ca="1">VLOOKUP(D224,Routes!$A$2:$D$31,2,FALSE)</f>
        <v>Kolkata</v>
      </c>
      <c r="R224" s="1" t="str">
        <f ca="1">VLOOKUP(D224,Routes!$A$2:$D$31,3,FALSE)</f>
        <v>Patna</v>
      </c>
      <c r="S224" s="3">
        <f ca="1">VLOOKUP(D224,Routes!$A$2:$D$31,4,FALSE)</f>
        <v>620</v>
      </c>
      <c r="T224" s="3" t="str">
        <f ca="1">VLOOKUP(E224,Vehicles!$A$2:$D$21,2,FALSE)</f>
        <v>Truck</v>
      </c>
      <c r="U224" s="3">
        <f ca="1">VLOOKUP(E224,Vehicles!$A$2:$D$21,3,FALSE)</f>
        <v>20</v>
      </c>
      <c r="V224" s="3" t="str">
        <f ca="1">VLOOKUP(E224,Vehicles!$A$2:$D$21,4,FALSE)</f>
        <v>CNG</v>
      </c>
      <c r="W224" s="3">
        <f ca="1">VLOOKUP(V224,Fuel_Rates!$A$2:$B$3,2,FALSE)</f>
        <v>78</v>
      </c>
      <c r="X224" s="3">
        <f t="shared" ca="1" si="63"/>
        <v>55.75</v>
      </c>
      <c r="Y224" s="3">
        <f t="shared" ca="1" si="64"/>
        <v>47914</v>
      </c>
      <c r="Z224" s="3" t="str">
        <f t="shared" ca="1" si="65"/>
        <v>Mar</v>
      </c>
      <c r="AA224" s="3" t="str">
        <f t="shared" ca="1" si="66"/>
        <v>Q1</v>
      </c>
      <c r="AB224" s="4" t="str">
        <f t="shared" ca="1" si="67"/>
        <v>Medium Haul</v>
      </c>
    </row>
    <row r="225" spans="1:28" x14ac:dyDescent="0.3">
      <c r="A225" s="8" t="str">
        <f t="shared" si="62"/>
        <v>S0224</v>
      </c>
      <c r="B225" s="3">
        <f t="shared" ca="1" si="51"/>
        <v>45918</v>
      </c>
      <c r="C225" s="3" t="str">
        <f ca="1">INDEX(Customers!$A$2:$A$21,RANDBETWEEN(1,20))</f>
        <v>C016</v>
      </c>
      <c r="D225" s="3" t="str">
        <f ca="1">INDEX(Routes!$A$2:$A$31,RANDBETWEEN(1,30))</f>
        <v>R027</v>
      </c>
      <c r="E225" s="3" t="str">
        <f ca="1">INDEX(Vehicles!$A$2:$A$21,RANDBETWEEN(1,20))</f>
        <v>V010</v>
      </c>
      <c r="F225" s="3" t="str">
        <f ca="1">INDEX(Drivers!$A$2:$A$31,RANDBETWEEN(1,30))</f>
        <v>D005</v>
      </c>
      <c r="G225" s="3">
        <f t="shared" ca="1" si="52"/>
        <v>3.4</v>
      </c>
      <c r="H225" s="3">
        <f t="shared" ca="1" si="53"/>
        <v>17420</v>
      </c>
      <c r="I225" s="3">
        <f t="shared" ca="1" si="54"/>
        <v>4878</v>
      </c>
      <c r="J225" s="3">
        <f t="shared" ca="1" si="55"/>
        <v>2829</v>
      </c>
      <c r="K225" s="3">
        <f t="shared" ca="1" si="56"/>
        <v>5</v>
      </c>
      <c r="L225" s="3">
        <f t="shared" ca="1" si="57"/>
        <v>11</v>
      </c>
      <c r="M225" s="3">
        <f t="shared" ca="1" si="58"/>
        <v>6</v>
      </c>
      <c r="N225" s="3" t="str">
        <f t="shared" ca="1" si="59"/>
        <v>Delayed</v>
      </c>
      <c r="O225" s="3" t="str">
        <f t="shared" ca="1" si="60"/>
        <v>Low</v>
      </c>
      <c r="P225" s="3">
        <f t="shared" ca="1" si="61"/>
        <v>11.3</v>
      </c>
      <c r="Q225" s="1" t="str">
        <f ca="1">VLOOKUP(D225,Routes!$A$2:$D$31,2,FALSE)</f>
        <v>Patna</v>
      </c>
      <c r="R225" s="1" t="str">
        <f ca="1">VLOOKUP(D225,Routes!$A$2:$D$31,3,FALSE)</f>
        <v>Ranchi</v>
      </c>
      <c r="S225" s="3">
        <f ca="1">VLOOKUP(D225,Routes!$A$2:$D$31,4,FALSE)</f>
        <v>330</v>
      </c>
      <c r="T225" s="3" t="str">
        <f ca="1">VLOOKUP(E225,Vehicles!$A$2:$D$21,2,FALSE)</f>
        <v>LCV</v>
      </c>
      <c r="U225" s="3">
        <f ca="1">VLOOKUP(E225,Vehicles!$A$2:$D$21,3,FALSE)</f>
        <v>7</v>
      </c>
      <c r="V225" s="3" t="str">
        <f ca="1">VLOOKUP(E225,Vehicles!$A$2:$D$21,4,FALSE)</f>
        <v>Diesel</v>
      </c>
      <c r="W225" s="3">
        <f ca="1">VLOOKUP(V225,Fuel_Rates!$A$2:$B$3,2,FALSE)</f>
        <v>95</v>
      </c>
      <c r="X225" s="3">
        <f t="shared" ca="1" si="63"/>
        <v>52.79</v>
      </c>
      <c r="Y225" s="3">
        <f t="shared" ca="1" si="64"/>
        <v>25127</v>
      </c>
      <c r="Z225" s="3" t="str">
        <f t="shared" ca="1" si="65"/>
        <v>Sep</v>
      </c>
      <c r="AA225" s="3" t="str">
        <f t="shared" ca="1" si="66"/>
        <v>Q3</v>
      </c>
      <c r="AB225" s="4" t="str">
        <f t="shared" ca="1" si="67"/>
        <v>Medium Haul</v>
      </c>
    </row>
    <row r="226" spans="1:28" x14ac:dyDescent="0.3">
      <c r="A226" s="8" t="str">
        <f t="shared" si="62"/>
        <v>S0225</v>
      </c>
      <c r="B226" s="3">
        <f t="shared" ca="1" si="51"/>
        <v>45667</v>
      </c>
      <c r="C226" s="3" t="str">
        <f ca="1">INDEX(Customers!$A$2:$A$21,RANDBETWEEN(1,20))</f>
        <v>C012</v>
      </c>
      <c r="D226" s="3" t="str">
        <f ca="1">INDEX(Routes!$A$2:$A$31,RANDBETWEEN(1,30))</f>
        <v>R023</v>
      </c>
      <c r="E226" s="3" t="str">
        <f ca="1">INDEX(Vehicles!$A$2:$A$21,RANDBETWEEN(1,20))</f>
        <v>V001</v>
      </c>
      <c r="F226" s="3" t="str">
        <f ca="1">INDEX(Drivers!$A$2:$A$31,RANDBETWEEN(1,30))</f>
        <v>D021</v>
      </c>
      <c r="G226" s="3">
        <f t="shared" ca="1" si="52"/>
        <v>12.4</v>
      </c>
      <c r="H226" s="3">
        <f t="shared" ca="1" si="53"/>
        <v>31935</v>
      </c>
      <c r="I226" s="3">
        <f t="shared" ca="1" si="54"/>
        <v>8942</v>
      </c>
      <c r="J226" s="3">
        <f t="shared" ca="1" si="55"/>
        <v>3296</v>
      </c>
      <c r="K226" s="3">
        <f t="shared" ca="1" si="56"/>
        <v>4</v>
      </c>
      <c r="L226" s="3">
        <f t="shared" ca="1" si="57"/>
        <v>8</v>
      </c>
      <c r="M226" s="3">
        <f t="shared" ca="1" si="58"/>
        <v>4</v>
      </c>
      <c r="N226" s="3" t="str">
        <f t="shared" ca="1" si="59"/>
        <v>Delayed</v>
      </c>
      <c r="O226" s="3" t="str">
        <f t="shared" ca="1" si="60"/>
        <v>High</v>
      </c>
      <c r="P226" s="3">
        <f t="shared" ca="1" si="61"/>
        <v>41.3</v>
      </c>
      <c r="Q226" s="1" t="str">
        <f ca="1">VLOOKUP(D226,Routes!$A$2:$D$31,2,FALSE)</f>
        <v>Kochi</v>
      </c>
      <c r="R226" s="1" t="str">
        <f ca="1">VLOOKUP(D226,Routes!$A$2:$D$31,3,FALSE)</f>
        <v>Bengaluru</v>
      </c>
      <c r="S226" s="3">
        <f ca="1">VLOOKUP(D226,Routes!$A$2:$D$31,4,FALSE)</f>
        <v>550</v>
      </c>
      <c r="T226" s="3" t="str">
        <f ca="1">VLOOKUP(E226,Vehicles!$A$2:$D$21,2,FALSE)</f>
        <v>Truck</v>
      </c>
      <c r="U226" s="3">
        <f ca="1">VLOOKUP(E226,Vehicles!$A$2:$D$21,3,FALSE)</f>
        <v>16</v>
      </c>
      <c r="V226" s="3" t="str">
        <f ca="1">VLOOKUP(E226,Vehicles!$A$2:$D$21,4,FALSE)</f>
        <v>Diesel</v>
      </c>
      <c r="W226" s="3">
        <f ca="1">VLOOKUP(V226,Fuel_Rates!$A$2:$B$3,2,FALSE)</f>
        <v>95</v>
      </c>
      <c r="X226" s="3">
        <f t="shared" ca="1" si="63"/>
        <v>58.06</v>
      </c>
      <c r="Y226" s="3">
        <f t="shared" ca="1" si="64"/>
        <v>44173</v>
      </c>
      <c r="Z226" s="3" t="str">
        <f t="shared" ca="1" si="65"/>
        <v>Jan</v>
      </c>
      <c r="AA226" s="3" t="str">
        <f t="shared" ca="1" si="66"/>
        <v>Q1</v>
      </c>
      <c r="AB226" s="4" t="str">
        <f t="shared" ca="1" si="67"/>
        <v>Medium Haul</v>
      </c>
    </row>
    <row r="227" spans="1:28" x14ac:dyDescent="0.3">
      <c r="A227" s="8" t="str">
        <f t="shared" si="62"/>
        <v>S0226</v>
      </c>
      <c r="B227" s="3">
        <f t="shared" ca="1" si="51"/>
        <v>45681</v>
      </c>
      <c r="C227" s="3" t="str">
        <f ca="1">INDEX(Customers!$A$2:$A$21,RANDBETWEEN(1,20))</f>
        <v>C003</v>
      </c>
      <c r="D227" s="3" t="str">
        <f ca="1">INDEX(Routes!$A$2:$A$31,RANDBETWEEN(1,30))</f>
        <v>R018</v>
      </c>
      <c r="E227" s="3" t="str">
        <f ca="1">INDEX(Vehicles!$A$2:$A$21,RANDBETWEEN(1,20))</f>
        <v>V006</v>
      </c>
      <c r="F227" s="3" t="str">
        <f ca="1">INDEX(Drivers!$A$2:$A$31,RANDBETWEEN(1,30))</f>
        <v>D016</v>
      </c>
      <c r="G227" s="3">
        <f t="shared" ca="1" si="52"/>
        <v>5.3</v>
      </c>
      <c r="H227" s="3">
        <f t="shared" ca="1" si="53"/>
        <v>15919</v>
      </c>
      <c r="I227" s="3">
        <f t="shared" ca="1" si="54"/>
        <v>4457</v>
      </c>
      <c r="J227" s="3">
        <f t="shared" ca="1" si="55"/>
        <v>863</v>
      </c>
      <c r="K227" s="3">
        <f t="shared" ca="1" si="56"/>
        <v>14</v>
      </c>
      <c r="L227" s="3">
        <f t="shared" ca="1" si="57"/>
        <v>20</v>
      </c>
      <c r="M227" s="3">
        <f t="shared" ca="1" si="58"/>
        <v>6</v>
      </c>
      <c r="N227" s="3" t="str">
        <f t="shared" ca="1" si="59"/>
        <v>Delayed</v>
      </c>
      <c r="O227" s="3" t="str">
        <f t="shared" ca="1" si="60"/>
        <v>High</v>
      </c>
      <c r="P227" s="3">
        <f t="shared" ca="1" si="61"/>
        <v>17.7</v>
      </c>
      <c r="Q227" s="1" t="str">
        <f ca="1">VLOOKUP(D227,Routes!$A$2:$D$31,2,FALSE)</f>
        <v>Ahmedabad</v>
      </c>
      <c r="R227" s="1" t="str">
        <f ca="1">VLOOKUP(D227,Routes!$A$2:$D$31,3,FALSE)</f>
        <v>Jaipur</v>
      </c>
      <c r="S227" s="3">
        <f ca="1">VLOOKUP(D227,Routes!$A$2:$D$31,4,FALSE)</f>
        <v>670</v>
      </c>
      <c r="T227" s="3" t="str">
        <f ca="1">VLOOKUP(E227,Vehicles!$A$2:$D$21,2,FALSE)</f>
        <v>Container</v>
      </c>
      <c r="U227" s="3">
        <f ca="1">VLOOKUP(E227,Vehicles!$A$2:$D$21,3,FALSE)</f>
        <v>18</v>
      </c>
      <c r="V227" s="3" t="str">
        <f ca="1">VLOOKUP(E227,Vehicles!$A$2:$D$21,4,FALSE)</f>
        <v>Diesel</v>
      </c>
      <c r="W227" s="3">
        <f ca="1">VLOOKUP(V227,Fuel_Rates!$A$2:$B$3,2,FALSE)</f>
        <v>95</v>
      </c>
      <c r="X227" s="3">
        <f t="shared" ca="1" si="63"/>
        <v>23.76</v>
      </c>
      <c r="Y227" s="3">
        <f t="shared" ca="1" si="64"/>
        <v>21239</v>
      </c>
      <c r="Z227" s="3" t="str">
        <f t="shared" ca="1" si="65"/>
        <v>Jan</v>
      </c>
      <c r="AA227" s="3" t="str">
        <f t="shared" ca="1" si="66"/>
        <v>Q1</v>
      </c>
      <c r="AB227" s="4" t="str">
        <f t="shared" ca="1" si="67"/>
        <v>Medium Haul</v>
      </c>
    </row>
    <row r="228" spans="1:28" x14ac:dyDescent="0.3">
      <c r="A228" s="8" t="str">
        <f t="shared" si="62"/>
        <v>S0227</v>
      </c>
      <c r="B228" s="3">
        <f t="shared" ca="1" si="51"/>
        <v>45823</v>
      </c>
      <c r="C228" s="3" t="str">
        <f ca="1">INDEX(Customers!$A$2:$A$21,RANDBETWEEN(1,20))</f>
        <v>C018</v>
      </c>
      <c r="D228" s="3" t="str">
        <f ca="1">INDEX(Routes!$A$2:$A$31,RANDBETWEEN(1,30))</f>
        <v>R010</v>
      </c>
      <c r="E228" s="3" t="str">
        <f ca="1">INDEX(Vehicles!$A$2:$A$21,RANDBETWEEN(1,20))</f>
        <v>V016</v>
      </c>
      <c r="F228" s="3" t="str">
        <f ca="1">INDEX(Drivers!$A$2:$A$31,RANDBETWEEN(1,30))</f>
        <v>D002</v>
      </c>
      <c r="G228" s="3">
        <f t="shared" ca="1" si="52"/>
        <v>12.9</v>
      </c>
      <c r="H228" s="3">
        <f t="shared" ca="1" si="53"/>
        <v>27866</v>
      </c>
      <c r="I228" s="3">
        <f t="shared" ca="1" si="54"/>
        <v>7802</v>
      </c>
      <c r="J228" s="3">
        <f t="shared" ca="1" si="55"/>
        <v>3356</v>
      </c>
      <c r="K228" s="3">
        <f t="shared" ca="1" si="56"/>
        <v>39</v>
      </c>
      <c r="L228" s="3">
        <f t="shared" ca="1" si="57"/>
        <v>39</v>
      </c>
      <c r="M228" s="3">
        <f t="shared" ca="1" si="58"/>
        <v>0</v>
      </c>
      <c r="N228" s="3" t="str">
        <f t="shared" ca="1" si="59"/>
        <v>On Time</v>
      </c>
      <c r="O228" s="3" t="str">
        <f t="shared" ca="1" si="60"/>
        <v>Medium</v>
      </c>
      <c r="P228" s="3">
        <f t="shared" ca="1" si="61"/>
        <v>43</v>
      </c>
      <c r="Q228" s="1" t="str">
        <f ca="1">VLOOKUP(D228,Routes!$A$2:$D$31,2,FALSE)</f>
        <v>Bengaluru</v>
      </c>
      <c r="R228" s="1" t="str">
        <f ca="1">VLOOKUP(D228,Routes!$A$2:$D$31,3,FALSE)</f>
        <v>Hyderabad</v>
      </c>
      <c r="S228" s="3">
        <f ca="1">VLOOKUP(D228,Routes!$A$2:$D$31,4,FALSE)</f>
        <v>570</v>
      </c>
      <c r="T228" s="3" t="str">
        <f ca="1">VLOOKUP(E228,Vehicles!$A$2:$D$21,2,FALSE)</f>
        <v>Container</v>
      </c>
      <c r="U228" s="3">
        <f ca="1">VLOOKUP(E228,Vehicles!$A$2:$D$21,3,FALSE)</f>
        <v>22</v>
      </c>
      <c r="V228" s="3" t="str">
        <f ca="1">VLOOKUP(E228,Vehicles!$A$2:$D$21,4,FALSE)</f>
        <v>Diesel</v>
      </c>
      <c r="W228" s="3">
        <f ca="1">VLOOKUP(V228,Fuel_Rates!$A$2:$B$3,2,FALSE)</f>
        <v>95</v>
      </c>
      <c r="X228" s="3">
        <f t="shared" ca="1" si="63"/>
        <v>48.89</v>
      </c>
      <c r="Y228" s="3">
        <f t="shared" ca="1" si="64"/>
        <v>39024</v>
      </c>
      <c r="Z228" s="3" t="str">
        <f t="shared" ca="1" si="65"/>
        <v>Jun</v>
      </c>
      <c r="AA228" s="3" t="str">
        <f t="shared" ca="1" si="66"/>
        <v>Q2</v>
      </c>
      <c r="AB228" s="4" t="str">
        <f t="shared" ca="1" si="67"/>
        <v>Medium Haul</v>
      </c>
    </row>
    <row r="229" spans="1:28" x14ac:dyDescent="0.3">
      <c r="A229" s="8" t="str">
        <f t="shared" si="62"/>
        <v>S0228</v>
      </c>
      <c r="B229" s="3">
        <f t="shared" ca="1" si="51"/>
        <v>45677</v>
      </c>
      <c r="C229" s="3" t="str">
        <f ca="1">INDEX(Customers!$A$2:$A$21,RANDBETWEEN(1,20))</f>
        <v>C018</v>
      </c>
      <c r="D229" s="3" t="str">
        <f ca="1">INDEX(Routes!$A$2:$A$31,RANDBETWEEN(1,30))</f>
        <v>R006</v>
      </c>
      <c r="E229" s="3" t="str">
        <f ca="1">INDEX(Vehicles!$A$2:$A$21,RANDBETWEEN(1,20))</f>
        <v>V017</v>
      </c>
      <c r="F229" s="3" t="str">
        <f ca="1">INDEX(Drivers!$A$2:$A$31,RANDBETWEEN(1,30))</f>
        <v>D011</v>
      </c>
      <c r="G229" s="3">
        <f t="shared" ca="1" si="52"/>
        <v>26.1</v>
      </c>
      <c r="H229" s="3">
        <f t="shared" ca="1" si="53"/>
        <v>56714</v>
      </c>
      <c r="I229" s="3">
        <f t="shared" ca="1" si="54"/>
        <v>15880</v>
      </c>
      <c r="J229" s="3">
        <f t="shared" ca="1" si="55"/>
        <v>852</v>
      </c>
      <c r="K229" s="3">
        <f t="shared" ca="1" si="56"/>
        <v>45</v>
      </c>
      <c r="L229" s="3">
        <f t="shared" ca="1" si="57"/>
        <v>52</v>
      </c>
      <c r="M229" s="3">
        <f t="shared" ca="1" si="58"/>
        <v>7</v>
      </c>
      <c r="N229" s="3" t="str">
        <f t="shared" ca="1" si="59"/>
        <v>Delayed</v>
      </c>
      <c r="O229" s="3" t="str">
        <f t="shared" ca="1" si="60"/>
        <v>Low</v>
      </c>
      <c r="P229" s="3">
        <f t="shared" ca="1" si="61"/>
        <v>87</v>
      </c>
      <c r="Q229" s="1" t="str">
        <f ca="1">VLOOKUP(D229,Routes!$A$2:$D$31,2,FALSE)</f>
        <v>Delhi</v>
      </c>
      <c r="R229" s="1" t="str">
        <f ca="1">VLOOKUP(D229,Routes!$A$2:$D$31,3,FALSE)</f>
        <v>Lucknow</v>
      </c>
      <c r="S229" s="3">
        <f ca="1">VLOOKUP(D229,Routes!$A$2:$D$31,4,FALSE)</f>
        <v>550</v>
      </c>
      <c r="T229" s="3" t="str">
        <f ca="1">VLOOKUP(E229,Vehicles!$A$2:$D$21,2,FALSE)</f>
        <v>Truck</v>
      </c>
      <c r="U229" s="3">
        <f ca="1">VLOOKUP(E229,Vehicles!$A$2:$D$21,3,FALSE)</f>
        <v>24</v>
      </c>
      <c r="V229" s="3" t="str">
        <f ca="1">VLOOKUP(E229,Vehicles!$A$2:$D$21,4,FALSE)</f>
        <v>Diesel</v>
      </c>
      <c r="W229" s="3">
        <f ca="1">VLOOKUP(V229,Fuel_Rates!$A$2:$B$3,2,FALSE)</f>
        <v>95</v>
      </c>
      <c r="X229" s="3">
        <f t="shared" ca="1" si="63"/>
        <v>103.12</v>
      </c>
      <c r="Y229" s="3">
        <f t="shared" ca="1" si="64"/>
        <v>73446</v>
      </c>
      <c r="Z229" s="3" t="str">
        <f t="shared" ca="1" si="65"/>
        <v>Jan</v>
      </c>
      <c r="AA229" s="3" t="str">
        <f t="shared" ca="1" si="66"/>
        <v>Q1</v>
      </c>
      <c r="AB229" s="4" t="str">
        <f t="shared" ca="1" si="67"/>
        <v>Medium Haul</v>
      </c>
    </row>
    <row r="230" spans="1:28" x14ac:dyDescent="0.3">
      <c r="A230" s="8" t="str">
        <f t="shared" si="62"/>
        <v>S0229</v>
      </c>
      <c r="B230" s="3">
        <f t="shared" ca="1" si="51"/>
        <v>45796</v>
      </c>
      <c r="C230" s="3" t="str">
        <f ca="1">INDEX(Customers!$A$2:$A$21,RANDBETWEEN(1,20))</f>
        <v>C005</v>
      </c>
      <c r="D230" s="3" t="str">
        <f ca="1">INDEX(Routes!$A$2:$A$31,RANDBETWEEN(1,30))</f>
        <v>R025</v>
      </c>
      <c r="E230" s="3" t="str">
        <f ca="1">INDEX(Vehicles!$A$2:$A$21,RANDBETWEEN(1,20))</f>
        <v>V005</v>
      </c>
      <c r="F230" s="3" t="str">
        <f ca="1">INDEX(Drivers!$A$2:$A$31,RANDBETWEEN(1,30))</f>
        <v>D027</v>
      </c>
      <c r="G230" s="3">
        <f t="shared" ca="1" si="52"/>
        <v>27.1</v>
      </c>
      <c r="H230" s="3">
        <f t="shared" ca="1" si="53"/>
        <v>63176</v>
      </c>
      <c r="I230" s="3">
        <f t="shared" ca="1" si="54"/>
        <v>17689</v>
      </c>
      <c r="J230" s="3">
        <f t="shared" ca="1" si="55"/>
        <v>1285</v>
      </c>
      <c r="K230" s="3">
        <f t="shared" ca="1" si="56"/>
        <v>8</v>
      </c>
      <c r="L230" s="3">
        <f t="shared" ca="1" si="57"/>
        <v>8</v>
      </c>
      <c r="M230" s="3">
        <f t="shared" ca="1" si="58"/>
        <v>0</v>
      </c>
      <c r="N230" s="3" t="str">
        <f t="shared" ca="1" si="59"/>
        <v>On Time</v>
      </c>
      <c r="O230" s="3" t="str">
        <f t="shared" ca="1" si="60"/>
        <v>High</v>
      </c>
      <c r="P230" s="3">
        <f t="shared" ca="1" si="61"/>
        <v>90.3</v>
      </c>
      <c r="Q230" s="1" t="str">
        <f ca="1">VLOOKUP(D230,Routes!$A$2:$D$31,2,FALSE)</f>
        <v>Visakhapatnam</v>
      </c>
      <c r="R230" s="1" t="str">
        <f ca="1">VLOOKUP(D230,Routes!$A$2:$D$31,3,FALSE)</f>
        <v>Hyderabad</v>
      </c>
      <c r="S230" s="3">
        <f ca="1">VLOOKUP(D230,Routes!$A$2:$D$31,4,FALSE)</f>
        <v>620</v>
      </c>
      <c r="T230" s="3" t="str">
        <f ca="1">VLOOKUP(E230,Vehicles!$A$2:$D$21,2,FALSE)</f>
        <v>Trailer</v>
      </c>
      <c r="U230" s="3">
        <f ca="1">VLOOKUP(E230,Vehicles!$A$2:$D$21,3,FALSE)</f>
        <v>32</v>
      </c>
      <c r="V230" s="3" t="str">
        <f ca="1">VLOOKUP(E230,Vehicles!$A$2:$D$21,4,FALSE)</f>
        <v>Diesel</v>
      </c>
      <c r="W230" s="3">
        <f ca="1">VLOOKUP(V230,Fuel_Rates!$A$2:$B$3,2,FALSE)</f>
        <v>95</v>
      </c>
      <c r="X230" s="3">
        <f t="shared" ca="1" si="63"/>
        <v>101.9</v>
      </c>
      <c r="Y230" s="3">
        <f t="shared" ca="1" si="64"/>
        <v>82150</v>
      </c>
      <c r="Z230" s="3" t="str">
        <f t="shared" ca="1" si="65"/>
        <v>May</v>
      </c>
      <c r="AA230" s="3" t="str">
        <f t="shared" ca="1" si="66"/>
        <v>Q2</v>
      </c>
      <c r="AB230" s="4" t="str">
        <f t="shared" ca="1" si="67"/>
        <v>Medium Haul</v>
      </c>
    </row>
    <row r="231" spans="1:28" x14ac:dyDescent="0.3">
      <c r="A231" s="8" t="str">
        <f t="shared" si="62"/>
        <v>S0230</v>
      </c>
      <c r="B231" s="3">
        <f t="shared" ca="1" si="51"/>
        <v>45787</v>
      </c>
      <c r="C231" s="3" t="str">
        <f ca="1">INDEX(Customers!$A$2:$A$21,RANDBETWEEN(1,20))</f>
        <v>C009</v>
      </c>
      <c r="D231" s="3" t="str">
        <f ca="1">INDEX(Routes!$A$2:$A$31,RANDBETWEEN(1,30))</f>
        <v>R012</v>
      </c>
      <c r="E231" s="3" t="str">
        <f ca="1">INDEX(Vehicles!$A$2:$A$21,RANDBETWEEN(1,20))</f>
        <v>V014</v>
      </c>
      <c r="F231" s="3" t="str">
        <f ca="1">INDEX(Drivers!$A$2:$A$31,RANDBETWEEN(1,30))</f>
        <v>D008</v>
      </c>
      <c r="G231" s="3">
        <f t="shared" ca="1" si="52"/>
        <v>23.1</v>
      </c>
      <c r="H231" s="3">
        <f t="shared" ca="1" si="53"/>
        <v>56442</v>
      </c>
      <c r="I231" s="3">
        <f t="shared" ca="1" si="54"/>
        <v>15804</v>
      </c>
      <c r="J231" s="3">
        <f t="shared" ca="1" si="55"/>
        <v>505</v>
      </c>
      <c r="K231" s="3">
        <f t="shared" ca="1" si="56"/>
        <v>42</v>
      </c>
      <c r="L231" s="3">
        <f t="shared" ca="1" si="57"/>
        <v>50</v>
      </c>
      <c r="M231" s="3">
        <f t="shared" ca="1" si="58"/>
        <v>8</v>
      </c>
      <c r="N231" s="3" t="str">
        <f t="shared" ca="1" si="59"/>
        <v>Delayed</v>
      </c>
      <c r="O231" s="3" t="str">
        <f t="shared" ca="1" si="60"/>
        <v>High</v>
      </c>
      <c r="P231" s="3">
        <f t="shared" ca="1" si="61"/>
        <v>77</v>
      </c>
      <c r="Q231" s="1" t="str">
        <f ca="1">VLOOKUP(D231,Routes!$A$2:$D$31,2,FALSE)</f>
        <v>Chennai</v>
      </c>
      <c r="R231" s="1" t="str">
        <f ca="1">VLOOKUP(D231,Routes!$A$2:$D$31,3,FALSE)</f>
        <v>Coimbatore</v>
      </c>
      <c r="S231" s="3">
        <f ca="1">VLOOKUP(D231,Routes!$A$2:$D$31,4,FALSE)</f>
        <v>500</v>
      </c>
      <c r="T231" s="3" t="str">
        <f ca="1">VLOOKUP(E231,Vehicles!$A$2:$D$21,2,FALSE)</f>
        <v>LCV</v>
      </c>
      <c r="U231" s="3">
        <f ca="1">VLOOKUP(E231,Vehicles!$A$2:$D$21,3,FALSE)</f>
        <v>6</v>
      </c>
      <c r="V231" s="3" t="str">
        <f ca="1">VLOOKUP(E231,Vehicles!$A$2:$D$21,4,FALSE)</f>
        <v>CNG</v>
      </c>
      <c r="W231" s="3">
        <f ca="1">VLOOKUP(V231,Fuel_Rates!$A$2:$B$3,2,FALSE)</f>
        <v>78</v>
      </c>
      <c r="X231" s="3">
        <f t="shared" ca="1" si="63"/>
        <v>112.88</v>
      </c>
      <c r="Y231" s="3">
        <f t="shared" ca="1" si="64"/>
        <v>72751</v>
      </c>
      <c r="Z231" s="3" t="str">
        <f t="shared" ca="1" si="65"/>
        <v>May</v>
      </c>
      <c r="AA231" s="3" t="str">
        <f t="shared" ca="1" si="66"/>
        <v>Q2</v>
      </c>
      <c r="AB231" s="4" t="str">
        <f t="shared" ca="1" si="67"/>
        <v>Medium Haul</v>
      </c>
    </row>
    <row r="232" spans="1:28" x14ac:dyDescent="0.3">
      <c r="A232" s="8" t="str">
        <f t="shared" si="62"/>
        <v>S0231</v>
      </c>
      <c r="B232" s="3">
        <f t="shared" ca="1" si="51"/>
        <v>45975</v>
      </c>
      <c r="C232" s="3" t="str">
        <f ca="1">INDEX(Customers!$A$2:$A$21,RANDBETWEEN(1,20))</f>
        <v>C012</v>
      </c>
      <c r="D232" s="3" t="str">
        <f ca="1">INDEX(Routes!$A$2:$A$31,RANDBETWEEN(1,30))</f>
        <v>R006</v>
      </c>
      <c r="E232" s="3" t="str">
        <f ca="1">INDEX(Vehicles!$A$2:$A$21,RANDBETWEEN(1,20))</f>
        <v>V003</v>
      </c>
      <c r="F232" s="3" t="str">
        <f ca="1">INDEX(Drivers!$A$2:$A$31,RANDBETWEEN(1,30))</f>
        <v>D012</v>
      </c>
      <c r="G232" s="3">
        <f t="shared" ca="1" si="52"/>
        <v>14.6</v>
      </c>
      <c r="H232" s="3">
        <f t="shared" ca="1" si="53"/>
        <v>40999</v>
      </c>
      <c r="I232" s="3">
        <f t="shared" ca="1" si="54"/>
        <v>11480</v>
      </c>
      <c r="J232" s="3">
        <f t="shared" ca="1" si="55"/>
        <v>1344</v>
      </c>
      <c r="K232" s="3">
        <f t="shared" ca="1" si="56"/>
        <v>39</v>
      </c>
      <c r="L232" s="3">
        <f t="shared" ca="1" si="57"/>
        <v>42</v>
      </c>
      <c r="M232" s="3">
        <f t="shared" ca="1" si="58"/>
        <v>3</v>
      </c>
      <c r="N232" s="3" t="str">
        <f t="shared" ca="1" si="59"/>
        <v>Delayed</v>
      </c>
      <c r="O232" s="3" t="str">
        <f t="shared" ca="1" si="60"/>
        <v>Medium</v>
      </c>
      <c r="P232" s="3">
        <f t="shared" ca="1" si="61"/>
        <v>48.7</v>
      </c>
      <c r="Q232" s="1" t="str">
        <f ca="1">VLOOKUP(D232,Routes!$A$2:$D$31,2,FALSE)</f>
        <v>Delhi</v>
      </c>
      <c r="R232" s="1" t="str">
        <f ca="1">VLOOKUP(D232,Routes!$A$2:$D$31,3,FALSE)</f>
        <v>Lucknow</v>
      </c>
      <c r="S232" s="3">
        <f ca="1">VLOOKUP(D232,Routes!$A$2:$D$31,4,FALSE)</f>
        <v>550</v>
      </c>
      <c r="T232" s="3" t="str">
        <f ca="1">VLOOKUP(E232,Vehicles!$A$2:$D$21,2,FALSE)</f>
        <v>Truck</v>
      </c>
      <c r="U232" s="3">
        <f ca="1">VLOOKUP(E232,Vehicles!$A$2:$D$21,3,FALSE)</f>
        <v>25</v>
      </c>
      <c r="V232" s="3" t="str">
        <f ca="1">VLOOKUP(E232,Vehicles!$A$2:$D$21,4,FALSE)</f>
        <v>Diesel</v>
      </c>
      <c r="W232" s="3">
        <f ca="1">VLOOKUP(V232,Fuel_Rates!$A$2:$B$3,2,FALSE)</f>
        <v>95</v>
      </c>
      <c r="X232" s="3">
        <f t="shared" ca="1" si="63"/>
        <v>74.540000000000006</v>
      </c>
      <c r="Y232" s="3">
        <f t="shared" ca="1" si="64"/>
        <v>53823</v>
      </c>
      <c r="Z232" s="3" t="str">
        <f t="shared" ca="1" si="65"/>
        <v>Nov</v>
      </c>
      <c r="AA232" s="3" t="str">
        <f t="shared" ca="1" si="66"/>
        <v>Q4</v>
      </c>
      <c r="AB232" s="4" t="str">
        <f t="shared" ca="1" si="67"/>
        <v>Medium Haul</v>
      </c>
    </row>
    <row r="233" spans="1:28" x14ac:dyDescent="0.3">
      <c r="A233" s="8" t="str">
        <f t="shared" si="62"/>
        <v>S0232</v>
      </c>
      <c r="B233" s="3">
        <f t="shared" ca="1" si="51"/>
        <v>45851</v>
      </c>
      <c r="C233" s="3" t="str">
        <f ca="1">INDEX(Customers!$A$2:$A$21,RANDBETWEEN(1,20))</f>
        <v>C012</v>
      </c>
      <c r="D233" s="3" t="str">
        <f ca="1">INDEX(Routes!$A$2:$A$31,RANDBETWEEN(1,30))</f>
        <v>R006</v>
      </c>
      <c r="E233" s="3" t="str">
        <f ca="1">INDEX(Vehicles!$A$2:$A$21,RANDBETWEEN(1,20))</f>
        <v>V018</v>
      </c>
      <c r="F233" s="3" t="str">
        <f ca="1">INDEX(Drivers!$A$2:$A$31,RANDBETWEEN(1,30))</f>
        <v>D020</v>
      </c>
      <c r="G233" s="3">
        <f t="shared" ca="1" si="52"/>
        <v>6.4</v>
      </c>
      <c r="H233" s="3">
        <f t="shared" ca="1" si="53"/>
        <v>19190</v>
      </c>
      <c r="I233" s="3">
        <f t="shared" ca="1" si="54"/>
        <v>5373</v>
      </c>
      <c r="J233" s="3">
        <f t="shared" ca="1" si="55"/>
        <v>1773</v>
      </c>
      <c r="K233" s="3">
        <f t="shared" ca="1" si="56"/>
        <v>46</v>
      </c>
      <c r="L233" s="3">
        <f t="shared" ca="1" si="57"/>
        <v>53</v>
      </c>
      <c r="M233" s="3">
        <f t="shared" ca="1" si="58"/>
        <v>7</v>
      </c>
      <c r="N233" s="3" t="str">
        <f t="shared" ca="1" si="59"/>
        <v>Delayed</v>
      </c>
      <c r="O233" s="3" t="str">
        <f t="shared" ca="1" si="60"/>
        <v>Low</v>
      </c>
      <c r="P233" s="3">
        <f t="shared" ca="1" si="61"/>
        <v>21.3</v>
      </c>
      <c r="Q233" s="1" t="str">
        <f ca="1">VLOOKUP(D233,Routes!$A$2:$D$31,2,FALSE)</f>
        <v>Delhi</v>
      </c>
      <c r="R233" s="1" t="str">
        <f ca="1">VLOOKUP(D233,Routes!$A$2:$D$31,3,FALSE)</f>
        <v>Lucknow</v>
      </c>
      <c r="S233" s="3">
        <f ca="1">VLOOKUP(D233,Routes!$A$2:$D$31,4,FALSE)</f>
        <v>550</v>
      </c>
      <c r="T233" s="3" t="str">
        <f ca="1">VLOOKUP(E233,Vehicles!$A$2:$D$21,2,FALSE)</f>
        <v>Truck</v>
      </c>
      <c r="U233" s="3">
        <f ca="1">VLOOKUP(E233,Vehicles!$A$2:$D$21,3,FALSE)</f>
        <v>26</v>
      </c>
      <c r="V233" s="3" t="str">
        <f ca="1">VLOOKUP(E233,Vehicles!$A$2:$D$21,4,FALSE)</f>
        <v>Diesel</v>
      </c>
      <c r="W233" s="3">
        <f ca="1">VLOOKUP(V233,Fuel_Rates!$A$2:$B$3,2,FALSE)</f>
        <v>95</v>
      </c>
      <c r="X233" s="3">
        <f t="shared" ca="1" si="63"/>
        <v>34.89</v>
      </c>
      <c r="Y233" s="3">
        <f t="shared" ca="1" si="64"/>
        <v>26336</v>
      </c>
      <c r="Z233" s="3" t="str">
        <f t="shared" ca="1" si="65"/>
        <v>Jul</v>
      </c>
      <c r="AA233" s="3" t="str">
        <f t="shared" ca="1" si="66"/>
        <v>Q3</v>
      </c>
      <c r="AB233" s="4" t="str">
        <f t="shared" ca="1" si="67"/>
        <v>Medium Haul</v>
      </c>
    </row>
    <row r="234" spans="1:28" x14ac:dyDescent="0.3">
      <c r="A234" s="8" t="str">
        <f t="shared" si="62"/>
        <v>S0233</v>
      </c>
      <c r="B234" s="3">
        <f t="shared" ca="1" si="51"/>
        <v>45693</v>
      </c>
      <c r="C234" s="3" t="str">
        <f ca="1">INDEX(Customers!$A$2:$A$21,RANDBETWEEN(1,20))</f>
        <v>C004</v>
      </c>
      <c r="D234" s="3" t="str">
        <f ca="1">INDEX(Routes!$A$2:$A$31,RANDBETWEEN(1,30))</f>
        <v>R007</v>
      </c>
      <c r="E234" s="3" t="str">
        <f ca="1">INDEX(Vehicles!$A$2:$A$21,RANDBETWEEN(1,20))</f>
        <v>V020</v>
      </c>
      <c r="F234" s="3" t="str">
        <f ca="1">INDEX(Drivers!$A$2:$A$31,RANDBETWEEN(1,30))</f>
        <v>D016</v>
      </c>
      <c r="G234" s="3">
        <f t="shared" ca="1" si="52"/>
        <v>7.9</v>
      </c>
      <c r="H234" s="3">
        <f t="shared" ca="1" si="53"/>
        <v>23399</v>
      </c>
      <c r="I234" s="3">
        <f t="shared" ca="1" si="54"/>
        <v>6552</v>
      </c>
      <c r="J234" s="3">
        <f t="shared" ca="1" si="55"/>
        <v>1292</v>
      </c>
      <c r="K234" s="3">
        <f t="shared" ca="1" si="56"/>
        <v>44</v>
      </c>
      <c r="L234" s="3">
        <f t="shared" ca="1" si="57"/>
        <v>46</v>
      </c>
      <c r="M234" s="3">
        <f t="shared" ca="1" si="58"/>
        <v>2</v>
      </c>
      <c r="N234" s="3" t="str">
        <f t="shared" ca="1" si="59"/>
        <v>On Time</v>
      </c>
      <c r="O234" s="3" t="str">
        <f t="shared" ca="1" si="60"/>
        <v>Low</v>
      </c>
      <c r="P234" s="3">
        <f t="shared" ca="1" si="61"/>
        <v>26.3</v>
      </c>
      <c r="Q234" s="1" t="str">
        <f ca="1">VLOOKUP(D234,Routes!$A$2:$D$31,2,FALSE)</f>
        <v>Delhi</v>
      </c>
      <c r="R234" s="1" t="str">
        <f ca="1">VLOOKUP(D234,Routes!$A$2:$D$31,3,FALSE)</f>
        <v>Chandigarh</v>
      </c>
      <c r="S234" s="3">
        <f ca="1">VLOOKUP(D234,Routes!$A$2:$D$31,4,FALSE)</f>
        <v>250</v>
      </c>
      <c r="T234" s="3" t="str">
        <f ca="1">VLOOKUP(E234,Vehicles!$A$2:$D$21,2,FALSE)</f>
        <v>Container</v>
      </c>
      <c r="U234" s="3">
        <f ca="1">VLOOKUP(E234,Vehicles!$A$2:$D$21,3,FALSE)</f>
        <v>28</v>
      </c>
      <c r="V234" s="3" t="str">
        <f ca="1">VLOOKUP(E234,Vehicles!$A$2:$D$21,4,FALSE)</f>
        <v>Diesel</v>
      </c>
      <c r="W234" s="3">
        <f ca="1">VLOOKUP(V234,Fuel_Rates!$A$2:$B$3,2,FALSE)</f>
        <v>95</v>
      </c>
      <c r="X234" s="3">
        <f t="shared" ca="1" si="63"/>
        <v>93.6</v>
      </c>
      <c r="Y234" s="3">
        <f t="shared" ca="1" si="64"/>
        <v>31243</v>
      </c>
      <c r="Z234" s="3" t="str">
        <f t="shared" ca="1" si="65"/>
        <v>Feb</v>
      </c>
      <c r="AA234" s="3" t="str">
        <f t="shared" ca="1" si="66"/>
        <v>Q1</v>
      </c>
      <c r="AB234" s="4" t="str">
        <f t="shared" ca="1" si="67"/>
        <v>Short Haul</v>
      </c>
    </row>
    <row r="235" spans="1:28" x14ac:dyDescent="0.3">
      <c r="A235" s="8" t="str">
        <f t="shared" si="62"/>
        <v>S0234</v>
      </c>
      <c r="B235" s="3">
        <f t="shared" ca="1" si="51"/>
        <v>45976</v>
      </c>
      <c r="C235" s="3" t="str">
        <f ca="1">INDEX(Customers!$A$2:$A$21,RANDBETWEEN(1,20))</f>
        <v>C013</v>
      </c>
      <c r="D235" s="3" t="str">
        <f ca="1">INDEX(Routes!$A$2:$A$31,RANDBETWEEN(1,30))</f>
        <v>R004</v>
      </c>
      <c r="E235" s="3" t="str">
        <f ca="1">INDEX(Vehicles!$A$2:$A$21,RANDBETWEEN(1,20))</f>
        <v>V014</v>
      </c>
      <c r="F235" s="3" t="str">
        <f ca="1">INDEX(Drivers!$A$2:$A$31,RANDBETWEEN(1,30))</f>
        <v>D026</v>
      </c>
      <c r="G235" s="3">
        <f t="shared" ca="1" si="52"/>
        <v>19</v>
      </c>
      <c r="H235" s="3">
        <f t="shared" ca="1" si="53"/>
        <v>44204</v>
      </c>
      <c r="I235" s="3">
        <f t="shared" ca="1" si="54"/>
        <v>12377</v>
      </c>
      <c r="J235" s="3">
        <f t="shared" ca="1" si="55"/>
        <v>3124</v>
      </c>
      <c r="K235" s="3">
        <f t="shared" ca="1" si="56"/>
        <v>13</v>
      </c>
      <c r="L235" s="3">
        <f t="shared" ca="1" si="57"/>
        <v>19</v>
      </c>
      <c r="M235" s="3">
        <f t="shared" ca="1" si="58"/>
        <v>6</v>
      </c>
      <c r="N235" s="3" t="str">
        <f t="shared" ca="1" si="59"/>
        <v>Delayed</v>
      </c>
      <c r="O235" s="3" t="str">
        <f t="shared" ca="1" si="60"/>
        <v>High</v>
      </c>
      <c r="P235" s="3">
        <f t="shared" ca="1" si="61"/>
        <v>63.3</v>
      </c>
      <c r="Q235" s="1" t="str">
        <f ca="1">VLOOKUP(D235,Routes!$A$2:$D$31,2,FALSE)</f>
        <v>Mumbai</v>
      </c>
      <c r="R235" s="1" t="str">
        <f ca="1">VLOOKUP(D235,Routes!$A$2:$D$31,3,FALSE)</f>
        <v>Bengaluru</v>
      </c>
      <c r="S235" s="3">
        <f ca="1">VLOOKUP(D235,Routes!$A$2:$D$31,4,FALSE)</f>
        <v>980</v>
      </c>
      <c r="T235" s="3" t="str">
        <f ca="1">VLOOKUP(E235,Vehicles!$A$2:$D$21,2,FALSE)</f>
        <v>LCV</v>
      </c>
      <c r="U235" s="3">
        <f ca="1">VLOOKUP(E235,Vehicles!$A$2:$D$21,3,FALSE)</f>
        <v>6</v>
      </c>
      <c r="V235" s="3" t="str">
        <f ca="1">VLOOKUP(E235,Vehicles!$A$2:$D$21,4,FALSE)</f>
        <v>CNG</v>
      </c>
      <c r="W235" s="3">
        <f ca="1">VLOOKUP(V235,Fuel_Rates!$A$2:$B$3,2,FALSE)</f>
        <v>78</v>
      </c>
      <c r="X235" s="3">
        <f t="shared" ca="1" si="63"/>
        <v>45.11</v>
      </c>
      <c r="Y235" s="3">
        <f t="shared" ca="1" si="64"/>
        <v>59705</v>
      </c>
      <c r="Z235" s="3" t="str">
        <f t="shared" ca="1" si="65"/>
        <v>Nov</v>
      </c>
      <c r="AA235" s="3" t="str">
        <f t="shared" ca="1" si="66"/>
        <v>Q4</v>
      </c>
      <c r="AB235" s="4" t="str">
        <f t="shared" ca="1" si="67"/>
        <v>Long Haul</v>
      </c>
    </row>
    <row r="236" spans="1:28" x14ac:dyDescent="0.3">
      <c r="A236" s="8" t="str">
        <f t="shared" si="62"/>
        <v>S0235</v>
      </c>
      <c r="B236" s="3">
        <f t="shared" ca="1" si="51"/>
        <v>45809</v>
      </c>
      <c r="C236" s="3" t="str">
        <f ca="1">INDEX(Customers!$A$2:$A$21,RANDBETWEEN(1,20))</f>
        <v>C013</v>
      </c>
      <c r="D236" s="3" t="str">
        <f ca="1">INDEX(Routes!$A$2:$A$31,RANDBETWEEN(1,30))</f>
        <v>R005</v>
      </c>
      <c r="E236" s="3" t="str">
        <f ca="1">INDEX(Vehicles!$A$2:$A$21,RANDBETWEEN(1,20))</f>
        <v>V016</v>
      </c>
      <c r="F236" s="3" t="str">
        <f ca="1">INDEX(Drivers!$A$2:$A$31,RANDBETWEEN(1,30))</f>
        <v>D029</v>
      </c>
      <c r="G236" s="3">
        <f t="shared" ca="1" si="52"/>
        <v>28</v>
      </c>
      <c r="H236" s="3">
        <f t="shared" ca="1" si="53"/>
        <v>63407</v>
      </c>
      <c r="I236" s="3">
        <f t="shared" ca="1" si="54"/>
        <v>17754</v>
      </c>
      <c r="J236" s="3">
        <f t="shared" ca="1" si="55"/>
        <v>1271</v>
      </c>
      <c r="K236" s="3">
        <f t="shared" ca="1" si="56"/>
        <v>29</v>
      </c>
      <c r="L236" s="3">
        <f t="shared" ca="1" si="57"/>
        <v>29</v>
      </c>
      <c r="M236" s="3">
        <f t="shared" ca="1" si="58"/>
        <v>0</v>
      </c>
      <c r="N236" s="3" t="str">
        <f t="shared" ca="1" si="59"/>
        <v>On Time</v>
      </c>
      <c r="O236" s="3" t="str">
        <f t="shared" ca="1" si="60"/>
        <v>Low</v>
      </c>
      <c r="P236" s="3">
        <f t="shared" ca="1" si="61"/>
        <v>93.3</v>
      </c>
      <c r="Q236" s="1" t="str">
        <f ca="1">VLOOKUP(D236,Routes!$A$2:$D$31,2,FALSE)</f>
        <v>Delhi</v>
      </c>
      <c r="R236" s="1" t="str">
        <f ca="1">VLOOKUP(D236,Routes!$A$2:$D$31,3,FALSE)</f>
        <v>Jaipur</v>
      </c>
      <c r="S236" s="3">
        <f ca="1">VLOOKUP(D236,Routes!$A$2:$D$31,4,FALSE)</f>
        <v>280</v>
      </c>
      <c r="T236" s="3" t="str">
        <f ca="1">VLOOKUP(E236,Vehicles!$A$2:$D$21,2,FALSE)</f>
        <v>Container</v>
      </c>
      <c r="U236" s="3">
        <f ca="1">VLOOKUP(E236,Vehicles!$A$2:$D$21,3,FALSE)</f>
        <v>22</v>
      </c>
      <c r="V236" s="3" t="str">
        <f ca="1">VLOOKUP(E236,Vehicles!$A$2:$D$21,4,FALSE)</f>
        <v>Diesel</v>
      </c>
      <c r="W236" s="3">
        <f ca="1">VLOOKUP(V236,Fuel_Rates!$A$2:$B$3,2,FALSE)</f>
        <v>95</v>
      </c>
      <c r="X236" s="3">
        <f t="shared" ca="1" si="63"/>
        <v>226.45</v>
      </c>
      <c r="Y236" s="3">
        <f t="shared" ca="1" si="64"/>
        <v>82432</v>
      </c>
      <c r="Z236" s="3" t="str">
        <f t="shared" ca="1" si="65"/>
        <v>Jun</v>
      </c>
      <c r="AA236" s="3" t="str">
        <f t="shared" ca="1" si="66"/>
        <v>Q2</v>
      </c>
      <c r="AB236" s="4" t="str">
        <f t="shared" ca="1" si="67"/>
        <v>Short Haul</v>
      </c>
    </row>
    <row r="237" spans="1:28" x14ac:dyDescent="0.3">
      <c r="A237" s="8" t="str">
        <f t="shared" si="62"/>
        <v>S0236</v>
      </c>
      <c r="B237" s="3">
        <f t="shared" ca="1" si="51"/>
        <v>45672</v>
      </c>
      <c r="C237" s="3" t="str">
        <f ca="1">INDEX(Customers!$A$2:$A$21,RANDBETWEEN(1,20))</f>
        <v>C019</v>
      </c>
      <c r="D237" s="3" t="str">
        <f ca="1">INDEX(Routes!$A$2:$A$31,RANDBETWEEN(1,30))</f>
        <v>R030</v>
      </c>
      <c r="E237" s="3" t="str">
        <f ca="1">INDEX(Vehicles!$A$2:$A$21,RANDBETWEEN(1,20))</f>
        <v>V008</v>
      </c>
      <c r="F237" s="3" t="str">
        <f ca="1">INDEX(Drivers!$A$2:$A$31,RANDBETWEEN(1,30))</f>
        <v>D019</v>
      </c>
      <c r="G237" s="3">
        <f t="shared" ca="1" si="52"/>
        <v>6.3</v>
      </c>
      <c r="H237" s="3">
        <f t="shared" ca="1" si="53"/>
        <v>24378</v>
      </c>
      <c r="I237" s="3">
        <f t="shared" ca="1" si="54"/>
        <v>6826</v>
      </c>
      <c r="J237" s="3">
        <f t="shared" ca="1" si="55"/>
        <v>911</v>
      </c>
      <c r="K237" s="3">
        <f t="shared" ca="1" si="56"/>
        <v>23</v>
      </c>
      <c r="L237" s="3">
        <f t="shared" ca="1" si="57"/>
        <v>30</v>
      </c>
      <c r="M237" s="3">
        <f t="shared" ca="1" si="58"/>
        <v>7</v>
      </c>
      <c r="N237" s="3" t="str">
        <f t="shared" ca="1" si="59"/>
        <v>Delayed</v>
      </c>
      <c r="O237" s="3" t="str">
        <f t="shared" ca="1" si="60"/>
        <v>Medium</v>
      </c>
      <c r="P237" s="3">
        <f t="shared" ca="1" si="61"/>
        <v>21</v>
      </c>
      <c r="Q237" s="1" t="str">
        <f ca="1">VLOOKUP(D237,Routes!$A$2:$D$31,2,FALSE)</f>
        <v>Bhubaneswar</v>
      </c>
      <c r="R237" s="1" t="str">
        <f ca="1">VLOOKUP(D237,Routes!$A$2:$D$31,3,FALSE)</f>
        <v>Kolkata</v>
      </c>
      <c r="S237" s="3">
        <f ca="1">VLOOKUP(D237,Routes!$A$2:$D$31,4,FALSE)</f>
        <v>440</v>
      </c>
      <c r="T237" s="3" t="str">
        <f ca="1">VLOOKUP(E237,Vehicles!$A$2:$D$21,2,FALSE)</f>
        <v>Container</v>
      </c>
      <c r="U237" s="3">
        <f ca="1">VLOOKUP(E237,Vehicles!$A$2:$D$21,3,FALSE)</f>
        <v>25</v>
      </c>
      <c r="V237" s="3" t="str">
        <f ca="1">VLOOKUP(E237,Vehicles!$A$2:$D$21,4,FALSE)</f>
        <v>Diesel</v>
      </c>
      <c r="W237" s="3">
        <f ca="1">VLOOKUP(V237,Fuel_Rates!$A$2:$B$3,2,FALSE)</f>
        <v>95</v>
      </c>
      <c r="X237" s="3">
        <f t="shared" ca="1" si="63"/>
        <v>55.4</v>
      </c>
      <c r="Y237" s="3">
        <f t="shared" ca="1" si="64"/>
        <v>32115</v>
      </c>
      <c r="Z237" s="3" t="str">
        <f t="shared" ca="1" si="65"/>
        <v>Jan</v>
      </c>
      <c r="AA237" s="3" t="str">
        <f t="shared" ca="1" si="66"/>
        <v>Q1</v>
      </c>
      <c r="AB237" s="4" t="str">
        <f t="shared" ca="1" si="67"/>
        <v>Medium Haul</v>
      </c>
    </row>
    <row r="238" spans="1:28" x14ac:dyDescent="0.3">
      <c r="A238" s="8" t="str">
        <f t="shared" si="62"/>
        <v>S0237</v>
      </c>
      <c r="B238" s="3">
        <f t="shared" ca="1" si="51"/>
        <v>45928</v>
      </c>
      <c r="C238" s="3" t="str">
        <f ca="1">INDEX(Customers!$A$2:$A$21,RANDBETWEEN(1,20))</f>
        <v>C001</v>
      </c>
      <c r="D238" s="3" t="str">
        <f ca="1">INDEX(Routes!$A$2:$A$31,RANDBETWEEN(1,30))</f>
        <v>R014</v>
      </c>
      <c r="E238" s="3" t="str">
        <f ca="1">INDEX(Vehicles!$A$2:$A$21,RANDBETWEEN(1,20))</f>
        <v>V002</v>
      </c>
      <c r="F238" s="3" t="str">
        <f ca="1">INDEX(Drivers!$A$2:$A$31,RANDBETWEEN(1,30))</f>
        <v>D026</v>
      </c>
      <c r="G238" s="3">
        <f t="shared" ca="1" si="52"/>
        <v>8.8000000000000007</v>
      </c>
      <c r="H238" s="3">
        <f t="shared" ca="1" si="53"/>
        <v>21367</v>
      </c>
      <c r="I238" s="3">
        <f t="shared" ca="1" si="54"/>
        <v>5983</v>
      </c>
      <c r="J238" s="3">
        <f t="shared" ca="1" si="55"/>
        <v>1164</v>
      </c>
      <c r="K238" s="3">
        <f t="shared" ca="1" si="56"/>
        <v>39</v>
      </c>
      <c r="L238" s="3">
        <f t="shared" ca="1" si="57"/>
        <v>47</v>
      </c>
      <c r="M238" s="3">
        <f t="shared" ca="1" si="58"/>
        <v>8</v>
      </c>
      <c r="N238" s="3" t="str">
        <f t="shared" ca="1" si="59"/>
        <v>Delayed</v>
      </c>
      <c r="O238" s="3" t="str">
        <f t="shared" ca="1" si="60"/>
        <v>Low</v>
      </c>
      <c r="P238" s="3">
        <f t="shared" ca="1" si="61"/>
        <v>29.3</v>
      </c>
      <c r="Q238" s="1" t="str">
        <f ca="1">VLOOKUP(D238,Routes!$A$2:$D$31,2,FALSE)</f>
        <v>Hyderabad</v>
      </c>
      <c r="R238" s="1" t="str">
        <f ca="1">VLOOKUP(D238,Routes!$A$2:$D$31,3,FALSE)</f>
        <v>Nagpur</v>
      </c>
      <c r="S238" s="3">
        <f ca="1">VLOOKUP(D238,Routes!$A$2:$D$31,4,FALSE)</f>
        <v>500</v>
      </c>
      <c r="T238" s="3" t="str">
        <f ca="1">VLOOKUP(E238,Vehicles!$A$2:$D$21,2,FALSE)</f>
        <v>Truck</v>
      </c>
      <c r="U238" s="3">
        <f ca="1">VLOOKUP(E238,Vehicles!$A$2:$D$21,3,FALSE)</f>
        <v>20</v>
      </c>
      <c r="V238" s="3" t="str">
        <f ca="1">VLOOKUP(E238,Vehicles!$A$2:$D$21,4,FALSE)</f>
        <v>Diesel</v>
      </c>
      <c r="W238" s="3">
        <f ca="1">VLOOKUP(V238,Fuel_Rates!$A$2:$B$3,2,FALSE)</f>
        <v>95</v>
      </c>
      <c r="X238" s="3">
        <f t="shared" ca="1" si="63"/>
        <v>42.73</v>
      </c>
      <c r="Y238" s="3">
        <f t="shared" ca="1" si="64"/>
        <v>28514</v>
      </c>
      <c r="Z238" s="3" t="str">
        <f t="shared" ca="1" si="65"/>
        <v>Sep</v>
      </c>
      <c r="AA238" s="3" t="str">
        <f t="shared" ca="1" si="66"/>
        <v>Q3</v>
      </c>
      <c r="AB238" s="4" t="str">
        <f t="shared" ca="1" si="67"/>
        <v>Medium Haul</v>
      </c>
    </row>
    <row r="239" spans="1:28" x14ac:dyDescent="0.3">
      <c r="A239" s="8" t="str">
        <f t="shared" si="62"/>
        <v>S0238</v>
      </c>
      <c r="B239" s="3">
        <f t="shared" ca="1" si="51"/>
        <v>45823</v>
      </c>
      <c r="C239" s="3" t="str">
        <f ca="1">INDEX(Customers!$A$2:$A$21,RANDBETWEEN(1,20))</f>
        <v>C006</v>
      </c>
      <c r="D239" s="3" t="str">
        <f ca="1">INDEX(Routes!$A$2:$A$31,RANDBETWEEN(1,30))</f>
        <v>R011</v>
      </c>
      <c r="E239" s="3" t="str">
        <f ca="1">INDEX(Vehicles!$A$2:$A$21,RANDBETWEEN(1,20))</f>
        <v>V009</v>
      </c>
      <c r="F239" s="3" t="str">
        <f ca="1">INDEX(Drivers!$A$2:$A$31,RANDBETWEEN(1,30))</f>
        <v>D028</v>
      </c>
      <c r="G239" s="3">
        <f t="shared" ca="1" si="52"/>
        <v>18.8</v>
      </c>
      <c r="H239" s="3">
        <f t="shared" ca="1" si="53"/>
        <v>38173</v>
      </c>
      <c r="I239" s="3">
        <f t="shared" ca="1" si="54"/>
        <v>10688</v>
      </c>
      <c r="J239" s="3">
        <f t="shared" ca="1" si="55"/>
        <v>526</v>
      </c>
      <c r="K239" s="3">
        <f t="shared" ca="1" si="56"/>
        <v>22</v>
      </c>
      <c r="L239" s="3">
        <f t="shared" ca="1" si="57"/>
        <v>30</v>
      </c>
      <c r="M239" s="3">
        <f t="shared" ca="1" si="58"/>
        <v>8</v>
      </c>
      <c r="N239" s="3" t="str">
        <f t="shared" ca="1" si="59"/>
        <v>Delayed</v>
      </c>
      <c r="O239" s="3" t="str">
        <f t="shared" ca="1" si="60"/>
        <v>Medium</v>
      </c>
      <c r="P239" s="3">
        <f t="shared" ca="1" si="61"/>
        <v>62.7</v>
      </c>
      <c r="Q239" s="1" t="str">
        <f ca="1">VLOOKUP(D239,Routes!$A$2:$D$31,2,FALSE)</f>
        <v>Bengaluru</v>
      </c>
      <c r="R239" s="1" t="str">
        <f ca="1">VLOOKUP(D239,Routes!$A$2:$D$31,3,FALSE)</f>
        <v>Kochi</v>
      </c>
      <c r="S239" s="3">
        <f ca="1">VLOOKUP(D239,Routes!$A$2:$D$31,4,FALSE)</f>
        <v>550</v>
      </c>
      <c r="T239" s="3" t="str">
        <f ca="1">VLOOKUP(E239,Vehicles!$A$2:$D$21,2,FALSE)</f>
        <v>LCV</v>
      </c>
      <c r="U239" s="3">
        <f ca="1">VLOOKUP(E239,Vehicles!$A$2:$D$21,3,FALSE)</f>
        <v>5</v>
      </c>
      <c r="V239" s="3" t="str">
        <f ca="1">VLOOKUP(E239,Vehicles!$A$2:$D$21,4,FALSE)</f>
        <v>Diesel</v>
      </c>
      <c r="W239" s="3">
        <f ca="1">VLOOKUP(V239,Fuel_Rates!$A$2:$B$3,2,FALSE)</f>
        <v>95</v>
      </c>
      <c r="X239" s="3">
        <f t="shared" ca="1" si="63"/>
        <v>69.41</v>
      </c>
      <c r="Y239" s="3">
        <f t="shared" ca="1" si="64"/>
        <v>49387</v>
      </c>
      <c r="Z239" s="3" t="str">
        <f t="shared" ca="1" si="65"/>
        <v>Jun</v>
      </c>
      <c r="AA239" s="3" t="str">
        <f t="shared" ca="1" si="66"/>
        <v>Q2</v>
      </c>
      <c r="AB239" s="4" t="str">
        <f t="shared" ca="1" si="67"/>
        <v>Medium Haul</v>
      </c>
    </row>
    <row r="240" spans="1:28" x14ac:dyDescent="0.3">
      <c r="A240" s="8" t="str">
        <f t="shared" si="62"/>
        <v>S0239</v>
      </c>
      <c r="B240" s="3">
        <f t="shared" ca="1" si="51"/>
        <v>45735</v>
      </c>
      <c r="C240" s="3" t="str">
        <f ca="1">INDEX(Customers!$A$2:$A$21,RANDBETWEEN(1,20))</f>
        <v>C019</v>
      </c>
      <c r="D240" s="3" t="str">
        <f ca="1">INDEX(Routes!$A$2:$A$31,RANDBETWEEN(1,30))</f>
        <v>R030</v>
      </c>
      <c r="E240" s="3" t="str">
        <f ca="1">INDEX(Vehicles!$A$2:$A$21,RANDBETWEEN(1,20))</f>
        <v>V020</v>
      </c>
      <c r="F240" s="3" t="str">
        <f ca="1">INDEX(Drivers!$A$2:$A$31,RANDBETWEEN(1,30))</f>
        <v>D021</v>
      </c>
      <c r="G240" s="3">
        <f t="shared" ca="1" si="52"/>
        <v>4.5999999999999996</v>
      </c>
      <c r="H240" s="3">
        <f t="shared" ca="1" si="53"/>
        <v>22821</v>
      </c>
      <c r="I240" s="3">
        <f t="shared" ca="1" si="54"/>
        <v>6390</v>
      </c>
      <c r="J240" s="3">
        <f t="shared" ca="1" si="55"/>
        <v>3637</v>
      </c>
      <c r="K240" s="3">
        <f t="shared" ca="1" si="56"/>
        <v>48</v>
      </c>
      <c r="L240" s="3">
        <f t="shared" ca="1" si="57"/>
        <v>50</v>
      </c>
      <c r="M240" s="3">
        <f t="shared" ca="1" si="58"/>
        <v>2</v>
      </c>
      <c r="N240" s="3" t="str">
        <f t="shared" ca="1" si="59"/>
        <v>On Time</v>
      </c>
      <c r="O240" s="3" t="str">
        <f t="shared" ca="1" si="60"/>
        <v>Medium</v>
      </c>
      <c r="P240" s="3">
        <f t="shared" ca="1" si="61"/>
        <v>15.3</v>
      </c>
      <c r="Q240" s="1" t="str">
        <f ca="1">VLOOKUP(D240,Routes!$A$2:$D$31,2,FALSE)</f>
        <v>Bhubaneswar</v>
      </c>
      <c r="R240" s="1" t="str">
        <f ca="1">VLOOKUP(D240,Routes!$A$2:$D$31,3,FALSE)</f>
        <v>Kolkata</v>
      </c>
      <c r="S240" s="3">
        <f ca="1">VLOOKUP(D240,Routes!$A$2:$D$31,4,FALSE)</f>
        <v>440</v>
      </c>
      <c r="T240" s="3" t="str">
        <f ca="1">VLOOKUP(E240,Vehicles!$A$2:$D$21,2,FALSE)</f>
        <v>Container</v>
      </c>
      <c r="U240" s="3">
        <f ca="1">VLOOKUP(E240,Vehicles!$A$2:$D$21,3,FALSE)</f>
        <v>28</v>
      </c>
      <c r="V240" s="3" t="str">
        <f ca="1">VLOOKUP(E240,Vehicles!$A$2:$D$21,4,FALSE)</f>
        <v>Diesel</v>
      </c>
      <c r="W240" s="3">
        <f ca="1">VLOOKUP(V240,Fuel_Rates!$A$2:$B$3,2,FALSE)</f>
        <v>95</v>
      </c>
      <c r="X240" s="3">
        <f t="shared" ca="1" si="63"/>
        <v>51.87</v>
      </c>
      <c r="Y240" s="3">
        <f t="shared" ca="1" si="64"/>
        <v>32848</v>
      </c>
      <c r="Z240" s="3" t="str">
        <f t="shared" ca="1" si="65"/>
        <v>Mar</v>
      </c>
      <c r="AA240" s="3" t="str">
        <f t="shared" ca="1" si="66"/>
        <v>Q1</v>
      </c>
      <c r="AB240" s="4" t="str">
        <f t="shared" ca="1" si="67"/>
        <v>Medium Haul</v>
      </c>
    </row>
    <row r="241" spans="1:28" x14ac:dyDescent="0.3">
      <c r="A241" s="8" t="str">
        <f t="shared" si="62"/>
        <v>S0240</v>
      </c>
      <c r="B241" s="3">
        <f t="shared" ca="1" si="51"/>
        <v>45700</v>
      </c>
      <c r="C241" s="3" t="str">
        <f ca="1">INDEX(Customers!$A$2:$A$21,RANDBETWEEN(1,20))</f>
        <v>C015</v>
      </c>
      <c r="D241" s="3" t="str">
        <f ca="1">INDEX(Routes!$A$2:$A$31,RANDBETWEEN(1,30))</f>
        <v>R019</v>
      </c>
      <c r="E241" s="3" t="str">
        <f ca="1">INDEX(Vehicles!$A$2:$A$21,RANDBETWEEN(1,20))</f>
        <v>V017</v>
      </c>
      <c r="F241" s="3" t="str">
        <f ca="1">INDEX(Drivers!$A$2:$A$31,RANDBETWEEN(1,30))</f>
        <v>D012</v>
      </c>
      <c r="G241" s="3">
        <f t="shared" ca="1" si="52"/>
        <v>13.5</v>
      </c>
      <c r="H241" s="3">
        <f t="shared" ca="1" si="53"/>
        <v>37796</v>
      </c>
      <c r="I241" s="3">
        <f t="shared" ca="1" si="54"/>
        <v>10583</v>
      </c>
      <c r="J241" s="3">
        <f t="shared" ca="1" si="55"/>
        <v>2429</v>
      </c>
      <c r="K241" s="3">
        <f t="shared" ca="1" si="56"/>
        <v>9</v>
      </c>
      <c r="L241" s="3">
        <f t="shared" ca="1" si="57"/>
        <v>15</v>
      </c>
      <c r="M241" s="3">
        <f t="shared" ca="1" si="58"/>
        <v>6</v>
      </c>
      <c r="N241" s="3" t="str">
        <f t="shared" ca="1" si="59"/>
        <v>Delayed</v>
      </c>
      <c r="O241" s="3" t="str">
        <f t="shared" ca="1" si="60"/>
        <v>High</v>
      </c>
      <c r="P241" s="3">
        <f t="shared" ca="1" si="61"/>
        <v>45</v>
      </c>
      <c r="Q241" s="1" t="str">
        <f ca="1">VLOOKUP(D241,Routes!$A$2:$D$31,2,FALSE)</f>
        <v>Ahmedabad</v>
      </c>
      <c r="R241" s="1" t="str">
        <f ca="1">VLOOKUP(D241,Routes!$A$2:$D$31,3,FALSE)</f>
        <v>Indore</v>
      </c>
      <c r="S241" s="3">
        <f ca="1">VLOOKUP(D241,Routes!$A$2:$D$31,4,FALSE)</f>
        <v>390</v>
      </c>
      <c r="T241" s="3" t="str">
        <f ca="1">VLOOKUP(E241,Vehicles!$A$2:$D$21,2,FALSE)</f>
        <v>Truck</v>
      </c>
      <c r="U241" s="3">
        <f ca="1">VLOOKUP(E241,Vehicles!$A$2:$D$21,3,FALSE)</f>
        <v>24</v>
      </c>
      <c r="V241" s="3" t="str">
        <f ca="1">VLOOKUP(E241,Vehicles!$A$2:$D$21,4,FALSE)</f>
        <v>Diesel</v>
      </c>
      <c r="W241" s="3">
        <f ca="1">VLOOKUP(V241,Fuel_Rates!$A$2:$B$3,2,FALSE)</f>
        <v>95</v>
      </c>
      <c r="X241" s="3">
        <f t="shared" ca="1" si="63"/>
        <v>96.91</v>
      </c>
      <c r="Y241" s="3">
        <f t="shared" ca="1" si="64"/>
        <v>50808</v>
      </c>
      <c r="Z241" s="3" t="str">
        <f t="shared" ca="1" si="65"/>
        <v>Feb</v>
      </c>
      <c r="AA241" s="3" t="str">
        <f t="shared" ca="1" si="66"/>
        <v>Q1</v>
      </c>
      <c r="AB241" s="4" t="str">
        <f t="shared" ca="1" si="67"/>
        <v>Medium Haul</v>
      </c>
    </row>
    <row r="242" spans="1:28" x14ac:dyDescent="0.3">
      <c r="A242" s="8" t="str">
        <f t="shared" si="62"/>
        <v>S0241</v>
      </c>
      <c r="B242" s="3">
        <f t="shared" ca="1" si="51"/>
        <v>45785</v>
      </c>
      <c r="C242" s="3" t="str">
        <f ca="1">INDEX(Customers!$A$2:$A$21,RANDBETWEEN(1,20))</f>
        <v>C020</v>
      </c>
      <c r="D242" s="3" t="str">
        <f ca="1">INDEX(Routes!$A$2:$A$31,RANDBETWEEN(1,30))</f>
        <v>R010</v>
      </c>
      <c r="E242" s="3" t="str">
        <f ca="1">INDEX(Vehicles!$A$2:$A$21,RANDBETWEEN(1,20))</f>
        <v>V019</v>
      </c>
      <c r="F242" s="3" t="str">
        <f ca="1">INDEX(Drivers!$A$2:$A$31,RANDBETWEEN(1,30))</f>
        <v>D030</v>
      </c>
      <c r="G242" s="3">
        <f t="shared" ca="1" si="52"/>
        <v>23.8</v>
      </c>
      <c r="H242" s="3">
        <f t="shared" ca="1" si="53"/>
        <v>46889</v>
      </c>
      <c r="I242" s="3">
        <f t="shared" ca="1" si="54"/>
        <v>13129</v>
      </c>
      <c r="J242" s="3">
        <f t="shared" ca="1" si="55"/>
        <v>2665</v>
      </c>
      <c r="K242" s="3">
        <f t="shared" ca="1" si="56"/>
        <v>20</v>
      </c>
      <c r="L242" s="3">
        <f t="shared" ca="1" si="57"/>
        <v>28</v>
      </c>
      <c r="M242" s="3">
        <f t="shared" ca="1" si="58"/>
        <v>8</v>
      </c>
      <c r="N242" s="3" t="str">
        <f t="shared" ca="1" si="59"/>
        <v>Delayed</v>
      </c>
      <c r="O242" s="3" t="str">
        <f t="shared" ca="1" si="60"/>
        <v>Medium</v>
      </c>
      <c r="P242" s="3">
        <f t="shared" ca="1" si="61"/>
        <v>79.3</v>
      </c>
      <c r="Q242" s="1" t="str">
        <f ca="1">VLOOKUP(D242,Routes!$A$2:$D$31,2,FALSE)</f>
        <v>Bengaluru</v>
      </c>
      <c r="R242" s="1" t="str">
        <f ca="1">VLOOKUP(D242,Routes!$A$2:$D$31,3,FALSE)</f>
        <v>Hyderabad</v>
      </c>
      <c r="S242" s="3">
        <f ca="1">VLOOKUP(D242,Routes!$A$2:$D$31,4,FALSE)</f>
        <v>570</v>
      </c>
      <c r="T242" s="3" t="str">
        <f ca="1">VLOOKUP(E242,Vehicles!$A$2:$D$21,2,FALSE)</f>
        <v>Trailer</v>
      </c>
      <c r="U242" s="3">
        <f ca="1">VLOOKUP(E242,Vehicles!$A$2:$D$21,3,FALSE)</f>
        <v>35</v>
      </c>
      <c r="V242" s="3" t="str">
        <f ca="1">VLOOKUP(E242,Vehicles!$A$2:$D$21,4,FALSE)</f>
        <v>Diesel</v>
      </c>
      <c r="W242" s="3">
        <f ca="1">VLOOKUP(V242,Fuel_Rates!$A$2:$B$3,2,FALSE)</f>
        <v>95</v>
      </c>
      <c r="X242" s="3">
        <f t="shared" ca="1" si="63"/>
        <v>82.26</v>
      </c>
      <c r="Y242" s="3">
        <f t="shared" ca="1" si="64"/>
        <v>62683</v>
      </c>
      <c r="Z242" s="3" t="str">
        <f t="shared" ca="1" si="65"/>
        <v>May</v>
      </c>
      <c r="AA242" s="3" t="str">
        <f t="shared" ca="1" si="66"/>
        <v>Q2</v>
      </c>
      <c r="AB242" s="4" t="str">
        <f t="shared" ca="1" si="67"/>
        <v>Medium Haul</v>
      </c>
    </row>
    <row r="243" spans="1:28" x14ac:dyDescent="0.3">
      <c r="A243" s="8" t="str">
        <f t="shared" si="62"/>
        <v>S0242</v>
      </c>
      <c r="B243" s="3">
        <f t="shared" ca="1" si="51"/>
        <v>45994</v>
      </c>
      <c r="C243" s="3" t="str">
        <f ca="1">INDEX(Customers!$A$2:$A$21,RANDBETWEEN(1,20))</f>
        <v>C009</v>
      </c>
      <c r="D243" s="3" t="str">
        <f ca="1">INDEX(Routes!$A$2:$A$31,RANDBETWEEN(1,30))</f>
        <v>R010</v>
      </c>
      <c r="E243" s="3" t="str">
        <f ca="1">INDEX(Vehicles!$A$2:$A$21,RANDBETWEEN(1,20))</f>
        <v>V013</v>
      </c>
      <c r="F243" s="3" t="str">
        <f ca="1">INDEX(Drivers!$A$2:$A$31,RANDBETWEEN(1,30))</f>
        <v>D021</v>
      </c>
      <c r="G243" s="3">
        <f t="shared" ca="1" si="52"/>
        <v>3.2</v>
      </c>
      <c r="H243" s="3">
        <f t="shared" ca="1" si="53"/>
        <v>20364</v>
      </c>
      <c r="I243" s="3">
        <f t="shared" ca="1" si="54"/>
        <v>5702</v>
      </c>
      <c r="J243" s="3">
        <f t="shared" ca="1" si="55"/>
        <v>1612</v>
      </c>
      <c r="K243" s="3">
        <f t="shared" ca="1" si="56"/>
        <v>23</v>
      </c>
      <c r="L243" s="3">
        <f t="shared" ca="1" si="57"/>
        <v>24</v>
      </c>
      <c r="M243" s="3">
        <f t="shared" ca="1" si="58"/>
        <v>1</v>
      </c>
      <c r="N243" s="3" t="str">
        <f t="shared" ca="1" si="59"/>
        <v>On Time</v>
      </c>
      <c r="O243" s="3" t="str">
        <f t="shared" ca="1" si="60"/>
        <v>High</v>
      </c>
      <c r="P243" s="3">
        <f t="shared" ca="1" si="61"/>
        <v>10.7</v>
      </c>
      <c r="Q243" s="1" t="str">
        <f ca="1">VLOOKUP(D243,Routes!$A$2:$D$31,2,FALSE)</f>
        <v>Bengaluru</v>
      </c>
      <c r="R243" s="1" t="str">
        <f ca="1">VLOOKUP(D243,Routes!$A$2:$D$31,3,FALSE)</f>
        <v>Hyderabad</v>
      </c>
      <c r="S243" s="3">
        <f ca="1">VLOOKUP(D243,Routes!$A$2:$D$31,4,FALSE)</f>
        <v>570</v>
      </c>
      <c r="T243" s="3" t="str">
        <f ca="1">VLOOKUP(E243,Vehicles!$A$2:$D$21,2,FALSE)</f>
        <v>LCV</v>
      </c>
      <c r="U243" s="3">
        <f ca="1">VLOOKUP(E243,Vehicles!$A$2:$D$21,3,FALSE)</f>
        <v>4</v>
      </c>
      <c r="V243" s="3" t="str">
        <f ca="1">VLOOKUP(E243,Vehicles!$A$2:$D$21,4,FALSE)</f>
        <v>CNG</v>
      </c>
      <c r="W243" s="3">
        <f ca="1">VLOOKUP(V243,Fuel_Rates!$A$2:$B$3,2,FALSE)</f>
        <v>78</v>
      </c>
      <c r="X243" s="3">
        <f t="shared" ca="1" si="63"/>
        <v>35.729999999999997</v>
      </c>
      <c r="Y243" s="3">
        <f t="shared" ca="1" si="64"/>
        <v>27678</v>
      </c>
      <c r="Z243" s="3" t="str">
        <f t="shared" ca="1" si="65"/>
        <v>Dec</v>
      </c>
      <c r="AA243" s="3" t="str">
        <f t="shared" ca="1" si="66"/>
        <v>Q4</v>
      </c>
      <c r="AB243" s="4" t="str">
        <f t="shared" ca="1" si="67"/>
        <v>Medium Haul</v>
      </c>
    </row>
    <row r="244" spans="1:28" x14ac:dyDescent="0.3">
      <c r="A244" s="8" t="str">
        <f t="shared" si="62"/>
        <v>S0243</v>
      </c>
      <c r="B244" s="3">
        <f t="shared" ca="1" si="51"/>
        <v>45980</v>
      </c>
      <c r="C244" s="3" t="str">
        <f ca="1">INDEX(Customers!$A$2:$A$21,RANDBETWEEN(1,20))</f>
        <v>C018</v>
      </c>
      <c r="D244" s="3" t="str">
        <f ca="1">INDEX(Routes!$A$2:$A$31,RANDBETWEEN(1,30))</f>
        <v>R025</v>
      </c>
      <c r="E244" s="3" t="str">
        <f ca="1">INDEX(Vehicles!$A$2:$A$21,RANDBETWEEN(1,20))</f>
        <v>V018</v>
      </c>
      <c r="F244" s="3" t="str">
        <f ca="1">INDEX(Drivers!$A$2:$A$31,RANDBETWEEN(1,30))</f>
        <v>D019</v>
      </c>
      <c r="G244" s="3">
        <f t="shared" ca="1" si="52"/>
        <v>14.6</v>
      </c>
      <c r="H244" s="3">
        <f t="shared" ca="1" si="53"/>
        <v>29296</v>
      </c>
      <c r="I244" s="3">
        <f t="shared" ca="1" si="54"/>
        <v>8203</v>
      </c>
      <c r="J244" s="3">
        <f t="shared" ca="1" si="55"/>
        <v>3262</v>
      </c>
      <c r="K244" s="3">
        <f t="shared" ca="1" si="56"/>
        <v>48</v>
      </c>
      <c r="L244" s="3">
        <f t="shared" ca="1" si="57"/>
        <v>48</v>
      </c>
      <c r="M244" s="3">
        <f t="shared" ca="1" si="58"/>
        <v>0</v>
      </c>
      <c r="N244" s="3" t="str">
        <f t="shared" ca="1" si="59"/>
        <v>On Time</v>
      </c>
      <c r="O244" s="3" t="str">
        <f t="shared" ca="1" si="60"/>
        <v>Medium</v>
      </c>
      <c r="P244" s="3">
        <f t="shared" ca="1" si="61"/>
        <v>48.7</v>
      </c>
      <c r="Q244" s="1" t="str">
        <f ca="1">VLOOKUP(D244,Routes!$A$2:$D$31,2,FALSE)</f>
        <v>Visakhapatnam</v>
      </c>
      <c r="R244" s="1" t="str">
        <f ca="1">VLOOKUP(D244,Routes!$A$2:$D$31,3,FALSE)</f>
        <v>Hyderabad</v>
      </c>
      <c r="S244" s="3">
        <f ca="1">VLOOKUP(D244,Routes!$A$2:$D$31,4,FALSE)</f>
        <v>620</v>
      </c>
      <c r="T244" s="3" t="str">
        <f ca="1">VLOOKUP(E244,Vehicles!$A$2:$D$21,2,FALSE)</f>
        <v>Truck</v>
      </c>
      <c r="U244" s="3">
        <f ca="1">VLOOKUP(E244,Vehicles!$A$2:$D$21,3,FALSE)</f>
        <v>26</v>
      </c>
      <c r="V244" s="3" t="str">
        <f ca="1">VLOOKUP(E244,Vehicles!$A$2:$D$21,4,FALSE)</f>
        <v>Diesel</v>
      </c>
      <c r="W244" s="3">
        <f ca="1">VLOOKUP(V244,Fuel_Rates!$A$2:$B$3,2,FALSE)</f>
        <v>95</v>
      </c>
      <c r="X244" s="3">
        <f t="shared" ca="1" si="63"/>
        <v>47.25</v>
      </c>
      <c r="Y244" s="3">
        <f t="shared" ca="1" si="64"/>
        <v>40761</v>
      </c>
      <c r="Z244" s="3" t="str">
        <f t="shared" ca="1" si="65"/>
        <v>Nov</v>
      </c>
      <c r="AA244" s="3" t="str">
        <f t="shared" ca="1" si="66"/>
        <v>Q4</v>
      </c>
      <c r="AB244" s="4" t="str">
        <f t="shared" ca="1" si="67"/>
        <v>Medium Haul</v>
      </c>
    </row>
    <row r="245" spans="1:28" x14ac:dyDescent="0.3">
      <c r="A245" s="8" t="str">
        <f t="shared" si="62"/>
        <v>S0244</v>
      </c>
      <c r="B245" s="3">
        <f t="shared" ca="1" si="51"/>
        <v>45815</v>
      </c>
      <c r="C245" s="3" t="str">
        <f ca="1">INDEX(Customers!$A$2:$A$21,RANDBETWEEN(1,20))</f>
        <v>C017</v>
      </c>
      <c r="D245" s="3" t="str">
        <f ca="1">INDEX(Routes!$A$2:$A$31,RANDBETWEEN(1,30))</f>
        <v>R012</v>
      </c>
      <c r="E245" s="3" t="str">
        <f ca="1">INDEX(Vehicles!$A$2:$A$21,RANDBETWEEN(1,20))</f>
        <v>V014</v>
      </c>
      <c r="F245" s="3" t="str">
        <f ca="1">INDEX(Drivers!$A$2:$A$31,RANDBETWEEN(1,30))</f>
        <v>D028</v>
      </c>
      <c r="G245" s="3">
        <f t="shared" ca="1" si="52"/>
        <v>4.8</v>
      </c>
      <c r="H245" s="3">
        <f t="shared" ca="1" si="53"/>
        <v>14448</v>
      </c>
      <c r="I245" s="3">
        <f t="shared" ca="1" si="54"/>
        <v>4045</v>
      </c>
      <c r="J245" s="3">
        <f t="shared" ca="1" si="55"/>
        <v>2561</v>
      </c>
      <c r="K245" s="3">
        <f t="shared" ca="1" si="56"/>
        <v>35</v>
      </c>
      <c r="L245" s="3">
        <f t="shared" ca="1" si="57"/>
        <v>41</v>
      </c>
      <c r="M245" s="3">
        <f t="shared" ca="1" si="58"/>
        <v>6</v>
      </c>
      <c r="N245" s="3" t="str">
        <f t="shared" ca="1" si="59"/>
        <v>Delayed</v>
      </c>
      <c r="O245" s="3" t="str">
        <f t="shared" ca="1" si="60"/>
        <v>High</v>
      </c>
      <c r="P245" s="3">
        <f t="shared" ca="1" si="61"/>
        <v>16</v>
      </c>
      <c r="Q245" s="1" t="str">
        <f ca="1">VLOOKUP(D245,Routes!$A$2:$D$31,2,FALSE)</f>
        <v>Chennai</v>
      </c>
      <c r="R245" s="1" t="str">
        <f ca="1">VLOOKUP(D245,Routes!$A$2:$D$31,3,FALSE)</f>
        <v>Coimbatore</v>
      </c>
      <c r="S245" s="3">
        <f ca="1">VLOOKUP(D245,Routes!$A$2:$D$31,4,FALSE)</f>
        <v>500</v>
      </c>
      <c r="T245" s="3" t="str">
        <f ca="1">VLOOKUP(E245,Vehicles!$A$2:$D$21,2,FALSE)</f>
        <v>LCV</v>
      </c>
      <c r="U245" s="3">
        <f ca="1">VLOOKUP(E245,Vehicles!$A$2:$D$21,3,FALSE)</f>
        <v>6</v>
      </c>
      <c r="V245" s="3" t="str">
        <f ca="1">VLOOKUP(E245,Vehicles!$A$2:$D$21,4,FALSE)</f>
        <v>CNG</v>
      </c>
      <c r="W245" s="3">
        <f ca="1">VLOOKUP(V245,Fuel_Rates!$A$2:$B$3,2,FALSE)</f>
        <v>78</v>
      </c>
      <c r="X245" s="3">
        <f t="shared" ca="1" si="63"/>
        <v>28.9</v>
      </c>
      <c r="Y245" s="3">
        <f t="shared" ca="1" si="64"/>
        <v>21054</v>
      </c>
      <c r="Z245" s="3" t="str">
        <f t="shared" ca="1" si="65"/>
        <v>Jun</v>
      </c>
      <c r="AA245" s="3" t="str">
        <f t="shared" ca="1" si="66"/>
        <v>Q2</v>
      </c>
      <c r="AB245" s="4" t="str">
        <f t="shared" ca="1" si="67"/>
        <v>Medium Haul</v>
      </c>
    </row>
    <row r="246" spans="1:28" x14ac:dyDescent="0.3">
      <c r="A246" s="8" t="str">
        <f t="shared" si="62"/>
        <v>S0245</v>
      </c>
      <c r="B246" s="3">
        <f t="shared" ca="1" si="51"/>
        <v>45750</v>
      </c>
      <c r="C246" s="3" t="str">
        <f ca="1">INDEX(Customers!$A$2:$A$21,RANDBETWEEN(1,20))</f>
        <v>C003</v>
      </c>
      <c r="D246" s="3" t="str">
        <f ca="1">INDEX(Routes!$A$2:$A$31,RANDBETWEEN(1,30))</f>
        <v>R028</v>
      </c>
      <c r="E246" s="3" t="str">
        <f ca="1">INDEX(Vehicles!$A$2:$A$21,RANDBETWEEN(1,20))</f>
        <v>V004</v>
      </c>
      <c r="F246" s="3" t="str">
        <f ca="1">INDEX(Drivers!$A$2:$A$31,RANDBETWEEN(1,30))</f>
        <v>D003</v>
      </c>
      <c r="G246" s="3">
        <f t="shared" ca="1" si="52"/>
        <v>2.6</v>
      </c>
      <c r="H246" s="3">
        <f t="shared" ca="1" si="53"/>
        <v>15877</v>
      </c>
      <c r="I246" s="3">
        <f t="shared" ca="1" si="54"/>
        <v>4446</v>
      </c>
      <c r="J246" s="3">
        <f t="shared" ca="1" si="55"/>
        <v>3693</v>
      </c>
      <c r="K246" s="3">
        <f t="shared" ca="1" si="56"/>
        <v>5</v>
      </c>
      <c r="L246" s="3">
        <f t="shared" ca="1" si="57"/>
        <v>6</v>
      </c>
      <c r="M246" s="3">
        <f t="shared" ca="1" si="58"/>
        <v>1</v>
      </c>
      <c r="N246" s="3" t="str">
        <f t="shared" ca="1" si="59"/>
        <v>On Time</v>
      </c>
      <c r="O246" s="3" t="str">
        <f t="shared" ca="1" si="60"/>
        <v>Low</v>
      </c>
      <c r="P246" s="3">
        <f t="shared" ca="1" si="61"/>
        <v>8.6999999999999993</v>
      </c>
      <c r="Q246" s="1" t="str">
        <f ca="1">VLOOKUP(D246,Routes!$A$2:$D$31,2,FALSE)</f>
        <v>Indore</v>
      </c>
      <c r="R246" s="1" t="str">
        <f ca="1">VLOOKUP(D246,Routes!$A$2:$D$31,3,FALSE)</f>
        <v>Mumbai</v>
      </c>
      <c r="S246" s="3">
        <f ca="1">VLOOKUP(D246,Routes!$A$2:$D$31,4,FALSE)</f>
        <v>590</v>
      </c>
      <c r="T246" s="3" t="str">
        <f ca="1">VLOOKUP(E246,Vehicles!$A$2:$D$21,2,FALSE)</f>
        <v>Trailer</v>
      </c>
      <c r="U246" s="3">
        <f ca="1">VLOOKUP(E246,Vehicles!$A$2:$D$21,3,FALSE)</f>
        <v>28</v>
      </c>
      <c r="V246" s="3" t="str">
        <f ca="1">VLOOKUP(E246,Vehicles!$A$2:$D$21,4,FALSE)</f>
        <v>Diesel</v>
      </c>
      <c r="W246" s="3">
        <f ca="1">VLOOKUP(V246,Fuel_Rates!$A$2:$B$3,2,FALSE)</f>
        <v>95</v>
      </c>
      <c r="X246" s="3">
        <f t="shared" ca="1" si="63"/>
        <v>26.91</v>
      </c>
      <c r="Y246" s="3">
        <f t="shared" ca="1" si="64"/>
        <v>24016</v>
      </c>
      <c r="Z246" s="3" t="str">
        <f t="shared" ca="1" si="65"/>
        <v>Apr</v>
      </c>
      <c r="AA246" s="3" t="str">
        <f t="shared" ca="1" si="66"/>
        <v>Q2</v>
      </c>
      <c r="AB246" s="4" t="str">
        <f t="shared" ca="1" si="67"/>
        <v>Medium Haul</v>
      </c>
    </row>
    <row r="247" spans="1:28" x14ac:dyDescent="0.3">
      <c r="A247" s="8" t="str">
        <f t="shared" si="62"/>
        <v>S0246</v>
      </c>
      <c r="B247" s="3">
        <f t="shared" ca="1" si="51"/>
        <v>45710</v>
      </c>
      <c r="C247" s="3" t="str">
        <f ca="1">INDEX(Customers!$A$2:$A$21,RANDBETWEEN(1,20))</f>
        <v>C005</v>
      </c>
      <c r="D247" s="3" t="str">
        <f ca="1">INDEX(Routes!$A$2:$A$31,RANDBETWEEN(1,30))</f>
        <v>R008</v>
      </c>
      <c r="E247" s="3" t="str">
        <f ca="1">INDEX(Vehicles!$A$2:$A$21,RANDBETWEEN(1,20))</f>
        <v>V008</v>
      </c>
      <c r="F247" s="3" t="str">
        <f ca="1">INDEX(Drivers!$A$2:$A$31,RANDBETWEEN(1,30))</f>
        <v>D018</v>
      </c>
      <c r="G247" s="3">
        <f t="shared" ca="1" si="52"/>
        <v>21.9</v>
      </c>
      <c r="H247" s="3">
        <f t="shared" ca="1" si="53"/>
        <v>46147</v>
      </c>
      <c r="I247" s="3">
        <f t="shared" ca="1" si="54"/>
        <v>12921</v>
      </c>
      <c r="J247" s="3">
        <f t="shared" ca="1" si="55"/>
        <v>3074</v>
      </c>
      <c r="K247" s="3">
        <f t="shared" ca="1" si="56"/>
        <v>42</v>
      </c>
      <c r="L247" s="3">
        <f t="shared" ca="1" si="57"/>
        <v>44</v>
      </c>
      <c r="M247" s="3">
        <f t="shared" ca="1" si="58"/>
        <v>2</v>
      </c>
      <c r="N247" s="3" t="str">
        <f t="shared" ca="1" si="59"/>
        <v>On Time</v>
      </c>
      <c r="O247" s="3" t="str">
        <f t="shared" ca="1" si="60"/>
        <v>High</v>
      </c>
      <c r="P247" s="3">
        <f t="shared" ca="1" si="61"/>
        <v>73</v>
      </c>
      <c r="Q247" s="1" t="str">
        <f ca="1">VLOOKUP(D247,Routes!$A$2:$D$31,2,FALSE)</f>
        <v>Delhi</v>
      </c>
      <c r="R247" s="1" t="str">
        <f ca="1">VLOOKUP(D247,Routes!$A$2:$D$31,3,FALSE)</f>
        <v>Kolkata</v>
      </c>
      <c r="S247" s="3">
        <f ca="1">VLOOKUP(D247,Routes!$A$2:$D$31,4,FALSE)</f>
        <v>1500</v>
      </c>
      <c r="T247" s="3" t="str">
        <f ca="1">VLOOKUP(E247,Vehicles!$A$2:$D$21,2,FALSE)</f>
        <v>Container</v>
      </c>
      <c r="U247" s="3">
        <f ca="1">VLOOKUP(E247,Vehicles!$A$2:$D$21,3,FALSE)</f>
        <v>25</v>
      </c>
      <c r="V247" s="3" t="str">
        <f ca="1">VLOOKUP(E247,Vehicles!$A$2:$D$21,4,FALSE)</f>
        <v>Diesel</v>
      </c>
      <c r="W247" s="3">
        <f ca="1">VLOOKUP(V247,Fuel_Rates!$A$2:$B$3,2,FALSE)</f>
        <v>95</v>
      </c>
      <c r="X247" s="3">
        <f t="shared" ca="1" si="63"/>
        <v>30.76</v>
      </c>
      <c r="Y247" s="3">
        <f t="shared" ca="1" si="64"/>
        <v>62142</v>
      </c>
      <c r="Z247" s="3" t="str">
        <f t="shared" ca="1" si="65"/>
        <v>Feb</v>
      </c>
      <c r="AA247" s="3" t="str">
        <f t="shared" ca="1" si="66"/>
        <v>Q1</v>
      </c>
      <c r="AB247" s="4" t="str">
        <f t="shared" ca="1" si="67"/>
        <v>Long Haul</v>
      </c>
    </row>
    <row r="248" spans="1:28" x14ac:dyDescent="0.3">
      <c r="A248" s="8" t="str">
        <f t="shared" si="62"/>
        <v>S0247</v>
      </c>
      <c r="B248" s="3">
        <f t="shared" ca="1" si="51"/>
        <v>45825</v>
      </c>
      <c r="C248" s="3" t="str">
        <f ca="1">INDEX(Customers!$A$2:$A$21,RANDBETWEEN(1,20))</f>
        <v>C020</v>
      </c>
      <c r="D248" s="3" t="str">
        <f ca="1">INDEX(Routes!$A$2:$A$31,RANDBETWEEN(1,30))</f>
        <v>R013</v>
      </c>
      <c r="E248" s="3" t="str">
        <f ca="1">INDEX(Vehicles!$A$2:$A$21,RANDBETWEEN(1,20))</f>
        <v>V006</v>
      </c>
      <c r="F248" s="3" t="str">
        <f ca="1">INDEX(Drivers!$A$2:$A$31,RANDBETWEEN(1,30))</f>
        <v>D005</v>
      </c>
      <c r="G248" s="3">
        <f t="shared" ca="1" si="52"/>
        <v>3.5</v>
      </c>
      <c r="H248" s="3">
        <f t="shared" ca="1" si="53"/>
        <v>16511</v>
      </c>
      <c r="I248" s="3">
        <f t="shared" ca="1" si="54"/>
        <v>4623</v>
      </c>
      <c r="J248" s="3">
        <f t="shared" ca="1" si="55"/>
        <v>3859</v>
      </c>
      <c r="K248" s="3">
        <f t="shared" ca="1" si="56"/>
        <v>27</v>
      </c>
      <c r="L248" s="3">
        <f t="shared" ca="1" si="57"/>
        <v>34</v>
      </c>
      <c r="M248" s="3">
        <f t="shared" ca="1" si="58"/>
        <v>7</v>
      </c>
      <c r="N248" s="3" t="str">
        <f t="shared" ca="1" si="59"/>
        <v>Delayed</v>
      </c>
      <c r="O248" s="3" t="str">
        <f t="shared" ca="1" si="60"/>
        <v>High</v>
      </c>
      <c r="P248" s="3">
        <f t="shared" ca="1" si="61"/>
        <v>11.7</v>
      </c>
      <c r="Q248" s="1" t="str">
        <f ca="1">VLOOKUP(D248,Routes!$A$2:$D$31,2,FALSE)</f>
        <v>Chennai</v>
      </c>
      <c r="R248" s="1" t="str">
        <f ca="1">VLOOKUP(D248,Routes!$A$2:$D$31,3,FALSE)</f>
        <v>Hyderabad</v>
      </c>
      <c r="S248" s="3">
        <f ca="1">VLOOKUP(D248,Routes!$A$2:$D$31,4,FALSE)</f>
        <v>630</v>
      </c>
      <c r="T248" s="3" t="str">
        <f ca="1">VLOOKUP(E248,Vehicles!$A$2:$D$21,2,FALSE)</f>
        <v>Container</v>
      </c>
      <c r="U248" s="3">
        <f ca="1">VLOOKUP(E248,Vehicles!$A$2:$D$21,3,FALSE)</f>
        <v>18</v>
      </c>
      <c r="V248" s="3" t="str">
        <f ca="1">VLOOKUP(E248,Vehicles!$A$2:$D$21,4,FALSE)</f>
        <v>Diesel</v>
      </c>
      <c r="W248" s="3">
        <f ca="1">VLOOKUP(V248,Fuel_Rates!$A$2:$B$3,2,FALSE)</f>
        <v>95</v>
      </c>
      <c r="X248" s="3">
        <f t="shared" ca="1" si="63"/>
        <v>26.21</v>
      </c>
      <c r="Y248" s="3">
        <f t="shared" ca="1" si="64"/>
        <v>24993</v>
      </c>
      <c r="Z248" s="3" t="str">
        <f t="shared" ca="1" si="65"/>
        <v>Jun</v>
      </c>
      <c r="AA248" s="3" t="str">
        <f t="shared" ca="1" si="66"/>
        <v>Q2</v>
      </c>
      <c r="AB248" s="4" t="str">
        <f t="shared" ca="1" si="67"/>
        <v>Medium Haul</v>
      </c>
    </row>
    <row r="249" spans="1:28" x14ac:dyDescent="0.3">
      <c r="A249" s="8" t="str">
        <f t="shared" si="62"/>
        <v>S0248</v>
      </c>
      <c r="B249" s="3">
        <f t="shared" ca="1" si="51"/>
        <v>45872</v>
      </c>
      <c r="C249" s="3" t="str">
        <f ca="1">INDEX(Customers!$A$2:$A$21,RANDBETWEEN(1,20))</f>
        <v>C012</v>
      </c>
      <c r="D249" s="3" t="str">
        <f ca="1">INDEX(Routes!$A$2:$A$31,RANDBETWEEN(1,30))</f>
        <v>R019</v>
      </c>
      <c r="E249" s="3" t="str">
        <f ca="1">INDEX(Vehicles!$A$2:$A$21,RANDBETWEEN(1,20))</f>
        <v>V006</v>
      </c>
      <c r="F249" s="3" t="str">
        <f ca="1">INDEX(Drivers!$A$2:$A$31,RANDBETWEEN(1,30))</f>
        <v>D028</v>
      </c>
      <c r="G249" s="3">
        <f t="shared" ca="1" si="52"/>
        <v>7.5</v>
      </c>
      <c r="H249" s="3">
        <f t="shared" ca="1" si="53"/>
        <v>22193</v>
      </c>
      <c r="I249" s="3">
        <f t="shared" ca="1" si="54"/>
        <v>6214</v>
      </c>
      <c r="J249" s="3">
        <f t="shared" ca="1" si="55"/>
        <v>2002</v>
      </c>
      <c r="K249" s="3">
        <f t="shared" ca="1" si="56"/>
        <v>22</v>
      </c>
      <c r="L249" s="3">
        <f t="shared" ca="1" si="57"/>
        <v>26</v>
      </c>
      <c r="M249" s="3">
        <f t="shared" ca="1" si="58"/>
        <v>4</v>
      </c>
      <c r="N249" s="3" t="str">
        <f t="shared" ca="1" si="59"/>
        <v>Delayed</v>
      </c>
      <c r="O249" s="3" t="str">
        <f t="shared" ca="1" si="60"/>
        <v>High</v>
      </c>
      <c r="P249" s="3">
        <f t="shared" ca="1" si="61"/>
        <v>25</v>
      </c>
      <c r="Q249" s="1" t="str">
        <f ca="1">VLOOKUP(D249,Routes!$A$2:$D$31,2,FALSE)</f>
        <v>Ahmedabad</v>
      </c>
      <c r="R249" s="1" t="str">
        <f ca="1">VLOOKUP(D249,Routes!$A$2:$D$31,3,FALSE)</f>
        <v>Indore</v>
      </c>
      <c r="S249" s="3">
        <f ca="1">VLOOKUP(D249,Routes!$A$2:$D$31,4,FALSE)</f>
        <v>390</v>
      </c>
      <c r="T249" s="3" t="str">
        <f ca="1">VLOOKUP(E249,Vehicles!$A$2:$D$21,2,FALSE)</f>
        <v>Container</v>
      </c>
      <c r="U249" s="3">
        <f ca="1">VLOOKUP(E249,Vehicles!$A$2:$D$21,3,FALSE)</f>
        <v>18</v>
      </c>
      <c r="V249" s="3" t="str">
        <f ca="1">VLOOKUP(E249,Vehicles!$A$2:$D$21,4,FALSE)</f>
        <v>Diesel</v>
      </c>
      <c r="W249" s="3">
        <f ca="1">VLOOKUP(V249,Fuel_Rates!$A$2:$B$3,2,FALSE)</f>
        <v>95</v>
      </c>
      <c r="X249" s="3">
        <f t="shared" ca="1" si="63"/>
        <v>56.91</v>
      </c>
      <c r="Y249" s="3">
        <f t="shared" ca="1" si="64"/>
        <v>30409</v>
      </c>
      <c r="Z249" s="3" t="str">
        <f t="shared" ca="1" si="65"/>
        <v>Aug</v>
      </c>
      <c r="AA249" s="3" t="str">
        <f t="shared" ca="1" si="66"/>
        <v>Q3</v>
      </c>
      <c r="AB249" s="4" t="str">
        <f t="shared" ca="1" si="67"/>
        <v>Medium Haul</v>
      </c>
    </row>
    <row r="250" spans="1:28" x14ac:dyDescent="0.3">
      <c r="A250" s="8" t="str">
        <f t="shared" si="62"/>
        <v>S0249</v>
      </c>
      <c r="B250" s="3">
        <f t="shared" ca="1" si="51"/>
        <v>46003</v>
      </c>
      <c r="C250" s="3" t="str">
        <f ca="1">INDEX(Customers!$A$2:$A$21,RANDBETWEEN(1,20))</f>
        <v>C003</v>
      </c>
      <c r="D250" s="3" t="str">
        <f ca="1">INDEX(Routes!$A$2:$A$31,RANDBETWEEN(1,30))</f>
        <v>R020</v>
      </c>
      <c r="E250" s="3" t="str">
        <f ca="1">INDEX(Vehicles!$A$2:$A$21,RANDBETWEEN(1,20))</f>
        <v>V020</v>
      </c>
      <c r="F250" s="3" t="str">
        <f ca="1">INDEX(Drivers!$A$2:$A$31,RANDBETWEEN(1,30))</f>
        <v>D014</v>
      </c>
      <c r="G250" s="3">
        <f t="shared" ca="1" si="52"/>
        <v>20.6</v>
      </c>
      <c r="H250" s="3">
        <f t="shared" ca="1" si="53"/>
        <v>49356</v>
      </c>
      <c r="I250" s="3">
        <f t="shared" ca="1" si="54"/>
        <v>13820</v>
      </c>
      <c r="J250" s="3">
        <f t="shared" ca="1" si="55"/>
        <v>3195</v>
      </c>
      <c r="K250" s="3">
        <f t="shared" ca="1" si="56"/>
        <v>35</v>
      </c>
      <c r="L250" s="3">
        <f t="shared" ca="1" si="57"/>
        <v>38</v>
      </c>
      <c r="M250" s="3">
        <f t="shared" ca="1" si="58"/>
        <v>3</v>
      </c>
      <c r="N250" s="3" t="str">
        <f t="shared" ca="1" si="59"/>
        <v>Delayed</v>
      </c>
      <c r="O250" s="3" t="str">
        <f t="shared" ca="1" si="60"/>
        <v>Low</v>
      </c>
      <c r="P250" s="3">
        <f t="shared" ca="1" si="61"/>
        <v>68.7</v>
      </c>
      <c r="Q250" s="1" t="str">
        <f ca="1">VLOOKUP(D250,Routes!$A$2:$D$31,2,FALSE)</f>
        <v>Pune</v>
      </c>
      <c r="R250" s="1" t="str">
        <f ca="1">VLOOKUP(D250,Routes!$A$2:$D$31,3,FALSE)</f>
        <v>Nagpur</v>
      </c>
      <c r="S250" s="3">
        <f ca="1">VLOOKUP(D250,Routes!$A$2:$D$31,4,FALSE)</f>
        <v>720</v>
      </c>
      <c r="T250" s="3" t="str">
        <f ca="1">VLOOKUP(E250,Vehicles!$A$2:$D$21,2,FALSE)</f>
        <v>Container</v>
      </c>
      <c r="U250" s="3">
        <f ca="1">VLOOKUP(E250,Vehicles!$A$2:$D$21,3,FALSE)</f>
        <v>28</v>
      </c>
      <c r="V250" s="3" t="str">
        <f ca="1">VLOOKUP(E250,Vehicles!$A$2:$D$21,4,FALSE)</f>
        <v>Diesel</v>
      </c>
      <c r="W250" s="3">
        <f ca="1">VLOOKUP(V250,Fuel_Rates!$A$2:$B$3,2,FALSE)</f>
        <v>95</v>
      </c>
      <c r="X250" s="3">
        <f t="shared" ca="1" si="63"/>
        <v>68.55</v>
      </c>
      <c r="Y250" s="3">
        <f t="shared" ca="1" si="64"/>
        <v>66371</v>
      </c>
      <c r="Z250" s="3" t="str">
        <f t="shared" ca="1" si="65"/>
        <v>Dec</v>
      </c>
      <c r="AA250" s="3" t="str">
        <f t="shared" ca="1" si="66"/>
        <v>Q4</v>
      </c>
      <c r="AB250" s="4" t="str">
        <f t="shared" ca="1" si="67"/>
        <v>Medium Haul</v>
      </c>
    </row>
    <row r="251" spans="1:28" x14ac:dyDescent="0.3">
      <c r="A251" s="8" t="str">
        <f t="shared" si="62"/>
        <v>S0250</v>
      </c>
      <c r="B251" s="3">
        <f t="shared" ca="1" si="51"/>
        <v>45950</v>
      </c>
      <c r="C251" s="3" t="str">
        <f ca="1">INDEX(Customers!$A$2:$A$21,RANDBETWEEN(1,20))</f>
        <v>C017</v>
      </c>
      <c r="D251" s="3" t="str">
        <f ca="1">INDEX(Routes!$A$2:$A$31,RANDBETWEEN(1,30))</f>
        <v>R011</v>
      </c>
      <c r="E251" s="3" t="str">
        <f ca="1">INDEX(Vehicles!$A$2:$A$21,RANDBETWEEN(1,20))</f>
        <v>V018</v>
      </c>
      <c r="F251" s="3" t="str">
        <f ca="1">INDEX(Drivers!$A$2:$A$31,RANDBETWEEN(1,30))</f>
        <v>D022</v>
      </c>
      <c r="G251" s="3">
        <f t="shared" ca="1" si="52"/>
        <v>15.8</v>
      </c>
      <c r="H251" s="3">
        <f t="shared" ca="1" si="53"/>
        <v>38691</v>
      </c>
      <c r="I251" s="3">
        <f t="shared" ca="1" si="54"/>
        <v>10833</v>
      </c>
      <c r="J251" s="3">
        <f t="shared" ca="1" si="55"/>
        <v>3868</v>
      </c>
      <c r="K251" s="3">
        <f t="shared" ca="1" si="56"/>
        <v>12</v>
      </c>
      <c r="L251" s="3">
        <f t="shared" ca="1" si="57"/>
        <v>18</v>
      </c>
      <c r="M251" s="3">
        <f t="shared" ca="1" si="58"/>
        <v>6</v>
      </c>
      <c r="N251" s="3" t="str">
        <f t="shared" ca="1" si="59"/>
        <v>Delayed</v>
      </c>
      <c r="O251" s="3" t="str">
        <f t="shared" ca="1" si="60"/>
        <v>Medium</v>
      </c>
      <c r="P251" s="3">
        <f t="shared" ca="1" si="61"/>
        <v>52.7</v>
      </c>
      <c r="Q251" s="1" t="str">
        <f ca="1">VLOOKUP(D251,Routes!$A$2:$D$31,2,FALSE)</f>
        <v>Bengaluru</v>
      </c>
      <c r="R251" s="1" t="str">
        <f ca="1">VLOOKUP(D251,Routes!$A$2:$D$31,3,FALSE)</f>
        <v>Kochi</v>
      </c>
      <c r="S251" s="3">
        <f ca="1">VLOOKUP(D251,Routes!$A$2:$D$31,4,FALSE)</f>
        <v>550</v>
      </c>
      <c r="T251" s="3" t="str">
        <f ca="1">VLOOKUP(E251,Vehicles!$A$2:$D$21,2,FALSE)</f>
        <v>Truck</v>
      </c>
      <c r="U251" s="3">
        <f ca="1">VLOOKUP(E251,Vehicles!$A$2:$D$21,3,FALSE)</f>
        <v>26</v>
      </c>
      <c r="V251" s="3" t="str">
        <f ca="1">VLOOKUP(E251,Vehicles!$A$2:$D$21,4,FALSE)</f>
        <v>Diesel</v>
      </c>
      <c r="W251" s="3">
        <f ca="1">VLOOKUP(V251,Fuel_Rates!$A$2:$B$3,2,FALSE)</f>
        <v>95</v>
      </c>
      <c r="X251" s="3">
        <f t="shared" ca="1" si="63"/>
        <v>70.349999999999994</v>
      </c>
      <c r="Y251" s="3">
        <f t="shared" ca="1" si="64"/>
        <v>53392</v>
      </c>
      <c r="Z251" s="3" t="str">
        <f t="shared" ca="1" si="65"/>
        <v>Oct</v>
      </c>
      <c r="AA251" s="3" t="str">
        <f t="shared" ca="1" si="66"/>
        <v>Q4</v>
      </c>
      <c r="AB251" s="4" t="str">
        <f t="shared" ca="1" si="67"/>
        <v>Medium Haul</v>
      </c>
    </row>
    <row r="252" spans="1:28" x14ac:dyDescent="0.3">
      <c r="A252" s="8" t="str">
        <f t="shared" si="62"/>
        <v>S0251</v>
      </c>
      <c r="B252" s="3">
        <f t="shared" ca="1" si="51"/>
        <v>45879</v>
      </c>
      <c r="C252" s="3" t="str">
        <f ca="1">INDEX(Customers!$A$2:$A$21,RANDBETWEEN(1,20))</f>
        <v>C004</v>
      </c>
      <c r="D252" s="3" t="str">
        <f ca="1">INDEX(Routes!$A$2:$A$31,RANDBETWEEN(1,30))</f>
        <v>R009</v>
      </c>
      <c r="E252" s="3" t="str">
        <f ca="1">INDEX(Vehicles!$A$2:$A$21,RANDBETWEEN(1,20))</f>
        <v>V002</v>
      </c>
      <c r="F252" s="3" t="str">
        <f ca="1">INDEX(Drivers!$A$2:$A$31,RANDBETWEEN(1,30))</f>
        <v>D026</v>
      </c>
      <c r="G252" s="3">
        <f t="shared" ca="1" si="52"/>
        <v>21.7</v>
      </c>
      <c r="H252" s="3">
        <f t="shared" ca="1" si="53"/>
        <v>49045</v>
      </c>
      <c r="I252" s="3">
        <f t="shared" ca="1" si="54"/>
        <v>13733</v>
      </c>
      <c r="J252" s="3">
        <f t="shared" ca="1" si="55"/>
        <v>1557</v>
      </c>
      <c r="K252" s="3">
        <f t="shared" ca="1" si="56"/>
        <v>7</v>
      </c>
      <c r="L252" s="3">
        <f t="shared" ca="1" si="57"/>
        <v>12</v>
      </c>
      <c r="M252" s="3">
        <f t="shared" ca="1" si="58"/>
        <v>5</v>
      </c>
      <c r="N252" s="3" t="str">
        <f t="shared" ca="1" si="59"/>
        <v>Delayed</v>
      </c>
      <c r="O252" s="3" t="str">
        <f t="shared" ca="1" si="60"/>
        <v>High</v>
      </c>
      <c r="P252" s="3">
        <f t="shared" ca="1" si="61"/>
        <v>72.3</v>
      </c>
      <c r="Q252" s="1" t="str">
        <f ca="1">VLOOKUP(D252,Routes!$A$2:$D$31,2,FALSE)</f>
        <v>Bengaluru</v>
      </c>
      <c r="R252" s="1" t="str">
        <f ca="1">VLOOKUP(D252,Routes!$A$2:$D$31,3,FALSE)</f>
        <v>Chennai</v>
      </c>
      <c r="S252" s="3">
        <f ca="1">VLOOKUP(D252,Routes!$A$2:$D$31,4,FALSE)</f>
        <v>350</v>
      </c>
      <c r="T252" s="3" t="str">
        <f ca="1">VLOOKUP(E252,Vehicles!$A$2:$D$21,2,FALSE)</f>
        <v>Truck</v>
      </c>
      <c r="U252" s="3">
        <f ca="1">VLOOKUP(E252,Vehicles!$A$2:$D$21,3,FALSE)</f>
        <v>20</v>
      </c>
      <c r="V252" s="3" t="str">
        <f ca="1">VLOOKUP(E252,Vehicles!$A$2:$D$21,4,FALSE)</f>
        <v>Diesel</v>
      </c>
      <c r="W252" s="3">
        <f ca="1">VLOOKUP(V252,Fuel_Rates!$A$2:$B$3,2,FALSE)</f>
        <v>95</v>
      </c>
      <c r="X252" s="3">
        <f t="shared" ca="1" si="63"/>
        <v>140.13</v>
      </c>
      <c r="Y252" s="3">
        <f t="shared" ca="1" si="64"/>
        <v>64335</v>
      </c>
      <c r="Z252" s="3" t="str">
        <f t="shared" ca="1" si="65"/>
        <v>Aug</v>
      </c>
      <c r="AA252" s="3" t="str">
        <f t="shared" ca="1" si="66"/>
        <v>Q3</v>
      </c>
      <c r="AB252" s="4" t="str">
        <f t="shared" ca="1" si="67"/>
        <v>Medium Haul</v>
      </c>
    </row>
    <row r="253" spans="1:28" x14ac:dyDescent="0.3">
      <c r="A253" s="8" t="str">
        <f t="shared" si="62"/>
        <v>S0252</v>
      </c>
      <c r="B253" s="3">
        <f t="shared" ca="1" si="51"/>
        <v>45658</v>
      </c>
      <c r="C253" s="3" t="str">
        <f ca="1">INDEX(Customers!$A$2:$A$21,RANDBETWEEN(1,20))</f>
        <v>C005</v>
      </c>
      <c r="D253" s="3" t="str">
        <f ca="1">INDEX(Routes!$A$2:$A$31,RANDBETWEEN(1,30))</f>
        <v>R017</v>
      </c>
      <c r="E253" s="3" t="str">
        <f ca="1">INDEX(Vehicles!$A$2:$A$21,RANDBETWEEN(1,20))</f>
        <v>V002</v>
      </c>
      <c r="F253" s="3" t="str">
        <f ca="1">INDEX(Drivers!$A$2:$A$31,RANDBETWEEN(1,30))</f>
        <v>D004</v>
      </c>
      <c r="G253" s="3">
        <f t="shared" ca="1" si="52"/>
        <v>5.9</v>
      </c>
      <c r="H253" s="3">
        <f t="shared" ca="1" si="53"/>
        <v>22429</v>
      </c>
      <c r="I253" s="3">
        <f t="shared" ca="1" si="54"/>
        <v>6280</v>
      </c>
      <c r="J253" s="3">
        <f t="shared" ca="1" si="55"/>
        <v>2935</v>
      </c>
      <c r="K253" s="3">
        <f t="shared" ca="1" si="56"/>
        <v>29</v>
      </c>
      <c r="L253" s="3">
        <f t="shared" ca="1" si="57"/>
        <v>29</v>
      </c>
      <c r="M253" s="3">
        <f t="shared" ca="1" si="58"/>
        <v>0</v>
      </c>
      <c r="N253" s="3" t="str">
        <f t="shared" ca="1" si="59"/>
        <v>On Time</v>
      </c>
      <c r="O253" s="3" t="str">
        <f t="shared" ca="1" si="60"/>
        <v>Medium</v>
      </c>
      <c r="P253" s="3">
        <f t="shared" ca="1" si="61"/>
        <v>19.7</v>
      </c>
      <c r="Q253" s="1" t="str">
        <f ca="1">VLOOKUP(D253,Routes!$A$2:$D$31,2,FALSE)</f>
        <v>Kolkata</v>
      </c>
      <c r="R253" s="1" t="str">
        <f ca="1">VLOOKUP(D253,Routes!$A$2:$D$31,3,FALSE)</f>
        <v>Patna</v>
      </c>
      <c r="S253" s="3">
        <f ca="1">VLOOKUP(D253,Routes!$A$2:$D$31,4,FALSE)</f>
        <v>620</v>
      </c>
      <c r="T253" s="3" t="str">
        <f ca="1">VLOOKUP(E253,Vehicles!$A$2:$D$21,2,FALSE)</f>
        <v>Truck</v>
      </c>
      <c r="U253" s="3">
        <f ca="1">VLOOKUP(E253,Vehicles!$A$2:$D$21,3,FALSE)</f>
        <v>20</v>
      </c>
      <c r="V253" s="3" t="str">
        <f ca="1">VLOOKUP(E253,Vehicles!$A$2:$D$21,4,FALSE)</f>
        <v>Diesel</v>
      </c>
      <c r="W253" s="3">
        <f ca="1">VLOOKUP(V253,Fuel_Rates!$A$2:$B$3,2,FALSE)</f>
        <v>95</v>
      </c>
      <c r="X253" s="3">
        <f t="shared" ca="1" si="63"/>
        <v>36.18</v>
      </c>
      <c r="Y253" s="3">
        <f t="shared" ca="1" si="64"/>
        <v>31644</v>
      </c>
      <c r="Z253" s="3" t="str">
        <f t="shared" ca="1" si="65"/>
        <v>Jan</v>
      </c>
      <c r="AA253" s="3" t="str">
        <f t="shared" ca="1" si="66"/>
        <v>Q1</v>
      </c>
      <c r="AB253" s="4" t="str">
        <f t="shared" ca="1" si="67"/>
        <v>Medium Haul</v>
      </c>
    </row>
    <row r="254" spans="1:28" x14ac:dyDescent="0.3">
      <c r="A254" s="8" t="str">
        <f t="shared" si="62"/>
        <v>S0253</v>
      </c>
      <c r="B254" s="3">
        <f t="shared" ca="1" si="51"/>
        <v>45666</v>
      </c>
      <c r="C254" s="3" t="str">
        <f ca="1">INDEX(Customers!$A$2:$A$21,RANDBETWEEN(1,20))</f>
        <v>C017</v>
      </c>
      <c r="D254" s="3" t="str">
        <f ca="1">INDEX(Routes!$A$2:$A$31,RANDBETWEEN(1,30))</f>
        <v>R024</v>
      </c>
      <c r="E254" s="3" t="str">
        <f ca="1">INDEX(Vehicles!$A$2:$A$21,RANDBETWEEN(1,20))</f>
        <v>V002</v>
      </c>
      <c r="F254" s="3" t="str">
        <f ca="1">INDEX(Drivers!$A$2:$A$31,RANDBETWEEN(1,30))</f>
        <v>D005</v>
      </c>
      <c r="G254" s="3">
        <f t="shared" ca="1" si="52"/>
        <v>5.8</v>
      </c>
      <c r="H254" s="3">
        <f t="shared" ca="1" si="53"/>
        <v>21909</v>
      </c>
      <c r="I254" s="3">
        <f t="shared" ca="1" si="54"/>
        <v>6135</v>
      </c>
      <c r="J254" s="3">
        <f t="shared" ca="1" si="55"/>
        <v>2058</v>
      </c>
      <c r="K254" s="3">
        <f t="shared" ca="1" si="56"/>
        <v>5</v>
      </c>
      <c r="L254" s="3">
        <f t="shared" ca="1" si="57"/>
        <v>9</v>
      </c>
      <c r="M254" s="3">
        <f t="shared" ca="1" si="58"/>
        <v>4</v>
      </c>
      <c r="N254" s="3" t="str">
        <f t="shared" ca="1" si="59"/>
        <v>Delayed</v>
      </c>
      <c r="O254" s="3" t="str">
        <f t="shared" ca="1" si="60"/>
        <v>Medium</v>
      </c>
      <c r="P254" s="3">
        <f t="shared" ca="1" si="61"/>
        <v>19.3</v>
      </c>
      <c r="Q254" s="1" t="str">
        <f ca="1">VLOOKUP(D254,Routes!$A$2:$D$31,2,FALSE)</f>
        <v>Surat</v>
      </c>
      <c r="R254" s="1" t="str">
        <f ca="1">VLOOKUP(D254,Routes!$A$2:$D$31,3,FALSE)</f>
        <v>Mumbai</v>
      </c>
      <c r="S254" s="3">
        <f ca="1">VLOOKUP(D254,Routes!$A$2:$D$31,4,FALSE)</f>
        <v>280</v>
      </c>
      <c r="T254" s="3" t="str">
        <f ca="1">VLOOKUP(E254,Vehicles!$A$2:$D$21,2,FALSE)</f>
        <v>Truck</v>
      </c>
      <c r="U254" s="3">
        <f ca="1">VLOOKUP(E254,Vehicles!$A$2:$D$21,3,FALSE)</f>
        <v>20</v>
      </c>
      <c r="V254" s="3" t="str">
        <f ca="1">VLOOKUP(E254,Vehicles!$A$2:$D$21,4,FALSE)</f>
        <v>Diesel</v>
      </c>
      <c r="W254" s="3">
        <f ca="1">VLOOKUP(V254,Fuel_Rates!$A$2:$B$3,2,FALSE)</f>
        <v>95</v>
      </c>
      <c r="X254" s="3">
        <f t="shared" ca="1" si="63"/>
        <v>78.25</v>
      </c>
      <c r="Y254" s="3">
        <f t="shared" ca="1" si="64"/>
        <v>30102</v>
      </c>
      <c r="Z254" s="3" t="str">
        <f t="shared" ca="1" si="65"/>
        <v>Jan</v>
      </c>
      <c r="AA254" s="3" t="str">
        <f t="shared" ca="1" si="66"/>
        <v>Q1</v>
      </c>
      <c r="AB254" s="4" t="str">
        <f t="shared" ca="1" si="67"/>
        <v>Short Haul</v>
      </c>
    </row>
    <row r="255" spans="1:28" x14ac:dyDescent="0.3">
      <c r="A255" s="8" t="str">
        <f t="shared" si="62"/>
        <v>S0254</v>
      </c>
      <c r="B255" s="3">
        <f t="shared" ca="1" si="51"/>
        <v>45920</v>
      </c>
      <c r="C255" s="3" t="str">
        <f ca="1">INDEX(Customers!$A$2:$A$21,RANDBETWEEN(1,20))</f>
        <v>C009</v>
      </c>
      <c r="D255" s="3" t="str">
        <f ca="1">INDEX(Routes!$A$2:$A$31,RANDBETWEEN(1,30))</f>
        <v>R024</v>
      </c>
      <c r="E255" s="3" t="str">
        <f ca="1">INDEX(Vehicles!$A$2:$A$21,RANDBETWEEN(1,20))</f>
        <v>V020</v>
      </c>
      <c r="F255" s="3" t="str">
        <f ca="1">INDEX(Drivers!$A$2:$A$31,RANDBETWEEN(1,30))</f>
        <v>D013</v>
      </c>
      <c r="G255" s="3">
        <f t="shared" ca="1" si="52"/>
        <v>15.7</v>
      </c>
      <c r="H255" s="3">
        <f t="shared" ca="1" si="53"/>
        <v>39318</v>
      </c>
      <c r="I255" s="3">
        <f t="shared" ca="1" si="54"/>
        <v>11009</v>
      </c>
      <c r="J255" s="3">
        <f t="shared" ca="1" si="55"/>
        <v>2561</v>
      </c>
      <c r="K255" s="3">
        <f t="shared" ca="1" si="56"/>
        <v>38</v>
      </c>
      <c r="L255" s="3">
        <f t="shared" ca="1" si="57"/>
        <v>43</v>
      </c>
      <c r="M255" s="3">
        <f t="shared" ca="1" si="58"/>
        <v>5</v>
      </c>
      <c r="N255" s="3" t="str">
        <f t="shared" ca="1" si="59"/>
        <v>Delayed</v>
      </c>
      <c r="O255" s="3" t="str">
        <f t="shared" ca="1" si="60"/>
        <v>High</v>
      </c>
      <c r="P255" s="3">
        <f t="shared" ca="1" si="61"/>
        <v>52.3</v>
      </c>
      <c r="Q255" s="1" t="str">
        <f ca="1">VLOOKUP(D255,Routes!$A$2:$D$31,2,FALSE)</f>
        <v>Surat</v>
      </c>
      <c r="R255" s="1" t="str">
        <f ca="1">VLOOKUP(D255,Routes!$A$2:$D$31,3,FALSE)</f>
        <v>Mumbai</v>
      </c>
      <c r="S255" s="3">
        <f ca="1">VLOOKUP(D255,Routes!$A$2:$D$31,4,FALSE)</f>
        <v>280</v>
      </c>
      <c r="T255" s="3" t="str">
        <f ca="1">VLOOKUP(E255,Vehicles!$A$2:$D$21,2,FALSE)</f>
        <v>Container</v>
      </c>
      <c r="U255" s="3">
        <f ca="1">VLOOKUP(E255,Vehicles!$A$2:$D$21,3,FALSE)</f>
        <v>28</v>
      </c>
      <c r="V255" s="3" t="str">
        <f ca="1">VLOOKUP(E255,Vehicles!$A$2:$D$21,4,FALSE)</f>
        <v>Diesel</v>
      </c>
      <c r="W255" s="3">
        <f ca="1">VLOOKUP(V255,Fuel_Rates!$A$2:$B$3,2,FALSE)</f>
        <v>95</v>
      </c>
      <c r="X255" s="3">
        <f t="shared" ca="1" si="63"/>
        <v>140.41999999999999</v>
      </c>
      <c r="Y255" s="3">
        <f t="shared" ca="1" si="64"/>
        <v>52888</v>
      </c>
      <c r="Z255" s="3" t="str">
        <f t="shared" ca="1" si="65"/>
        <v>Sep</v>
      </c>
      <c r="AA255" s="3" t="str">
        <f t="shared" ca="1" si="66"/>
        <v>Q3</v>
      </c>
      <c r="AB255" s="4" t="str">
        <f t="shared" ca="1" si="67"/>
        <v>Short Haul</v>
      </c>
    </row>
    <row r="256" spans="1:28" x14ac:dyDescent="0.3">
      <c r="A256" s="8" t="str">
        <f t="shared" si="62"/>
        <v>S0255</v>
      </c>
      <c r="B256" s="3">
        <f t="shared" ca="1" si="51"/>
        <v>45813</v>
      </c>
      <c r="C256" s="3" t="str">
        <f ca="1">INDEX(Customers!$A$2:$A$21,RANDBETWEEN(1,20))</f>
        <v>C014</v>
      </c>
      <c r="D256" s="3" t="str">
        <f ca="1">INDEX(Routes!$A$2:$A$31,RANDBETWEEN(1,30))</f>
        <v>R012</v>
      </c>
      <c r="E256" s="3" t="str">
        <f ca="1">INDEX(Vehicles!$A$2:$A$21,RANDBETWEEN(1,20))</f>
        <v>V001</v>
      </c>
      <c r="F256" s="3" t="str">
        <f ca="1">INDEX(Drivers!$A$2:$A$31,RANDBETWEEN(1,30))</f>
        <v>D004</v>
      </c>
      <c r="G256" s="3">
        <f t="shared" ca="1" si="52"/>
        <v>6.3</v>
      </c>
      <c r="H256" s="3">
        <f t="shared" ca="1" si="53"/>
        <v>19843</v>
      </c>
      <c r="I256" s="3">
        <f t="shared" ca="1" si="54"/>
        <v>5556</v>
      </c>
      <c r="J256" s="3">
        <f t="shared" ca="1" si="55"/>
        <v>1796</v>
      </c>
      <c r="K256" s="3">
        <f t="shared" ca="1" si="56"/>
        <v>29</v>
      </c>
      <c r="L256" s="3">
        <f t="shared" ca="1" si="57"/>
        <v>30</v>
      </c>
      <c r="M256" s="3">
        <f t="shared" ca="1" si="58"/>
        <v>1</v>
      </c>
      <c r="N256" s="3" t="str">
        <f t="shared" ca="1" si="59"/>
        <v>On Time</v>
      </c>
      <c r="O256" s="3" t="str">
        <f t="shared" ca="1" si="60"/>
        <v>Low</v>
      </c>
      <c r="P256" s="3">
        <f t="shared" ca="1" si="61"/>
        <v>21</v>
      </c>
      <c r="Q256" s="1" t="str">
        <f ca="1">VLOOKUP(D256,Routes!$A$2:$D$31,2,FALSE)</f>
        <v>Chennai</v>
      </c>
      <c r="R256" s="1" t="str">
        <f ca="1">VLOOKUP(D256,Routes!$A$2:$D$31,3,FALSE)</f>
        <v>Coimbatore</v>
      </c>
      <c r="S256" s="3">
        <f ca="1">VLOOKUP(D256,Routes!$A$2:$D$31,4,FALSE)</f>
        <v>500</v>
      </c>
      <c r="T256" s="3" t="str">
        <f ca="1">VLOOKUP(E256,Vehicles!$A$2:$D$21,2,FALSE)</f>
        <v>Truck</v>
      </c>
      <c r="U256" s="3">
        <f ca="1">VLOOKUP(E256,Vehicles!$A$2:$D$21,3,FALSE)</f>
        <v>16</v>
      </c>
      <c r="V256" s="3" t="str">
        <f ca="1">VLOOKUP(E256,Vehicles!$A$2:$D$21,4,FALSE)</f>
        <v>Diesel</v>
      </c>
      <c r="W256" s="3">
        <f ca="1">VLOOKUP(V256,Fuel_Rates!$A$2:$B$3,2,FALSE)</f>
        <v>95</v>
      </c>
      <c r="X256" s="3">
        <f t="shared" ca="1" si="63"/>
        <v>39.69</v>
      </c>
      <c r="Y256" s="3">
        <f t="shared" ca="1" si="64"/>
        <v>27195</v>
      </c>
      <c r="Z256" s="3" t="str">
        <f t="shared" ca="1" si="65"/>
        <v>Jun</v>
      </c>
      <c r="AA256" s="3" t="str">
        <f t="shared" ca="1" si="66"/>
        <v>Q2</v>
      </c>
      <c r="AB256" s="4" t="str">
        <f t="shared" ca="1" si="67"/>
        <v>Medium Haul</v>
      </c>
    </row>
    <row r="257" spans="1:28" x14ac:dyDescent="0.3">
      <c r="A257" s="8" t="str">
        <f t="shared" si="62"/>
        <v>S0256</v>
      </c>
      <c r="B257" s="3">
        <f t="shared" ca="1" si="51"/>
        <v>45928</v>
      </c>
      <c r="C257" s="3" t="str">
        <f ca="1">INDEX(Customers!$A$2:$A$21,RANDBETWEEN(1,20))</f>
        <v>C018</v>
      </c>
      <c r="D257" s="3" t="str">
        <f ca="1">INDEX(Routes!$A$2:$A$31,RANDBETWEEN(1,30))</f>
        <v>R014</v>
      </c>
      <c r="E257" s="3" t="str">
        <f ca="1">INDEX(Vehicles!$A$2:$A$21,RANDBETWEEN(1,20))</f>
        <v>V012</v>
      </c>
      <c r="F257" s="3" t="str">
        <f ca="1">INDEX(Drivers!$A$2:$A$31,RANDBETWEEN(1,30))</f>
        <v>D002</v>
      </c>
      <c r="G257" s="3">
        <f t="shared" ca="1" si="52"/>
        <v>3.3</v>
      </c>
      <c r="H257" s="3">
        <f t="shared" ca="1" si="53"/>
        <v>10465</v>
      </c>
      <c r="I257" s="3">
        <f t="shared" ca="1" si="54"/>
        <v>2930</v>
      </c>
      <c r="J257" s="3">
        <f t="shared" ca="1" si="55"/>
        <v>2618</v>
      </c>
      <c r="K257" s="3">
        <f t="shared" ca="1" si="56"/>
        <v>35</v>
      </c>
      <c r="L257" s="3">
        <f t="shared" ca="1" si="57"/>
        <v>40</v>
      </c>
      <c r="M257" s="3">
        <f t="shared" ca="1" si="58"/>
        <v>5</v>
      </c>
      <c r="N257" s="3" t="str">
        <f t="shared" ca="1" si="59"/>
        <v>Delayed</v>
      </c>
      <c r="O257" s="3" t="str">
        <f t="shared" ca="1" si="60"/>
        <v>Medium</v>
      </c>
      <c r="P257" s="3">
        <f t="shared" ca="1" si="61"/>
        <v>11</v>
      </c>
      <c r="Q257" s="1" t="str">
        <f ca="1">VLOOKUP(D257,Routes!$A$2:$D$31,2,FALSE)</f>
        <v>Hyderabad</v>
      </c>
      <c r="R257" s="1" t="str">
        <f ca="1">VLOOKUP(D257,Routes!$A$2:$D$31,3,FALSE)</f>
        <v>Nagpur</v>
      </c>
      <c r="S257" s="3">
        <f ca="1">VLOOKUP(D257,Routes!$A$2:$D$31,4,FALSE)</f>
        <v>500</v>
      </c>
      <c r="T257" s="3" t="str">
        <f ca="1">VLOOKUP(E257,Vehicles!$A$2:$D$21,2,FALSE)</f>
        <v>Truck</v>
      </c>
      <c r="U257" s="3">
        <f ca="1">VLOOKUP(E257,Vehicles!$A$2:$D$21,3,FALSE)</f>
        <v>20</v>
      </c>
      <c r="V257" s="3" t="str">
        <f ca="1">VLOOKUP(E257,Vehicles!$A$2:$D$21,4,FALSE)</f>
        <v>CNG</v>
      </c>
      <c r="W257" s="3">
        <f ca="1">VLOOKUP(V257,Fuel_Rates!$A$2:$B$3,2,FALSE)</f>
        <v>78</v>
      </c>
      <c r="X257" s="3">
        <f t="shared" ca="1" si="63"/>
        <v>20.93</v>
      </c>
      <c r="Y257" s="3">
        <f t="shared" ca="1" si="64"/>
        <v>16013</v>
      </c>
      <c r="Z257" s="3" t="str">
        <f t="shared" ca="1" si="65"/>
        <v>Sep</v>
      </c>
      <c r="AA257" s="3" t="str">
        <f t="shared" ca="1" si="66"/>
        <v>Q3</v>
      </c>
      <c r="AB257" s="4" t="str">
        <f t="shared" ca="1" si="67"/>
        <v>Medium Haul</v>
      </c>
    </row>
    <row r="258" spans="1:28" x14ac:dyDescent="0.3">
      <c r="A258" s="8" t="str">
        <f t="shared" si="62"/>
        <v>S0257</v>
      </c>
      <c r="B258" s="3">
        <f t="shared" ref="B258:B321" ca="1" si="68">DATE(2025,RANDBETWEEN(1,12),RANDBETWEEN(1,28))</f>
        <v>45920</v>
      </c>
      <c r="C258" s="3" t="str">
        <f ca="1">INDEX(Customers!$A$2:$A$21,RANDBETWEEN(1,20))</f>
        <v>C008</v>
      </c>
      <c r="D258" s="3" t="str">
        <f ca="1">INDEX(Routes!$A$2:$A$31,RANDBETWEEN(1,30))</f>
        <v>R002</v>
      </c>
      <c r="E258" s="3" t="str">
        <f ca="1">INDEX(Vehicles!$A$2:$A$21,RANDBETWEEN(1,20))</f>
        <v>V003</v>
      </c>
      <c r="F258" s="3" t="str">
        <f ca="1">INDEX(Drivers!$A$2:$A$31,RANDBETWEEN(1,30))</f>
        <v>D016</v>
      </c>
      <c r="G258" s="3">
        <f t="shared" ref="G258:G321" ca="1" si="69">ROUND(RANDBETWEEN(20,300)/10,1)</f>
        <v>5.3</v>
      </c>
      <c r="H258" s="3">
        <f t="shared" ref="H258:H321" ca="1" si="70">ROUND((G258*1800)+RANDBETWEEN(3000,15000),0)</f>
        <v>16316</v>
      </c>
      <c r="I258" s="3">
        <f t="shared" ref="I258:I321" ca="1" si="71">ROUND(H258*0.28,0)</f>
        <v>4568</v>
      </c>
      <c r="J258" s="3">
        <f t="shared" ref="J258:J321" ca="1" si="72">RANDBETWEEN(500,4000)</f>
        <v>996</v>
      </c>
      <c r="K258" s="3">
        <f t="shared" ref="K258:K321" ca="1" si="73">RANDBETWEEN(4,48)</f>
        <v>37</v>
      </c>
      <c r="L258" s="3">
        <f t="shared" ref="L258:L321" ca="1" si="74">K258+RANDBETWEEN(0,8)</f>
        <v>39</v>
      </c>
      <c r="M258" s="3">
        <f t="shared" ref="M258:M321" ca="1" si="75">L258-K258</f>
        <v>2</v>
      </c>
      <c r="N258" s="3" t="str">
        <f t="shared" ref="N258:N321" ca="1" si="76">IF(M258&lt;=2,"On Time","Delayed")</f>
        <v>On Time</v>
      </c>
      <c r="O258" s="3" t="str">
        <f t="shared" ref="O258:O321" ca="1" si="77">CHOOSE(RANDBETWEEN(1,3),"High","Medium","Low")</f>
        <v>Low</v>
      </c>
      <c r="P258" s="3">
        <f t="shared" ref="P258:P321" ca="1" si="78">ROUND((G258/30)*100,1)</f>
        <v>17.7</v>
      </c>
      <c r="Q258" s="1" t="str">
        <f ca="1">VLOOKUP(D258,Routes!$A$2:$D$31,2,FALSE)</f>
        <v>Mumbai</v>
      </c>
      <c r="R258" s="1" t="str">
        <f ca="1">VLOOKUP(D258,Routes!$A$2:$D$31,3,FALSE)</f>
        <v>Ahmedabad</v>
      </c>
      <c r="S258" s="3">
        <f ca="1">VLOOKUP(D258,Routes!$A$2:$D$31,4,FALSE)</f>
        <v>530</v>
      </c>
      <c r="T258" s="3" t="str">
        <f ca="1">VLOOKUP(E258,Vehicles!$A$2:$D$21,2,FALSE)</f>
        <v>Truck</v>
      </c>
      <c r="U258" s="3">
        <f ca="1">VLOOKUP(E258,Vehicles!$A$2:$D$21,3,FALSE)</f>
        <v>25</v>
      </c>
      <c r="V258" s="3" t="str">
        <f ca="1">VLOOKUP(E258,Vehicles!$A$2:$D$21,4,FALSE)</f>
        <v>Diesel</v>
      </c>
      <c r="W258" s="3">
        <f ca="1">VLOOKUP(V258,Fuel_Rates!$A$2:$B$3,2,FALSE)</f>
        <v>95</v>
      </c>
      <c r="X258" s="3">
        <f t="shared" ca="1" si="63"/>
        <v>30.78</v>
      </c>
      <c r="Y258" s="3">
        <f t="shared" ca="1" si="64"/>
        <v>21880</v>
      </c>
      <c r="Z258" s="3" t="str">
        <f t="shared" ca="1" si="65"/>
        <v>Sep</v>
      </c>
      <c r="AA258" s="3" t="str">
        <f t="shared" ca="1" si="66"/>
        <v>Q3</v>
      </c>
      <c r="AB258" s="4" t="str">
        <f t="shared" ca="1" si="67"/>
        <v>Medium Haul</v>
      </c>
    </row>
    <row r="259" spans="1:28" x14ac:dyDescent="0.3">
      <c r="A259" s="8" t="str">
        <f t="shared" ref="A259:A322" si="79">"S"&amp;TEXT(ROW()-1,"0000")</f>
        <v>S0258</v>
      </c>
      <c r="B259" s="3">
        <f t="shared" ca="1" si="68"/>
        <v>45840</v>
      </c>
      <c r="C259" s="3" t="str">
        <f ca="1">INDEX(Customers!$A$2:$A$21,RANDBETWEEN(1,20))</f>
        <v>C002</v>
      </c>
      <c r="D259" s="3" t="str">
        <f ca="1">INDEX(Routes!$A$2:$A$31,RANDBETWEEN(1,30))</f>
        <v>R026</v>
      </c>
      <c r="E259" s="3" t="str">
        <f ca="1">INDEX(Vehicles!$A$2:$A$21,RANDBETWEEN(1,20))</f>
        <v>V004</v>
      </c>
      <c r="F259" s="3" t="str">
        <f ca="1">INDEX(Drivers!$A$2:$A$31,RANDBETWEEN(1,30))</f>
        <v>D013</v>
      </c>
      <c r="G259" s="3">
        <f t="shared" ca="1" si="69"/>
        <v>12.9</v>
      </c>
      <c r="H259" s="3">
        <f t="shared" ca="1" si="70"/>
        <v>29145</v>
      </c>
      <c r="I259" s="3">
        <f t="shared" ca="1" si="71"/>
        <v>8161</v>
      </c>
      <c r="J259" s="3">
        <f t="shared" ca="1" si="72"/>
        <v>1125</v>
      </c>
      <c r="K259" s="3">
        <f t="shared" ca="1" si="73"/>
        <v>26</v>
      </c>
      <c r="L259" s="3">
        <f t="shared" ca="1" si="74"/>
        <v>27</v>
      </c>
      <c r="M259" s="3">
        <f t="shared" ca="1" si="75"/>
        <v>1</v>
      </c>
      <c r="N259" s="3" t="str">
        <f t="shared" ca="1" si="76"/>
        <v>On Time</v>
      </c>
      <c r="O259" s="3" t="str">
        <f t="shared" ca="1" si="77"/>
        <v>High</v>
      </c>
      <c r="P259" s="3">
        <f t="shared" ca="1" si="78"/>
        <v>43</v>
      </c>
      <c r="Q259" s="1" t="str">
        <f ca="1">VLOOKUP(D259,Routes!$A$2:$D$31,2,FALSE)</f>
        <v>Nagpur</v>
      </c>
      <c r="R259" s="1" t="str">
        <f ca="1">VLOOKUP(D259,Routes!$A$2:$D$31,3,FALSE)</f>
        <v>Bhopal</v>
      </c>
      <c r="S259" s="3">
        <f ca="1">VLOOKUP(D259,Routes!$A$2:$D$31,4,FALSE)</f>
        <v>350</v>
      </c>
      <c r="T259" s="3" t="str">
        <f ca="1">VLOOKUP(E259,Vehicles!$A$2:$D$21,2,FALSE)</f>
        <v>Trailer</v>
      </c>
      <c r="U259" s="3">
        <f ca="1">VLOOKUP(E259,Vehicles!$A$2:$D$21,3,FALSE)</f>
        <v>28</v>
      </c>
      <c r="V259" s="3" t="str">
        <f ca="1">VLOOKUP(E259,Vehicles!$A$2:$D$21,4,FALSE)</f>
        <v>Diesel</v>
      </c>
      <c r="W259" s="3">
        <f ca="1">VLOOKUP(V259,Fuel_Rates!$A$2:$B$3,2,FALSE)</f>
        <v>95</v>
      </c>
      <c r="X259" s="3">
        <f t="shared" ref="X259:X322" ca="1" si="80">ROUND(H259/S259,2)</f>
        <v>83.27</v>
      </c>
      <c r="Y259" s="3">
        <f t="shared" ref="Y259:Y322" ca="1" si="81">H259+I259+J259</f>
        <v>38431</v>
      </c>
      <c r="Z259" s="3" t="str">
        <f t="shared" ref="Z259:Z322" ca="1" si="82">TEXT(B259,"mmm")</f>
        <v>Jul</v>
      </c>
      <c r="AA259" s="3" t="str">
        <f t="shared" ref="AA259:AA322" ca="1" si="83">"Q"&amp;ROUNDUP(MONTH(B259)/3,0)</f>
        <v>Q3</v>
      </c>
      <c r="AB259" s="4" t="str">
        <f t="shared" ref="AB259:AB322" ca="1" si="84">IF(S259&lt;300,"Short Haul",IF(S259&lt;800,"Medium Haul","Long Haul"))</f>
        <v>Medium Haul</v>
      </c>
    </row>
    <row r="260" spans="1:28" x14ac:dyDescent="0.3">
      <c r="A260" s="8" t="str">
        <f t="shared" si="79"/>
        <v>S0259</v>
      </c>
      <c r="B260" s="3">
        <f t="shared" ca="1" si="68"/>
        <v>45999</v>
      </c>
      <c r="C260" s="3" t="str">
        <f ca="1">INDEX(Customers!$A$2:$A$21,RANDBETWEEN(1,20))</f>
        <v>C020</v>
      </c>
      <c r="D260" s="3" t="str">
        <f ca="1">INDEX(Routes!$A$2:$A$31,RANDBETWEEN(1,30))</f>
        <v>R029</v>
      </c>
      <c r="E260" s="3" t="str">
        <f ca="1">INDEX(Vehicles!$A$2:$A$21,RANDBETWEEN(1,20))</f>
        <v>V018</v>
      </c>
      <c r="F260" s="3" t="str">
        <f ca="1">INDEX(Drivers!$A$2:$A$31,RANDBETWEEN(1,30))</f>
        <v>D011</v>
      </c>
      <c r="G260" s="3">
        <f t="shared" ca="1" si="69"/>
        <v>29.9</v>
      </c>
      <c r="H260" s="3">
        <f t="shared" ca="1" si="70"/>
        <v>67457</v>
      </c>
      <c r="I260" s="3">
        <f t="shared" ca="1" si="71"/>
        <v>18888</v>
      </c>
      <c r="J260" s="3">
        <f t="shared" ca="1" si="72"/>
        <v>510</v>
      </c>
      <c r="K260" s="3">
        <f t="shared" ca="1" si="73"/>
        <v>44</v>
      </c>
      <c r="L260" s="3">
        <f t="shared" ca="1" si="74"/>
        <v>48</v>
      </c>
      <c r="M260" s="3">
        <f t="shared" ca="1" si="75"/>
        <v>4</v>
      </c>
      <c r="N260" s="3" t="str">
        <f t="shared" ca="1" si="76"/>
        <v>Delayed</v>
      </c>
      <c r="O260" s="3" t="str">
        <f t="shared" ca="1" si="77"/>
        <v>High</v>
      </c>
      <c r="P260" s="3">
        <f t="shared" ca="1" si="78"/>
        <v>99.7</v>
      </c>
      <c r="Q260" s="1" t="str">
        <f ca="1">VLOOKUP(D260,Routes!$A$2:$D$31,2,FALSE)</f>
        <v>Chandigarh</v>
      </c>
      <c r="R260" s="1" t="str">
        <f ca="1">VLOOKUP(D260,Routes!$A$2:$D$31,3,FALSE)</f>
        <v>Delhi</v>
      </c>
      <c r="S260" s="3">
        <f ca="1">VLOOKUP(D260,Routes!$A$2:$D$31,4,FALSE)</f>
        <v>250</v>
      </c>
      <c r="T260" s="3" t="str">
        <f ca="1">VLOOKUP(E260,Vehicles!$A$2:$D$21,2,FALSE)</f>
        <v>Truck</v>
      </c>
      <c r="U260" s="3">
        <f ca="1">VLOOKUP(E260,Vehicles!$A$2:$D$21,3,FALSE)</f>
        <v>26</v>
      </c>
      <c r="V260" s="3" t="str">
        <f ca="1">VLOOKUP(E260,Vehicles!$A$2:$D$21,4,FALSE)</f>
        <v>Diesel</v>
      </c>
      <c r="W260" s="3">
        <f ca="1">VLOOKUP(V260,Fuel_Rates!$A$2:$B$3,2,FALSE)</f>
        <v>95</v>
      </c>
      <c r="X260" s="3">
        <f t="shared" ca="1" si="80"/>
        <v>269.83</v>
      </c>
      <c r="Y260" s="3">
        <f t="shared" ca="1" si="81"/>
        <v>86855</v>
      </c>
      <c r="Z260" s="3" t="str">
        <f t="shared" ca="1" si="82"/>
        <v>Dec</v>
      </c>
      <c r="AA260" s="3" t="str">
        <f t="shared" ca="1" si="83"/>
        <v>Q4</v>
      </c>
      <c r="AB260" s="4" t="str">
        <f t="shared" ca="1" si="84"/>
        <v>Short Haul</v>
      </c>
    </row>
    <row r="261" spans="1:28" x14ac:dyDescent="0.3">
      <c r="A261" s="8" t="str">
        <f t="shared" si="79"/>
        <v>S0260</v>
      </c>
      <c r="B261" s="3">
        <f t="shared" ca="1" si="68"/>
        <v>45942</v>
      </c>
      <c r="C261" s="3" t="str">
        <f ca="1">INDEX(Customers!$A$2:$A$21,RANDBETWEEN(1,20))</f>
        <v>C004</v>
      </c>
      <c r="D261" s="3" t="str">
        <f ca="1">INDEX(Routes!$A$2:$A$31,RANDBETWEEN(1,30))</f>
        <v>R023</v>
      </c>
      <c r="E261" s="3" t="str">
        <f ca="1">INDEX(Vehicles!$A$2:$A$21,RANDBETWEEN(1,20))</f>
        <v>V004</v>
      </c>
      <c r="F261" s="3" t="str">
        <f ca="1">INDEX(Drivers!$A$2:$A$31,RANDBETWEEN(1,30))</f>
        <v>D029</v>
      </c>
      <c r="G261" s="3">
        <f t="shared" ca="1" si="69"/>
        <v>5.0999999999999996</v>
      </c>
      <c r="H261" s="3">
        <f t="shared" ca="1" si="70"/>
        <v>20597</v>
      </c>
      <c r="I261" s="3">
        <f t="shared" ca="1" si="71"/>
        <v>5767</v>
      </c>
      <c r="J261" s="3">
        <f t="shared" ca="1" si="72"/>
        <v>3128</v>
      </c>
      <c r="K261" s="3">
        <f t="shared" ca="1" si="73"/>
        <v>35</v>
      </c>
      <c r="L261" s="3">
        <f t="shared" ca="1" si="74"/>
        <v>40</v>
      </c>
      <c r="M261" s="3">
        <f t="shared" ca="1" si="75"/>
        <v>5</v>
      </c>
      <c r="N261" s="3" t="str">
        <f t="shared" ca="1" si="76"/>
        <v>Delayed</v>
      </c>
      <c r="O261" s="3" t="str">
        <f t="shared" ca="1" si="77"/>
        <v>Low</v>
      </c>
      <c r="P261" s="3">
        <f t="shared" ca="1" si="78"/>
        <v>17</v>
      </c>
      <c r="Q261" s="1" t="str">
        <f ca="1">VLOOKUP(D261,Routes!$A$2:$D$31,2,FALSE)</f>
        <v>Kochi</v>
      </c>
      <c r="R261" s="1" t="str">
        <f ca="1">VLOOKUP(D261,Routes!$A$2:$D$31,3,FALSE)</f>
        <v>Bengaluru</v>
      </c>
      <c r="S261" s="3">
        <f ca="1">VLOOKUP(D261,Routes!$A$2:$D$31,4,FALSE)</f>
        <v>550</v>
      </c>
      <c r="T261" s="3" t="str">
        <f ca="1">VLOOKUP(E261,Vehicles!$A$2:$D$21,2,FALSE)</f>
        <v>Trailer</v>
      </c>
      <c r="U261" s="3">
        <f ca="1">VLOOKUP(E261,Vehicles!$A$2:$D$21,3,FALSE)</f>
        <v>28</v>
      </c>
      <c r="V261" s="3" t="str">
        <f ca="1">VLOOKUP(E261,Vehicles!$A$2:$D$21,4,FALSE)</f>
        <v>Diesel</v>
      </c>
      <c r="W261" s="3">
        <f ca="1">VLOOKUP(V261,Fuel_Rates!$A$2:$B$3,2,FALSE)</f>
        <v>95</v>
      </c>
      <c r="X261" s="3">
        <f t="shared" ca="1" si="80"/>
        <v>37.450000000000003</v>
      </c>
      <c r="Y261" s="3">
        <f t="shared" ca="1" si="81"/>
        <v>29492</v>
      </c>
      <c r="Z261" s="3" t="str">
        <f t="shared" ca="1" si="82"/>
        <v>Oct</v>
      </c>
      <c r="AA261" s="3" t="str">
        <f t="shared" ca="1" si="83"/>
        <v>Q4</v>
      </c>
      <c r="AB261" s="4" t="str">
        <f t="shared" ca="1" si="84"/>
        <v>Medium Haul</v>
      </c>
    </row>
    <row r="262" spans="1:28" x14ac:dyDescent="0.3">
      <c r="A262" s="8" t="str">
        <f t="shared" si="79"/>
        <v>S0261</v>
      </c>
      <c r="B262" s="3">
        <f t="shared" ca="1" si="68"/>
        <v>45966</v>
      </c>
      <c r="C262" s="3" t="str">
        <f ca="1">INDEX(Customers!$A$2:$A$21,RANDBETWEEN(1,20))</f>
        <v>C010</v>
      </c>
      <c r="D262" s="3" t="str">
        <f ca="1">INDEX(Routes!$A$2:$A$31,RANDBETWEEN(1,30))</f>
        <v>R009</v>
      </c>
      <c r="E262" s="3" t="str">
        <f ca="1">INDEX(Vehicles!$A$2:$A$21,RANDBETWEEN(1,20))</f>
        <v>V011</v>
      </c>
      <c r="F262" s="3" t="str">
        <f ca="1">INDEX(Drivers!$A$2:$A$31,RANDBETWEEN(1,30))</f>
        <v>D006</v>
      </c>
      <c r="G262" s="3">
        <f t="shared" ca="1" si="69"/>
        <v>8.6999999999999993</v>
      </c>
      <c r="H262" s="3">
        <f t="shared" ca="1" si="70"/>
        <v>23069</v>
      </c>
      <c r="I262" s="3">
        <f t="shared" ca="1" si="71"/>
        <v>6459</v>
      </c>
      <c r="J262" s="3">
        <f t="shared" ca="1" si="72"/>
        <v>2396</v>
      </c>
      <c r="K262" s="3">
        <f t="shared" ca="1" si="73"/>
        <v>21</v>
      </c>
      <c r="L262" s="3">
        <f t="shared" ca="1" si="74"/>
        <v>27</v>
      </c>
      <c r="M262" s="3">
        <f t="shared" ca="1" si="75"/>
        <v>6</v>
      </c>
      <c r="N262" s="3" t="str">
        <f t="shared" ca="1" si="76"/>
        <v>Delayed</v>
      </c>
      <c r="O262" s="3" t="str">
        <f t="shared" ca="1" si="77"/>
        <v>Medium</v>
      </c>
      <c r="P262" s="3">
        <f t="shared" ca="1" si="78"/>
        <v>29</v>
      </c>
      <c r="Q262" s="1" t="str">
        <f ca="1">VLOOKUP(D262,Routes!$A$2:$D$31,2,FALSE)</f>
        <v>Bengaluru</v>
      </c>
      <c r="R262" s="1" t="str">
        <f ca="1">VLOOKUP(D262,Routes!$A$2:$D$31,3,FALSE)</f>
        <v>Chennai</v>
      </c>
      <c r="S262" s="3">
        <f ca="1">VLOOKUP(D262,Routes!$A$2:$D$31,4,FALSE)</f>
        <v>350</v>
      </c>
      <c r="T262" s="3" t="str">
        <f ca="1">VLOOKUP(E262,Vehicles!$A$2:$D$21,2,FALSE)</f>
        <v>Truck</v>
      </c>
      <c r="U262" s="3">
        <f ca="1">VLOOKUP(E262,Vehicles!$A$2:$D$21,3,FALSE)</f>
        <v>18</v>
      </c>
      <c r="V262" s="3" t="str">
        <f ca="1">VLOOKUP(E262,Vehicles!$A$2:$D$21,4,FALSE)</f>
        <v>CNG</v>
      </c>
      <c r="W262" s="3">
        <f ca="1">VLOOKUP(V262,Fuel_Rates!$A$2:$B$3,2,FALSE)</f>
        <v>78</v>
      </c>
      <c r="X262" s="3">
        <f t="shared" ca="1" si="80"/>
        <v>65.91</v>
      </c>
      <c r="Y262" s="3">
        <f t="shared" ca="1" si="81"/>
        <v>31924</v>
      </c>
      <c r="Z262" s="3" t="str">
        <f t="shared" ca="1" si="82"/>
        <v>Nov</v>
      </c>
      <c r="AA262" s="3" t="str">
        <f t="shared" ca="1" si="83"/>
        <v>Q4</v>
      </c>
      <c r="AB262" s="4" t="str">
        <f t="shared" ca="1" si="84"/>
        <v>Medium Haul</v>
      </c>
    </row>
    <row r="263" spans="1:28" x14ac:dyDescent="0.3">
      <c r="A263" s="8" t="str">
        <f t="shared" si="79"/>
        <v>S0262</v>
      </c>
      <c r="B263" s="3">
        <f t="shared" ca="1" si="68"/>
        <v>45718</v>
      </c>
      <c r="C263" s="3" t="str">
        <f ca="1">INDEX(Customers!$A$2:$A$21,RANDBETWEEN(1,20))</f>
        <v>C010</v>
      </c>
      <c r="D263" s="3" t="str">
        <f ca="1">INDEX(Routes!$A$2:$A$31,RANDBETWEEN(1,30))</f>
        <v>R027</v>
      </c>
      <c r="E263" s="3" t="str">
        <f ca="1">INDEX(Vehicles!$A$2:$A$21,RANDBETWEEN(1,20))</f>
        <v>V009</v>
      </c>
      <c r="F263" s="3" t="str">
        <f ca="1">INDEX(Drivers!$A$2:$A$31,RANDBETWEEN(1,30))</f>
        <v>D005</v>
      </c>
      <c r="G263" s="3">
        <f t="shared" ca="1" si="69"/>
        <v>8</v>
      </c>
      <c r="H263" s="3">
        <f t="shared" ca="1" si="70"/>
        <v>27739</v>
      </c>
      <c r="I263" s="3">
        <f t="shared" ca="1" si="71"/>
        <v>7767</v>
      </c>
      <c r="J263" s="3">
        <f t="shared" ca="1" si="72"/>
        <v>859</v>
      </c>
      <c r="K263" s="3">
        <f t="shared" ca="1" si="73"/>
        <v>29</v>
      </c>
      <c r="L263" s="3">
        <f t="shared" ca="1" si="74"/>
        <v>33</v>
      </c>
      <c r="M263" s="3">
        <f t="shared" ca="1" si="75"/>
        <v>4</v>
      </c>
      <c r="N263" s="3" t="str">
        <f t="shared" ca="1" si="76"/>
        <v>Delayed</v>
      </c>
      <c r="O263" s="3" t="str">
        <f t="shared" ca="1" si="77"/>
        <v>Medium</v>
      </c>
      <c r="P263" s="3">
        <f t="shared" ca="1" si="78"/>
        <v>26.7</v>
      </c>
      <c r="Q263" s="1" t="str">
        <f ca="1">VLOOKUP(D263,Routes!$A$2:$D$31,2,FALSE)</f>
        <v>Patna</v>
      </c>
      <c r="R263" s="1" t="str">
        <f ca="1">VLOOKUP(D263,Routes!$A$2:$D$31,3,FALSE)</f>
        <v>Ranchi</v>
      </c>
      <c r="S263" s="3">
        <f ca="1">VLOOKUP(D263,Routes!$A$2:$D$31,4,FALSE)</f>
        <v>330</v>
      </c>
      <c r="T263" s="3" t="str">
        <f ca="1">VLOOKUP(E263,Vehicles!$A$2:$D$21,2,FALSE)</f>
        <v>LCV</v>
      </c>
      <c r="U263" s="3">
        <f ca="1">VLOOKUP(E263,Vehicles!$A$2:$D$21,3,FALSE)</f>
        <v>5</v>
      </c>
      <c r="V263" s="3" t="str">
        <f ca="1">VLOOKUP(E263,Vehicles!$A$2:$D$21,4,FALSE)</f>
        <v>Diesel</v>
      </c>
      <c r="W263" s="3">
        <f ca="1">VLOOKUP(V263,Fuel_Rates!$A$2:$B$3,2,FALSE)</f>
        <v>95</v>
      </c>
      <c r="X263" s="3">
        <f t="shared" ca="1" si="80"/>
        <v>84.06</v>
      </c>
      <c r="Y263" s="3">
        <f t="shared" ca="1" si="81"/>
        <v>36365</v>
      </c>
      <c r="Z263" s="3" t="str">
        <f t="shared" ca="1" si="82"/>
        <v>Mar</v>
      </c>
      <c r="AA263" s="3" t="str">
        <f t="shared" ca="1" si="83"/>
        <v>Q1</v>
      </c>
      <c r="AB263" s="4" t="str">
        <f t="shared" ca="1" si="84"/>
        <v>Medium Haul</v>
      </c>
    </row>
    <row r="264" spans="1:28" x14ac:dyDescent="0.3">
      <c r="A264" s="8" t="str">
        <f t="shared" si="79"/>
        <v>S0263</v>
      </c>
      <c r="B264" s="3">
        <f t="shared" ca="1" si="68"/>
        <v>45883</v>
      </c>
      <c r="C264" s="3" t="str">
        <f ca="1">INDEX(Customers!$A$2:$A$21,RANDBETWEEN(1,20))</f>
        <v>C010</v>
      </c>
      <c r="D264" s="3" t="str">
        <f ca="1">INDEX(Routes!$A$2:$A$31,RANDBETWEEN(1,30))</f>
        <v>R026</v>
      </c>
      <c r="E264" s="3" t="str">
        <f ca="1">INDEX(Vehicles!$A$2:$A$21,RANDBETWEEN(1,20))</f>
        <v>V013</v>
      </c>
      <c r="F264" s="3" t="str">
        <f ca="1">INDEX(Drivers!$A$2:$A$31,RANDBETWEEN(1,30))</f>
        <v>D016</v>
      </c>
      <c r="G264" s="3">
        <f t="shared" ca="1" si="69"/>
        <v>8</v>
      </c>
      <c r="H264" s="3">
        <f t="shared" ca="1" si="70"/>
        <v>27574</v>
      </c>
      <c r="I264" s="3">
        <f t="shared" ca="1" si="71"/>
        <v>7721</v>
      </c>
      <c r="J264" s="3">
        <f t="shared" ca="1" si="72"/>
        <v>1655</v>
      </c>
      <c r="K264" s="3">
        <f t="shared" ca="1" si="73"/>
        <v>21</v>
      </c>
      <c r="L264" s="3">
        <f t="shared" ca="1" si="74"/>
        <v>24</v>
      </c>
      <c r="M264" s="3">
        <f t="shared" ca="1" si="75"/>
        <v>3</v>
      </c>
      <c r="N264" s="3" t="str">
        <f t="shared" ca="1" si="76"/>
        <v>Delayed</v>
      </c>
      <c r="O264" s="3" t="str">
        <f t="shared" ca="1" si="77"/>
        <v>High</v>
      </c>
      <c r="P264" s="3">
        <f t="shared" ca="1" si="78"/>
        <v>26.7</v>
      </c>
      <c r="Q264" s="1" t="str">
        <f ca="1">VLOOKUP(D264,Routes!$A$2:$D$31,2,FALSE)</f>
        <v>Nagpur</v>
      </c>
      <c r="R264" s="1" t="str">
        <f ca="1">VLOOKUP(D264,Routes!$A$2:$D$31,3,FALSE)</f>
        <v>Bhopal</v>
      </c>
      <c r="S264" s="3">
        <f ca="1">VLOOKUP(D264,Routes!$A$2:$D$31,4,FALSE)</f>
        <v>350</v>
      </c>
      <c r="T264" s="3" t="str">
        <f ca="1">VLOOKUP(E264,Vehicles!$A$2:$D$21,2,FALSE)</f>
        <v>LCV</v>
      </c>
      <c r="U264" s="3">
        <f ca="1">VLOOKUP(E264,Vehicles!$A$2:$D$21,3,FALSE)</f>
        <v>4</v>
      </c>
      <c r="V264" s="3" t="str">
        <f ca="1">VLOOKUP(E264,Vehicles!$A$2:$D$21,4,FALSE)</f>
        <v>CNG</v>
      </c>
      <c r="W264" s="3">
        <f ca="1">VLOOKUP(V264,Fuel_Rates!$A$2:$B$3,2,FALSE)</f>
        <v>78</v>
      </c>
      <c r="X264" s="3">
        <f t="shared" ca="1" si="80"/>
        <v>78.78</v>
      </c>
      <c r="Y264" s="3">
        <f t="shared" ca="1" si="81"/>
        <v>36950</v>
      </c>
      <c r="Z264" s="3" t="str">
        <f t="shared" ca="1" si="82"/>
        <v>Aug</v>
      </c>
      <c r="AA264" s="3" t="str">
        <f t="shared" ca="1" si="83"/>
        <v>Q3</v>
      </c>
      <c r="AB264" s="4" t="str">
        <f t="shared" ca="1" si="84"/>
        <v>Medium Haul</v>
      </c>
    </row>
    <row r="265" spans="1:28" x14ac:dyDescent="0.3">
      <c r="A265" s="8" t="str">
        <f t="shared" si="79"/>
        <v>S0264</v>
      </c>
      <c r="B265" s="3">
        <f t="shared" ca="1" si="68"/>
        <v>45998</v>
      </c>
      <c r="C265" s="3" t="str">
        <f ca="1">INDEX(Customers!$A$2:$A$21,RANDBETWEEN(1,20))</f>
        <v>C008</v>
      </c>
      <c r="D265" s="3" t="str">
        <f ca="1">INDEX(Routes!$A$2:$A$31,RANDBETWEEN(1,30))</f>
        <v>R025</v>
      </c>
      <c r="E265" s="3" t="str">
        <f ca="1">INDEX(Vehicles!$A$2:$A$21,RANDBETWEEN(1,20))</f>
        <v>V009</v>
      </c>
      <c r="F265" s="3" t="str">
        <f ca="1">INDEX(Drivers!$A$2:$A$31,RANDBETWEEN(1,30))</f>
        <v>D011</v>
      </c>
      <c r="G265" s="3">
        <f t="shared" ca="1" si="69"/>
        <v>28.7</v>
      </c>
      <c r="H265" s="3">
        <f t="shared" ca="1" si="70"/>
        <v>59473</v>
      </c>
      <c r="I265" s="3">
        <f t="shared" ca="1" si="71"/>
        <v>16652</v>
      </c>
      <c r="J265" s="3">
        <f t="shared" ca="1" si="72"/>
        <v>1062</v>
      </c>
      <c r="K265" s="3">
        <f t="shared" ca="1" si="73"/>
        <v>43</v>
      </c>
      <c r="L265" s="3">
        <f t="shared" ca="1" si="74"/>
        <v>46</v>
      </c>
      <c r="M265" s="3">
        <f t="shared" ca="1" si="75"/>
        <v>3</v>
      </c>
      <c r="N265" s="3" t="str">
        <f t="shared" ca="1" si="76"/>
        <v>Delayed</v>
      </c>
      <c r="O265" s="3" t="str">
        <f t="shared" ca="1" si="77"/>
        <v>High</v>
      </c>
      <c r="P265" s="3">
        <f t="shared" ca="1" si="78"/>
        <v>95.7</v>
      </c>
      <c r="Q265" s="1" t="str">
        <f ca="1">VLOOKUP(D265,Routes!$A$2:$D$31,2,FALSE)</f>
        <v>Visakhapatnam</v>
      </c>
      <c r="R265" s="1" t="str">
        <f ca="1">VLOOKUP(D265,Routes!$A$2:$D$31,3,FALSE)</f>
        <v>Hyderabad</v>
      </c>
      <c r="S265" s="3">
        <f ca="1">VLOOKUP(D265,Routes!$A$2:$D$31,4,FALSE)</f>
        <v>620</v>
      </c>
      <c r="T265" s="3" t="str">
        <f ca="1">VLOOKUP(E265,Vehicles!$A$2:$D$21,2,FALSE)</f>
        <v>LCV</v>
      </c>
      <c r="U265" s="3">
        <f ca="1">VLOOKUP(E265,Vehicles!$A$2:$D$21,3,FALSE)</f>
        <v>5</v>
      </c>
      <c r="V265" s="3" t="str">
        <f ca="1">VLOOKUP(E265,Vehicles!$A$2:$D$21,4,FALSE)</f>
        <v>Diesel</v>
      </c>
      <c r="W265" s="3">
        <f ca="1">VLOOKUP(V265,Fuel_Rates!$A$2:$B$3,2,FALSE)</f>
        <v>95</v>
      </c>
      <c r="X265" s="3">
        <f t="shared" ca="1" si="80"/>
        <v>95.92</v>
      </c>
      <c r="Y265" s="3">
        <f t="shared" ca="1" si="81"/>
        <v>77187</v>
      </c>
      <c r="Z265" s="3" t="str">
        <f t="shared" ca="1" si="82"/>
        <v>Dec</v>
      </c>
      <c r="AA265" s="3" t="str">
        <f t="shared" ca="1" si="83"/>
        <v>Q4</v>
      </c>
      <c r="AB265" s="4" t="str">
        <f t="shared" ca="1" si="84"/>
        <v>Medium Haul</v>
      </c>
    </row>
    <row r="266" spans="1:28" x14ac:dyDescent="0.3">
      <c r="A266" s="8" t="str">
        <f t="shared" si="79"/>
        <v>S0265</v>
      </c>
      <c r="B266" s="3">
        <f t="shared" ca="1" si="68"/>
        <v>45857</v>
      </c>
      <c r="C266" s="3" t="str">
        <f ca="1">INDEX(Customers!$A$2:$A$21,RANDBETWEEN(1,20))</f>
        <v>C020</v>
      </c>
      <c r="D266" s="3" t="str">
        <f ca="1">INDEX(Routes!$A$2:$A$31,RANDBETWEEN(1,30))</f>
        <v>R022</v>
      </c>
      <c r="E266" s="3" t="str">
        <f ca="1">INDEX(Vehicles!$A$2:$A$21,RANDBETWEEN(1,20))</f>
        <v>V014</v>
      </c>
      <c r="F266" s="3" t="str">
        <f ca="1">INDEX(Drivers!$A$2:$A$31,RANDBETWEEN(1,30))</f>
        <v>D026</v>
      </c>
      <c r="G266" s="3">
        <f t="shared" ca="1" si="69"/>
        <v>16.399999999999999</v>
      </c>
      <c r="H266" s="3">
        <f t="shared" ca="1" si="70"/>
        <v>35661</v>
      </c>
      <c r="I266" s="3">
        <f t="shared" ca="1" si="71"/>
        <v>9985</v>
      </c>
      <c r="J266" s="3">
        <f t="shared" ca="1" si="72"/>
        <v>1282</v>
      </c>
      <c r="K266" s="3">
        <f t="shared" ca="1" si="73"/>
        <v>44</v>
      </c>
      <c r="L266" s="3">
        <f t="shared" ca="1" si="74"/>
        <v>50</v>
      </c>
      <c r="M266" s="3">
        <f t="shared" ca="1" si="75"/>
        <v>6</v>
      </c>
      <c r="N266" s="3" t="str">
        <f t="shared" ca="1" si="76"/>
        <v>Delayed</v>
      </c>
      <c r="O266" s="3" t="str">
        <f t="shared" ca="1" si="77"/>
        <v>Medium</v>
      </c>
      <c r="P266" s="3">
        <f t="shared" ca="1" si="78"/>
        <v>54.7</v>
      </c>
      <c r="Q266" s="1" t="str">
        <f ca="1">VLOOKUP(D266,Routes!$A$2:$D$31,2,FALSE)</f>
        <v>Jaipur</v>
      </c>
      <c r="R266" s="1" t="str">
        <f ca="1">VLOOKUP(D266,Routes!$A$2:$D$31,3,FALSE)</f>
        <v>Indore</v>
      </c>
      <c r="S266" s="3">
        <f ca="1">VLOOKUP(D266,Routes!$A$2:$D$31,4,FALSE)</f>
        <v>600</v>
      </c>
      <c r="T266" s="3" t="str">
        <f ca="1">VLOOKUP(E266,Vehicles!$A$2:$D$21,2,FALSE)</f>
        <v>LCV</v>
      </c>
      <c r="U266" s="3">
        <f ca="1">VLOOKUP(E266,Vehicles!$A$2:$D$21,3,FALSE)</f>
        <v>6</v>
      </c>
      <c r="V266" s="3" t="str">
        <f ca="1">VLOOKUP(E266,Vehicles!$A$2:$D$21,4,FALSE)</f>
        <v>CNG</v>
      </c>
      <c r="W266" s="3">
        <f ca="1">VLOOKUP(V266,Fuel_Rates!$A$2:$B$3,2,FALSE)</f>
        <v>78</v>
      </c>
      <c r="X266" s="3">
        <f t="shared" ca="1" si="80"/>
        <v>59.44</v>
      </c>
      <c r="Y266" s="3">
        <f t="shared" ca="1" si="81"/>
        <v>46928</v>
      </c>
      <c r="Z266" s="3" t="str">
        <f t="shared" ca="1" si="82"/>
        <v>Jul</v>
      </c>
      <c r="AA266" s="3" t="str">
        <f t="shared" ca="1" si="83"/>
        <v>Q3</v>
      </c>
      <c r="AB266" s="4" t="str">
        <f t="shared" ca="1" si="84"/>
        <v>Medium Haul</v>
      </c>
    </row>
    <row r="267" spans="1:28" x14ac:dyDescent="0.3">
      <c r="A267" s="8" t="str">
        <f t="shared" si="79"/>
        <v>S0266</v>
      </c>
      <c r="B267" s="3">
        <f t="shared" ca="1" si="68"/>
        <v>45964</v>
      </c>
      <c r="C267" s="3" t="str">
        <f ca="1">INDEX(Customers!$A$2:$A$21,RANDBETWEEN(1,20))</f>
        <v>C009</v>
      </c>
      <c r="D267" s="3" t="str">
        <f ca="1">INDEX(Routes!$A$2:$A$31,RANDBETWEEN(1,30))</f>
        <v>R026</v>
      </c>
      <c r="E267" s="3" t="str">
        <f ca="1">INDEX(Vehicles!$A$2:$A$21,RANDBETWEEN(1,20))</f>
        <v>V006</v>
      </c>
      <c r="F267" s="3" t="str">
        <f ca="1">INDEX(Drivers!$A$2:$A$31,RANDBETWEEN(1,30))</f>
        <v>D013</v>
      </c>
      <c r="G267" s="3">
        <f t="shared" ca="1" si="69"/>
        <v>7</v>
      </c>
      <c r="H267" s="3">
        <f t="shared" ca="1" si="70"/>
        <v>19034</v>
      </c>
      <c r="I267" s="3">
        <f t="shared" ca="1" si="71"/>
        <v>5330</v>
      </c>
      <c r="J267" s="3">
        <f t="shared" ca="1" si="72"/>
        <v>1496</v>
      </c>
      <c r="K267" s="3">
        <f t="shared" ca="1" si="73"/>
        <v>6</v>
      </c>
      <c r="L267" s="3">
        <f t="shared" ca="1" si="74"/>
        <v>14</v>
      </c>
      <c r="M267" s="3">
        <f t="shared" ca="1" si="75"/>
        <v>8</v>
      </c>
      <c r="N267" s="3" t="str">
        <f t="shared" ca="1" si="76"/>
        <v>Delayed</v>
      </c>
      <c r="O267" s="3" t="str">
        <f t="shared" ca="1" si="77"/>
        <v>High</v>
      </c>
      <c r="P267" s="3">
        <f t="shared" ca="1" si="78"/>
        <v>23.3</v>
      </c>
      <c r="Q267" s="1" t="str">
        <f ca="1">VLOOKUP(D267,Routes!$A$2:$D$31,2,FALSE)</f>
        <v>Nagpur</v>
      </c>
      <c r="R267" s="1" t="str">
        <f ca="1">VLOOKUP(D267,Routes!$A$2:$D$31,3,FALSE)</f>
        <v>Bhopal</v>
      </c>
      <c r="S267" s="3">
        <f ca="1">VLOOKUP(D267,Routes!$A$2:$D$31,4,FALSE)</f>
        <v>350</v>
      </c>
      <c r="T267" s="3" t="str">
        <f ca="1">VLOOKUP(E267,Vehicles!$A$2:$D$21,2,FALSE)</f>
        <v>Container</v>
      </c>
      <c r="U267" s="3">
        <f ca="1">VLOOKUP(E267,Vehicles!$A$2:$D$21,3,FALSE)</f>
        <v>18</v>
      </c>
      <c r="V267" s="3" t="str">
        <f ca="1">VLOOKUP(E267,Vehicles!$A$2:$D$21,4,FALSE)</f>
        <v>Diesel</v>
      </c>
      <c r="W267" s="3">
        <f ca="1">VLOOKUP(V267,Fuel_Rates!$A$2:$B$3,2,FALSE)</f>
        <v>95</v>
      </c>
      <c r="X267" s="3">
        <f t="shared" ca="1" si="80"/>
        <v>54.38</v>
      </c>
      <c r="Y267" s="3">
        <f t="shared" ca="1" si="81"/>
        <v>25860</v>
      </c>
      <c r="Z267" s="3" t="str">
        <f t="shared" ca="1" si="82"/>
        <v>Nov</v>
      </c>
      <c r="AA267" s="3" t="str">
        <f t="shared" ca="1" si="83"/>
        <v>Q4</v>
      </c>
      <c r="AB267" s="4" t="str">
        <f t="shared" ca="1" si="84"/>
        <v>Medium Haul</v>
      </c>
    </row>
    <row r="268" spans="1:28" x14ac:dyDescent="0.3">
      <c r="A268" s="8" t="str">
        <f t="shared" si="79"/>
        <v>S0267</v>
      </c>
      <c r="B268" s="3">
        <f t="shared" ca="1" si="68"/>
        <v>45680</v>
      </c>
      <c r="C268" s="3" t="str">
        <f ca="1">INDEX(Customers!$A$2:$A$21,RANDBETWEEN(1,20))</f>
        <v>C018</v>
      </c>
      <c r="D268" s="3" t="str">
        <f ca="1">INDEX(Routes!$A$2:$A$31,RANDBETWEEN(1,30))</f>
        <v>R011</v>
      </c>
      <c r="E268" s="3" t="str">
        <f ca="1">INDEX(Vehicles!$A$2:$A$21,RANDBETWEEN(1,20))</f>
        <v>V011</v>
      </c>
      <c r="F268" s="3" t="str">
        <f ca="1">INDEX(Drivers!$A$2:$A$31,RANDBETWEEN(1,30))</f>
        <v>D022</v>
      </c>
      <c r="G268" s="3">
        <f t="shared" ca="1" si="69"/>
        <v>16.100000000000001</v>
      </c>
      <c r="H268" s="3">
        <f t="shared" ca="1" si="70"/>
        <v>42625</v>
      </c>
      <c r="I268" s="3">
        <f t="shared" ca="1" si="71"/>
        <v>11935</v>
      </c>
      <c r="J268" s="3">
        <f t="shared" ca="1" si="72"/>
        <v>2124</v>
      </c>
      <c r="K268" s="3">
        <f t="shared" ca="1" si="73"/>
        <v>30</v>
      </c>
      <c r="L268" s="3">
        <f t="shared" ca="1" si="74"/>
        <v>30</v>
      </c>
      <c r="M268" s="3">
        <f t="shared" ca="1" si="75"/>
        <v>0</v>
      </c>
      <c r="N268" s="3" t="str">
        <f t="shared" ca="1" si="76"/>
        <v>On Time</v>
      </c>
      <c r="O268" s="3" t="str">
        <f t="shared" ca="1" si="77"/>
        <v>Medium</v>
      </c>
      <c r="P268" s="3">
        <f t="shared" ca="1" si="78"/>
        <v>53.7</v>
      </c>
      <c r="Q268" s="1" t="str">
        <f ca="1">VLOOKUP(D268,Routes!$A$2:$D$31,2,FALSE)</f>
        <v>Bengaluru</v>
      </c>
      <c r="R268" s="1" t="str">
        <f ca="1">VLOOKUP(D268,Routes!$A$2:$D$31,3,FALSE)</f>
        <v>Kochi</v>
      </c>
      <c r="S268" s="3">
        <f ca="1">VLOOKUP(D268,Routes!$A$2:$D$31,4,FALSE)</f>
        <v>550</v>
      </c>
      <c r="T268" s="3" t="str">
        <f ca="1">VLOOKUP(E268,Vehicles!$A$2:$D$21,2,FALSE)</f>
        <v>Truck</v>
      </c>
      <c r="U268" s="3">
        <f ca="1">VLOOKUP(E268,Vehicles!$A$2:$D$21,3,FALSE)</f>
        <v>18</v>
      </c>
      <c r="V268" s="3" t="str">
        <f ca="1">VLOOKUP(E268,Vehicles!$A$2:$D$21,4,FALSE)</f>
        <v>CNG</v>
      </c>
      <c r="W268" s="3">
        <f ca="1">VLOOKUP(V268,Fuel_Rates!$A$2:$B$3,2,FALSE)</f>
        <v>78</v>
      </c>
      <c r="X268" s="3">
        <f t="shared" ca="1" si="80"/>
        <v>77.5</v>
      </c>
      <c r="Y268" s="3">
        <f t="shared" ca="1" si="81"/>
        <v>56684</v>
      </c>
      <c r="Z268" s="3" t="str">
        <f t="shared" ca="1" si="82"/>
        <v>Jan</v>
      </c>
      <c r="AA268" s="3" t="str">
        <f t="shared" ca="1" si="83"/>
        <v>Q1</v>
      </c>
      <c r="AB268" s="4" t="str">
        <f t="shared" ca="1" si="84"/>
        <v>Medium Haul</v>
      </c>
    </row>
    <row r="269" spans="1:28" x14ac:dyDescent="0.3">
      <c r="A269" s="8" t="str">
        <f t="shared" si="79"/>
        <v>S0268</v>
      </c>
      <c r="B269" s="3">
        <f t="shared" ca="1" si="68"/>
        <v>45858</v>
      </c>
      <c r="C269" s="3" t="str">
        <f ca="1">INDEX(Customers!$A$2:$A$21,RANDBETWEEN(1,20))</f>
        <v>C011</v>
      </c>
      <c r="D269" s="3" t="str">
        <f ca="1">INDEX(Routes!$A$2:$A$31,RANDBETWEEN(1,30))</f>
        <v>R009</v>
      </c>
      <c r="E269" s="3" t="str">
        <f ca="1">INDEX(Vehicles!$A$2:$A$21,RANDBETWEEN(1,20))</f>
        <v>V014</v>
      </c>
      <c r="F269" s="3" t="str">
        <f ca="1">INDEX(Drivers!$A$2:$A$31,RANDBETWEEN(1,30))</f>
        <v>D003</v>
      </c>
      <c r="G269" s="3">
        <f t="shared" ca="1" si="69"/>
        <v>3.3</v>
      </c>
      <c r="H269" s="3">
        <f t="shared" ca="1" si="70"/>
        <v>15626</v>
      </c>
      <c r="I269" s="3">
        <f t="shared" ca="1" si="71"/>
        <v>4375</v>
      </c>
      <c r="J269" s="3">
        <f t="shared" ca="1" si="72"/>
        <v>3265</v>
      </c>
      <c r="K269" s="3">
        <f t="shared" ca="1" si="73"/>
        <v>45</v>
      </c>
      <c r="L269" s="3">
        <f t="shared" ca="1" si="74"/>
        <v>49</v>
      </c>
      <c r="M269" s="3">
        <f t="shared" ca="1" si="75"/>
        <v>4</v>
      </c>
      <c r="N269" s="3" t="str">
        <f t="shared" ca="1" si="76"/>
        <v>Delayed</v>
      </c>
      <c r="O269" s="3" t="str">
        <f t="shared" ca="1" si="77"/>
        <v>Low</v>
      </c>
      <c r="P269" s="3">
        <f t="shared" ca="1" si="78"/>
        <v>11</v>
      </c>
      <c r="Q269" s="1" t="str">
        <f ca="1">VLOOKUP(D269,Routes!$A$2:$D$31,2,FALSE)</f>
        <v>Bengaluru</v>
      </c>
      <c r="R269" s="1" t="str">
        <f ca="1">VLOOKUP(D269,Routes!$A$2:$D$31,3,FALSE)</f>
        <v>Chennai</v>
      </c>
      <c r="S269" s="3">
        <f ca="1">VLOOKUP(D269,Routes!$A$2:$D$31,4,FALSE)</f>
        <v>350</v>
      </c>
      <c r="T269" s="3" t="str">
        <f ca="1">VLOOKUP(E269,Vehicles!$A$2:$D$21,2,FALSE)</f>
        <v>LCV</v>
      </c>
      <c r="U269" s="3">
        <f ca="1">VLOOKUP(E269,Vehicles!$A$2:$D$21,3,FALSE)</f>
        <v>6</v>
      </c>
      <c r="V269" s="3" t="str">
        <f ca="1">VLOOKUP(E269,Vehicles!$A$2:$D$21,4,FALSE)</f>
        <v>CNG</v>
      </c>
      <c r="W269" s="3">
        <f ca="1">VLOOKUP(V269,Fuel_Rates!$A$2:$B$3,2,FALSE)</f>
        <v>78</v>
      </c>
      <c r="X269" s="3">
        <f t="shared" ca="1" si="80"/>
        <v>44.65</v>
      </c>
      <c r="Y269" s="3">
        <f t="shared" ca="1" si="81"/>
        <v>23266</v>
      </c>
      <c r="Z269" s="3" t="str">
        <f t="shared" ca="1" si="82"/>
        <v>Jul</v>
      </c>
      <c r="AA269" s="3" t="str">
        <f t="shared" ca="1" si="83"/>
        <v>Q3</v>
      </c>
      <c r="AB269" s="4" t="str">
        <f t="shared" ca="1" si="84"/>
        <v>Medium Haul</v>
      </c>
    </row>
    <row r="270" spans="1:28" x14ac:dyDescent="0.3">
      <c r="A270" s="8" t="str">
        <f t="shared" si="79"/>
        <v>S0269</v>
      </c>
      <c r="B270" s="3">
        <f t="shared" ca="1" si="68"/>
        <v>45798</v>
      </c>
      <c r="C270" s="3" t="str">
        <f ca="1">INDEX(Customers!$A$2:$A$21,RANDBETWEEN(1,20))</f>
        <v>C007</v>
      </c>
      <c r="D270" s="3" t="str">
        <f ca="1">INDEX(Routes!$A$2:$A$31,RANDBETWEEN(1,30))</f>
        <v>R021</v>
      </c>
      <c r="E270" s="3" t="str">
        <f ca="1">INDEX(Vehicles!$A$2:$A$21,RANDBETWEEN(1,20))</f>
        <v>V008</v>
      </c>
      <c r="F270" s="3" t="str">
        <f ca="1">INDEX(Drivers!$A$2:$A$31,RANDBETWEEN(1,30))</f>
        <v>D021</v>
      </c>
      <c r="G270" s="3">
        <f t="shared" ca="1" si="69"/>
        <v>11.5</v>
      </c>
      <c r="H270" s="3">
        <f t="shared" ca="1" si="70"/>
        <v>24395</v>
      </c>
      <c r="I270" s="3">
        <f t="shared" ca="1" si="71"/>
        <v>6831</v>
      </c>
      <c r="J270" s="3">
        <f t="shared" ca="1" si="72"/>
        <v>555</v>
      </c>
      <c r="K270" s="3">
        <f t="shared" ca="1" si="73"/>
        <v>15</v>
      </c>
      <c r="L270" s="3">
        <f t="shared" ca="1" si="74"/>
        <v>17</v>
      </c>
      <c r="M270" s="3">
        <f t="shared" ca="1" si="75"/>
        <v>2</v>
      </c>
      <c r="N270" s="3" t="str">
        <f t="shared" ca="1" si="76"/>
        <v>On Time</v>
      </c>
      <c r="O270" s="3" t="str">
        <f t="shared" ca="1" si="77"/>
        <v>Low</v>
      </c>
      <c r="P270" s="3">
        <f t="shared" ca="1" si="78"/>
        <v>38.299999999999997</v>
      </c>
      <c r="Q270" s="1" t="str">
        <f ca="1">VLOOKUP(D270,Routes!$A$2:$D$31,2,FALSE)</f>
        <v>Lucknow</v>
      </c>
      <c r="R270" s="1" t="str">
        <f ca="1">VLOOKUP(D270,Routes!$A$2:$D$31,3,FALSE)</f>
        <v>Kanpur</v>
      </c>
      <c r="S270" s="3">
        <f ca="1">VLOOKUP(D270,Routes!$A$2:$D$31,4,FALSE)</f>
        <v>90</v>
      </c>
      <c r="T270" s="3" t="str">
        <f ca="1">VLOOKUP(E270,Vehicles!$A$2:$D$21,2,FALSE)</f>
        <v>Container</v>
      </c>
      <c r="U270" s="3">
        <f ca="1">VLOOKUP(E270,Vehicles!$A$2:$D$21,3,FALSE)</f>
        <v>25</v>
      </c>
      <c r="V270" s="3" t="str">
        <f ca="1">VLOOKUP(E270,Vehicles!$A$2:$D$21,4,FALSE)</f>
        <v>Diesel</v>
      </c>
      <c r="W270" s="3">
        <f ca="1">VLOOKUP(V270,Fuel_Rates!$A$2:$B$3,2,FALSE)</f>
        <v>95</v>
      </c>
      <c r="X270" s="3">
        <f t="shared" ca="1" si="80"/>
        <v>271.06</v>
      </c>
      <c r="Y270" s="3">
        <f t="shared" ca="1" si="81"/>
        <v>31781</v>
      </c>
      <c r="Z270" s="3" t="str">
        <f t="shared" ca="1" si="82"/>
        <v>May</v>
      </c>
      <c r="AA270" s="3" t="str">
        <f t="shared" ca="1" si="83"/>
        <v>Q2</v>
      </c>
      <c r="AB270" s="4" t="str">
        <f t="shared" ca="1" si="84"/>
        <v>Short Haul</v>
      </c>
    </row>
    <row r="271" spans="1:28" x14ac:dyDescent="0.3">
      <c r="A271" s="8" t="str">
        <f t="shared" si="79"/>
        <v>S0270</v>
      </c>
      <c r="B271" s="3">
        <f t="shared" ca="1" si="68"/>
        <v>45815</v>
      </c>
      <c r="C271" s="3" t="str">
        <f ca="1">INDEX(Customers!$A$2:$A$21,RANDBETWEEN(1,20))</f>
        <v>C009</v>
      </c>
      <c r="D271" s="3" t="str">
        <f ca="1">INDEX(Routes!$A$2:$A$31,RANDBETWEEN(1,30))</f>
        <v>R014</v>
      </c>
      <c r="E271" s="3" t="str">
        <f ca="1">INDEX(Vehicles!$A$2:$A$21,RANDBETWEEN(1,20))</f>
        <v>V018</v>
      </c>
      <c r="F271" s="3" t="str">
        <f ca="1">INDEX(Drivers!$A$2:$A$31,RANDBETWEEN(1,30))</f>
        <v>D029</v>
      </c>
      <c r="G271" s="3">
        <f t="shared" ca="1" si="69"/>
        <v>17.100000000000001</v>
      </c>
      <c r="H271" s="3">
        <f t="shared" ca="1" si="70"/>
        <v>44200</v>
      </c>
      <c r="I271" s="3">
        <f t="shared" ca="1" si="71"/>
        <v>12376</v>
      </c>
      <c r="J271" s="3">
        <f t="shared" ca="1" si="72"/>
        <v>2985</v>
      </c>
      <c r="K271" s="3">
        <f t="shared" ca="1" si="73"/>
        <v>15</v>
      </c>
      <c r="L271" s="3">
        <f t="shared" ca="1" si="74"/>
        <v>20</v>
      </c>
      <c r="M271" s="3">
        <f t="shared" ca="1" si="75"/>
        <v>5</v>
      </c>
      <c r="N271" s="3" t="str">
        <f t="shared" ca="1" si="76"/>
        <v>Delayed</v>
      </c>
      <c r="O271" s="3" t="str">
        <f t="shared" ca="1" si="77"/>
        <v>High</v>
      </c>
      <c r="P271" s="3">
        <f t="shared" ca="1" si="78"/>
        <v>57</v>
      </c>
      <c r="Q271" s="1" t="str">
        <f ca="1">VLOOKUP(D271,Routes!$A$2:$D$31,2,FALSE)</f>
        <v>Hyderabad</v>
      </c>
      <c r="R271" s="1" t="str">
        <f ca="1">VLOOKUP(D271,Routes!$A$2:$D$31,3,FALSE)</f>
        <v>Nagpur</v>
      </c>
      <c r="S271" s="3">
        <f ca="1">VLOOKUP(D271,Routes!$A$2:$D$31,4,FALSE)</f>
        <v>500</v>
      </c>
      <c r="T271" s="3" t="str">
        <f ca="1">VLOOKUP(E271,Vehicles!$A$2:$D$21,2,FALSE)</f>
        <v>Truck</v>
      </c>
      <c r="U271" s="3">
        <f ca="1">VLOOKUP(E271,Vehicles!$A$2:$D$21,3,FALSE)</f>
        <v>26</v>
      </c>
      <c r="V271" s="3" t="str">
        <f ca="1">VLOOKUP(E271,Vehicles!$A$2:$D$21,4,FALSE)</f>
        <v>Diesel</v>
      </c>
      <c r="W271" s="3">
        <f ca="1">VLOOKUP(V271,Fuel_Rates!$A$2:$B$3,2,FALSE)</f>
        <v>95</v>
      </c>
      <c r="X271" s="3">
        <f t="shared" ca="1" si="80"/>
        <v>88.4</v>
      </c>
      <c r="Y271" s="3">
        <f t="shared" ca="1" si="81"/>
        <v>59561</v>
      </c>
      <c r="Z271" s="3" t="str">
        <f t="shared" ca="1" si="82"/>
        <v>Jun</v>
      </c>
      <c r="AA271" s="3" t="str">
        <f t="shared" ca="1" si="83"/>
        <v>Q2</v>
      </c>
      <c r="AB271" s="4" t="str">
        <f t="shared" ca="1" si="84"/>
        <v>Medium Haul</v>
      </c>
    </row>
    <row r="272" spans="1:28" x14ac:dyDescent="0.3">
      <c r="A272" s="8" t="str">
        <f t="shared" si="79"/>
        <v>S0271</v>
      </c>
      <c r="B272" s="3">
        <f t="shared" ca="1" si="68"/>
        <v>46000</v>
      </c>
      <c r="C272" s="3" t="str">
        <f ca="1">INDEX(Customers!$A$2:$A$21,RANDBETWEEN(1,20))</f>
        <v>C017</v>
      </c>
      <c r="D272" s="3" t="str">
        <f ca="1">INDEX(Routes!$A$2:$A$31,RANDBETWEEN(1,30))</f>
        <v>R017</v>
      </c>
      <c r="E272" s="3" t="str">
        <f ca="1">INDEX(Vehicles!$A$2:$A$21,RANDBETWEEN(1,20))</f>
        <v>V005</v>
      </c>
      <c r="F272" s="3" t="str">
        <f ca="1">INDEX(Drivers!$A$2:$A$31,RANDBETWEEN(1,30))</f>
        <v>D022</v>
      </c>
      <c r="G272" s="3">
        <f t="shared" ca="1" si="69"/>
        <v>23.1</v>
      </c>
      <c r="H272" s="3">
        <f t="shared" ca="1" si="70"/>
        <v>53573</v>
      </c>
      <c r="I272" s="3">
        <f t="shared" ca="1" si="71"/>
        <v>15000</v>
      </c>
      <c r="J272" s="3">
        <f t="shared" ca="1" si="72"/>
        <v>2143</v>
      </c>
      <c r="K272" s="3">
        <f t="shared" ca="1" si="73"/>
        <v>9</v>
      </c>
      <c r="L272" s="3">
        <f t="shared" ca="1" si="74"/>
        <v>14</v>
      </c>
      <c r="M272" s="3">
        <f t="shared" ca="1" si="75"/>
        <v>5</v>
      </c>
      <c r="N272" s="3" t="str">
        <f t="shared" ca="1" si="76"/>
        <v>Delayed</v>
      </c>
      <c r="O272" s="3" t="str">
        <f t="shared" ca="1" si="77"/>
        <v>High</v>
      </c>
      <c r="P272" s="3">
        <f t="shared" ca="1" si="78"/>
        <v>77</v>
      </c>
      <c r="Q272" s="1" t="str">
        <f ca="1">VLOOKUP(D272,Routes!$A$2:$D$31,2,FALSE)</f>
        <v>Kolkata</v>
      </c>
      <c r="R272" s="1" t="str">
        <f ca="1">VLOOKUP(D272,Routes!$A$2:$D$31,3,FALSE)</f>
        <v>Patna</v>
      </c>
      <c r="S272" s="3">
        <f ca="1">VLOOKUP(D272,Routes!$A$2:$D$31,4,FALSE)</f>
        <v>620</v>
      </c>
      <c r="T272" s="3" t="str">
        <f ca="1">VLOOKUP(E272,Vehicles!$A$2:$D$21,2,FALSE)</f>
        <v>Trailer</v>
      </c>
      <c r="U272" s="3">
        <f ca="1">VLOOKUP(E272,Vehicles!$A$2:$D$21,3,FALSE)</f>
        <v>32</v>
      </c>
      <c r="V272" s="3" t="str">
        <f ca="1">VLOOKUP(E272,Vehicles!$A$2:$D$21,4,FALSE)</f>
        <v>Diesel</v>
      </c>
      <c r="W272" s="3">
        <f ca="1">VLOOKUP(V272,Fuel_Rates!$A$2:$B$3,2,FALSE)</f>
        <v>95</v>
      </c>
      <c r="X272" s="3">
        <f t="shared" ca="1" si="80"/>
        <v>86.41</v>
      </c>
      <c r="Y272" s="3">
        <f t="shared" ca="1" si="81"/>
        <v>70716</v>
      </c>
      <c r="Z272" s="3" t="str">
        <f t="shared" ca="1" si="82"/>
        <v>Dec</v>
      </c>
      <c r="AA272" s="3" t="str">
        <f t="shared" ca="1" si="83"/>
        <v>Q4</v>
      </c>
      <c r="AB272" s="4" t="str">
        <f t="shared" ca="1" si="84"/>
        <v>Medium Haul</v>
      </c>
    </row>
    <row r="273" spans="1:28" x14ac:dyDescent="0.3">
      <c r="A273" s="8" t="str">
        <f t="shared" si="79"/>
        <v>S0272</v>
      </c>
      <c r="B273" s="3">
        <f t="shared" ca="1" si="68"/>
        <v>45894</v>
      </c>
      <c r="C273" s="3" t="str">
        <f ca="1">INDEX(Customers!$A$2:$A$21,RANDBETWEEN(1,20))</f>
        <v>C010</v>
      </c>
      <c r="D273" s="3" t="str">
        <f ca="1">INDEX(Routes!$A$2:$A$31,RANDBETWEEN(1,30))</f>
        <v>R011</v>
      </c>
      <c r="E273" s="3" t="str">
        <f ca="1">INDEX(Vehicles!$A$2:$A$21,RANDBETWEEN(1,20))</f>
        <v>V003</v>
      </c>
      <c r="F273" s="3" t="str">
        <f ca="1">INDEX(Drivers!$A$2:$A$31,RANDBETWEEN(1,30))</f>
        <v>D012</v>
      </c>
      <c r="G273" s="3">
        <f t="shared" ca="1" si="69"/>
        <v>17.8</v>
      </c>
      <c r="H273" s="3">
        <f t="shared" ca="1" si="70"/>
        <v>36286</v>
      </c>
      <c r="I273" s="3">
        <f t="shared" ca="1" si="71"/>
        <v>10160</v>
      </c>
      <c r="J273" s="3">
        <f t="shared" ca="1" si="72"/>
        <v>2502</v>
      </c>
      <c r="K273" s="3">
        <f t="shared" ca="1" si="73"/>
        <v>17</v>
      </c>
      <c r="L273" s="3">
        <f t="shared" ca="1" si="74"/>
        <v>17</v>
      </c>
      <c r="M273" s="3">
        <f t="shared" ca="1" si="75"/>
        <v>0</v>
      </c>
      <c r="N273" s="3" t="str">
        <f t="shared" ca="1" si="76"/>
        <v>On Time</v>
      </c>
      <c r="O273" s="3" t="str">
        <f t="shared" ca="1" si="77"/>
        <v>Low</v>
      </c>
      <c r="P273" s="3">
        <f t="shared" ca="1" si="78"/>
        <v>59.3</v>
      </c>
      <c r="Q273" s="1" t="str">
        <f ca="1">VLOOKUP(D273,Routes!$A$2:$D$31,2,FALSE)</f>
        <v>Bengaluru</v>
      </c>
      <c r="R273" s="1" t="str">
        <f ca="1">VLOOKUP(D273,Routes!$A$2:$D$31,3,FALSE)</f>
        <v>Kochi</v>
      </c>
      <c r="S273" s="3">
        <f ca="1">VLOOKUP(D273,Routes!$A$2:$D$31,4,FALSE)</f>
        <v>550</v>
      </c>
      <c r="T273" s="3" t="str">
        <f ca="1">VLOOKUP(E273,Vehicles!$A$2:$D$21,2,FALSE)</f>
        <v>Truck</v>
      </c>
      <c r="U273" s="3">
        <f ca="1">VLOOKUP(E273,Vehicles!$A$2:$D$21,3,FALSE)</f>
        <v>25</v>
      </c>
      <c r="V273" s="3" t="str">
        <f ca="1">VLOOKUP(E273,Vehicles!$A$2:$D$21,4,FALSE)</f>
        <v>Diesel</v>
      </c>
      <c r="W273" s="3">
        <f ca="1">VLOOKUP(V273,Fuel_Rates!$A$2:$B$3,2,FALSE)</f>
        <v>95</v>
      </c>
      <c r="X273" s="3">
        <f t="shared" ca="1" si="80"/>
        <v>65.97</v>
      </c>
      <c r="Y273" s="3">
        <f t="shared" ca="1" si="81"/>
        <v>48948</v>
      </c>
      <c r="Z273" s="3" t="str">
        <f t="shared" ca="1" si="82"/>
        <v>Aug</v>
      </c>
      <c r="AA273" s="3" t="str">
        <f t="shared" ca="1" si="83"/>
        <v>Q3</v>
      </c>
      <c r="AB273" s="4" t="str">
        <f t="shared" ca="1" si="84"/>
        <v>Medium Haul</v>
      </c>
    </row>
    <row r="274" spans="1:28" x14ac:dyDescent="0.3">
      <c r="A274" s="8" t="str">
        <f t="shared" si="79"/>
        <v>S0273</v>
      </c>
      <c r="B274" s="3">
        <f t="shared" ca="1" si="68"/>
        <v>45951</v>
      </c>
      <c r="C274" s="3" t="str">
        <f ca="1">INDEX(Customers!$A$2:$A$21,RANDBETWEEN(1,20))</f>
        <v>C015</v>
      </c>
      <c r="D274" s="3" t="str">
        <f ca="1">INDEX(Routes!$A$2:$A$31,RANDBETWEEN(1,30))</f>
        <v>R026</v>
      </c>
      <c r="E274" s="3" t="str">
        <f ca="1">INDEX(Vehicles!$A$2:$A$21,RANDBETWEEN(1,20))</f>
        <v>V002</v>
      </c>
      <c r="F274" s="3" t="str">
        <f ca="1">INDEX(Drivers!$A$2:$A$31,RANDBETWEEN(1,30))</f>
        <v>D017</v>
      </c>
      <c r="G274" s="3">
        <f t="shared" ca="1" si="69"/>
        <v>10.3</v>
      </c>
      <c r="H274" s="3">
        <f t="shared" ca="1" si="70"/>
        <v>22097</v>
      </c>
      <c r="I274" s="3">
        <f t="shared" ca="1" si="71"/>
        <v>6187</v>
      </c>
      <c r="J274" s="3">
        <f t="shared" ca="1" si="72"/>
        <v>2491</v>
      </c>
      <c r="K274" s="3">
        <f t="shared" ca="1" si="73"/>
        <v>37</v>
      </c>
      <c r="L274" s="3">
        <f t="shared" ca="1" si="74"/>
        <v>43</v>
      </c>
      <c r="M274" s="3">
        <f t="shared" ca="1" si="75"/>
        <v>6</v>
      </c>
      <c r="N274" s="3" t="str">
        <f t="shared" ca="1" si="76"/>
        <v>Delayed</v>
      </c>
      <c r="O274" s="3" t="str">
        <f t="shared" ca="1" si="77"/>
        <v>Medium</v>
      </c>
      <c r="P274" s="3">
        <f t="shared" ca="1" si="78"/>
        <v>34.299999999999997</v>
      </c>
      <c r="Q274" s="1" t="str">
        <f ca="1">VLOOKUP(D274,Routes!$A$2:$D$31,2,FALSE)</f>
        <v>Nagpur</v>
      </c>
      <c r="R274" s="1" t="str">
        <f ca="1">VLOOKUP(D274,Routes!$A$2:$D$31,3,FALSE)</f>
        <v>Bhopal</v>
      </c>
      <c r="S274" s="3">
        <f ca="1">VLOOKUP(D274,Routes!$A$2:$D$31,4,FALSE)</f>
        <v>350</v>
      </c>
      <c r="T274" s="3" t="str">
        <f ca="1">VLOOKUP(E274,Vehicles!$A$2:$D$21,2,FALSE)</f>
        <v>Truck</v>
      </c>
      <c r="U274" s="3">
        <f ca="1">VLOOKUP(E274,Vehicles!$A$2:$D$21,3,FALSE)</f>
        <v>20</v>
      </c>
      <c r="V274" s="3" t="str">
        <f ca="1">VLOOKUP(E274,Vehicles!$A$2:$D$21,4,FALSE)</f>
        <v>Diesel</v>
      </c>
      <c r="W274" s="3">
        <f ca="1">VLOOKUP(V274,Fuel_Rates!$A$2:$B$3,2,FALSE)</f>
        <v>95</v>
      </c>
      <c r="X274" s="3">
        <f t="shared" ca="1" si="80"/>
        <v>63.13</v>
      </c>
      <c r="Y274" s="3">
        <f t="shared" ca="1" si="81"/>
        <v>30775</v>
      </c>
      <c r="Z274" s="3" t="str">
        <f t="shared" ca="1" si="82"/>
        <v>Oct</v>
      </c>
      <c r="AA274" s="3" t="str">
        <f t="shared" ca="1" si="83"/>
        <v>Q4</v>
      </c>
      <c r="AB274" s="4" t="str">
        <f t="shared" ca="1" si="84"/>
        <v>Medium Haul</v>
      </c>
    </row>
    <row r="275" spans="1:28" x14ac:dyDescent="0.3">
      <c r="A275" s="8" t="str">
        <f t="shared" si="79"/>
        <v>S0274</v>
      </c>
      <c r="B275" s="3">
        <f t="shared" ca="1" si="68"/>
        <v>45754</v>
      </c>
      <c r="C275" s="3" t="str">
        <f ca="1">INDEX(Customers!$A$2:$A$21,RANDBETWEEN(1,20))</f>
        <v>C010</v>
      </c>
      <c r="D275" s="3" t="str">
        <f ca="1">INDEX(Routes!$A$2:$A$31,RANDBETWEEN(1,30))</f>
        <v>R006</v>
      </c>
      <c r="E275" s="3" t="str">
        <f ca="1">INDEX(Vehicles!$A$2:$A$21,RANDBETWEEN(1,20))</f>
        <v>V017</v>
      </c>
      <c r="F275" s="3" t="str">
        <f ca="1">INDEX(Drivers!$A$2:$A$31,RANDBETWEEN(1,30))</f>
        <v>D003</v>
      </c>
      <c r="G275" s="3">
        <f t="shared" ca="1" si="69"/>
        <v>20</v>
      </c>
      <c r="H275" s="3">
        <f t="shared" ca="1" si="70"/>
        <v>46368</v>
      </c>
      <c r="I275" s="3">
        <f t="shared" ca="1" si="71"/>
        <v>12983</v>
      </c>
      <c r="J275" s="3">
        <f t="shared" ca="1" si="72"/>
        <v>1887</v>
      </c>
      <c r="K275" s="3">
        <f t="shared" ca="1" si="73"/>
        <v>28</v>
      </c>
      <c r="L275" s="3">
        <f t="shared" ca="1" si="74"/>
        <v>36</v>
      </c>
      <c r="M275" s="3">
        <f t="shared" ca="1" si="75"/>
        <v>8</v>
      </c>
      <c r="N275" s="3" t="str">
        <f t="shared" ca="1" si="76"/>
        <v>Delayed</v>
      </c>
      <c r="O275" s="3" t="str">
        <f t="shared" ca="1" si="77"/>
        <v>Medium</v>
      </c>
      <c r="P275" s="3">
        <f t="shared" ca="1" si="78"/>
        <v>66.7</v>
      </c>
      <c r="Q275" s="1" t="str">
        <f ca="1">VLOOKUP(D275,Routes!$A$2:$D$31,2,FALSE)</f>
        <v>Delhi</v>
      </c>
      <c r="R275" s="1" t="str">
        <f ca="1">VLOOKUP(D275,Routes!$A$2:$D$31,3,FALSE)</f>
        <v>Lucknow</v>
      </c>
      <c r="S275" s="3">
        <f ca="1">VLOOKUP(D275,Routes!$A$2:$D$31,4,FALSE)</f>
        <v>550</v>
      </c>
      <c r="T275" s="3" t="str">
        <f ca="1">VLOOKUP(E275,Vehicles!$A$2:$D$21,2,FALSE)</f>
        <v>Truck</v>
      </c>
      <c r="U275" s="3">
        <f ca="1">VLOOKUP(E275,Vehicles!$A$2:$D$21,3,FALSE)</f>
        <v>24</v>
      </c>
      <c r="V275" s="3" t="str">
        <f ca="1">VLOOKUP(E275,Vehicles!$A$2:$D$21,4,FALSE)</f>
        <v>Diesel</v>
      </c>
      <c r="W275" s="3">
        <f ca="1">VLOOKUP(V275,Fuel_Rates!$A$2:$B$3,2,FALSE)</f>
        <v>95</v>
      </c>
      <c r="X275" s="3">
        <f t="shared" ca="1" si="80"/>
        <v>84.31</v>
      </c>
      <c r="Y275" s="3">
        <f t="shared" ca="1" si="81"/>
        <v>61238</v>
      </c>
      <c r="Z275" s="3" t="str">
        <f t="shared" ca="1" si="82"/>
        <v>Apr</v>
      </c>
      <c r="AA275" s="3" t="str">
        <f t="shared" ca="1" si="83"/>
        <v>Q2</v>
      </c>
      <c r="AB275" s="4" t="str">
        <f t="shared" ca="1" si="84"/>
        <v>Medium Haul</v>
      </c>
    </row>
    <row r="276" spans="1:28" x14ac:dyDescent="0.3">
      <c r="A276" s="8" t="str">
        <f t="shared" si="79"/>
        <v>S0275</v>
      </c>
      <c r="B276" s="3">
        <f t="shared" ca="1" si="68"/>
        <v>45881</v>
      </c>
      <c r="C276" s="3" t="str">
        <f ca="1">INDEX(Customers!$A$2:$A$21,RANDBETWEEN(1,20))</f>
        <v>C013</v>
      </c>
      <c r="D276" s="3" t="str">
        <f ca="1">INDEX(Routes!$A$2:$A$31,RANDBETWEEN(1,30))</f>
        <v>R029</v>
      </c>
      <c r="E276" s="3" t="str">
        <f ca="1">INDEX(Vehicles!$A$2:$A$21,RANDBETWEEN(1,20))</f>
        <v>V009</v>
      </c>
      <c r="F276" s="3" t="str">
        <f ca="1">INDEX(Drivers!$A$2:$A$31,RANDBETWEEN(1,30))</f>
        <v>D005</v>
      </c>
      <c r="G276" s="3">
        <f t="shared" ca="1" si="69"/>
        <v>13.4</v>
      </c>
      <c r="H276" s="3">
        <f t="shared" ca="1" si="70"/>
        <v>30869</v>
      </c>
      <c r="I276" s="3">
        <f t="shared" ca="1" si="71"/>
        <v>8643</v>
      </c>
      <c r="J276" s="3">
        <f t="shared" ca="1" si="72"/>
        <v>3547</v>
      </c>
      <c r="K276" s="3">
        <f t="shared" ca="1" si="73"/>
        <v>35</v>
      </c>
      <c r="L276" s="3">
        <f t="shared" ca="1" si="74"/>
        <v>43</v>
      </c>
      <c r="M276" s="3">
        <f t="shared" ca="1" si="75"/>
        <v>8</v>
      </c>
      <c r="N276" s="3" t="str">
        <f t="shared" ca="1" si="76"/>
        <v>Delayed</v>
      </c>
      <c r="O276" s="3" t="str">
        <f t="shared" ca="1" si="77"/>
        <v>Low</v>
      </c>
      <c r="P276" s="3">
        <f t="shared" ca="1" si="78"/>
        <v>44.7</v>
      </c>
      <c r="Q276" s="1" t="str">
        <f ca="1">VLOOKUP(D276,Routes!$A$2:$D$31,2,FALSE)</f>
        <v>Chandigarh</v>
      </c>
      <c r="R276" s="1" t="str">
        <f ca="1">VLOOKUP(D276,Routes!$A$2:$D$31,3,FALSE)</f>
        <v>Delhi</v>
      </c>
      <c r="S276" s="3">
        <f ca="1">VLOOKUP(D276,Routes!$A$2:$D$31,4,FALSE)</f>
        <v>250</v>
      </c>
      <c r="T276" s="3" t="str">
        <f ca="1">VLOOKUP(E276,Vehicles!$A$2:$D$21,2,FALSE)</f>
        <v>LCV</v>
      </c>
      <c r="U276" s="3">
        <f ca="1">VLOOKUP(E276,Vehicles!$A$2:$D$21,3,FALSE)</f>
        <v>5</v>
      </c>
      <c r="V276" s="3" t="str">
        <f ca="1">VLOOKUP(E276,Vehicles!$A$2:$D$21,4,FALSE)</f>
        <v>Diesel</v>
      </c>
      <c r="W276" s="3">
        <f ca="1">VLOOKUP(V276,Fuel_Rates!$A$2:$B$3,2,FALSE)</f>
        <v>95</v>
      </c>
      <c r="X276" s="3">
        <f t="shared" ca="1" si="80"/>
        <v>123.48</v>
      </c>
      <c r="Y276" s="3">
        <f t="shared" ca="1" si="81"/>
        <v>43059</v>
      </c>
      <c r="Z276" s="3" t="str">
        <f t="shared" ca="1" si="82"/>
        <v>Aug</v>
      </c>
      <c r="AA276" s="3" t="str">
        <f t="shared" ca="1" si="83"/>
        <v>Q3</v>
      </c>
      <c r="AB276" s="4" t="str">
        <f t="shared" ca="1" si="84"/>
        <v>Short Haul</v>
      </c>
    </row>
    <row r="277" spans="1:28" x14ac:dyDescent="0.3">
      <c r="A277" s="8" t="str">
        <f t="shared" si="79"/>
        <v>S0276</v>
      </c>
      <c r="B277" s="3">
        <f t="shared" ca="1" si="68"/>
        <v>45769</v>
      </c>
      <c r="C277" s="3" t="str">
        <f ca="1">INDEX(Customers!$A$2:$A$21,RANDBETWEEN(1,20))</f>
        <v>C018</v>
      </c>
      <c r="D277" s="3" t="str">
        <f ca="1">INDEX(Routes!$A$2:$A$31,RANDBETWEEN(1,30))</f>
        <v>R029</v>
      </c>
      <c r="E277" s="3" t="str">
        <f ca="1">INDEX(Vehicles!$A$2:$A$21,RANDBETWEEN(1,20))</f>
        <v>V014</v>
      </c>
      <c r="F277" s="3" t="str">
        <f ca="1">INDEX(Drivers!$A$2:$A$31,RANDBETWEEN(1,30))</f>
        <v>D007</v>
      </c>
      <c r="G277" s="3">
        <f t="shared" ca="1" si="69"/>
        <v>10</v>
      </c>
      <c r="H277" s="3">
        <f t="shared" ca="1" si="70"/>
        <v>22078</v>
      </c>
      <c r="I277" s="3">
        <f t="shared" ca="1" si="71"/>
        <v>6182</v>
      </c>
      <c r="J277" s="3">
        <f t="shared" ca="1" si="72"/>
        <v>2225</v>
      </c>
      <c r="K277" s="3">
        <f t="shared" ca="1" si="73"/>
        <v>9</v>
      </c>
      <c r="L277" s="3">
        <f t="shared" ca="1" si="74"/>
        <v>13</v>
      </c>
      <c r="M277" s="3">
        <f t="shared" ca="1" si="75"/>
        <v>4</v>
      </c>
      <c r="N277" s="3" t="str">
        <f t="shared" ca="1" si="76"/>
        <v>Delayed</v>
      </c>
      <c r="O277" s="3" t="str">
        <f t="shared" ca="1" si="77"/>
        <v>Medium</v>
      </c>
      <c r="P277" s="3">
        <f t="shared" ca="1" si="78"/>
        <v>33.299999999999997</v>
      </c>
      <c r="Q277" s="1" t="str">
        <f ca="1">VLOOKUP(D277,Routes!$A$2:$D$31,2,FALSE)</f>
        <v>Chandigarh</v>
      </c>
      <c r="R277" s="1" t="str">
        <f ca="1">VLOOKUP(D277,Routes!$A$2:$D$31,3,FALSE)</f>
        <v>Delhi</v>
      </c>
      <c r="S277" s="3">
        <f ca="1">VLOOKUP(D277,Routes!$A$2:$D$31,4,FALSE)</f>
        <v>250</v>
      </c>
      <c r="T277" s="3" t="str">
        <f ca="1">VLOOKUP(E277,Vehicles!$A$2:$D$21,2,FALSE)</f>
        <v>LCV</v>
      </c>
      <c r="U277" s="3">
        <f ca="1">VLOOKUP(E277,Vehicles!$A$2:$D$21,3,FALSE)</f>
        <v>6</v>
      </c>
      <c r="V277" s="3" t="str">
        <f ca="1">VLOOKUP(E277,Vehicles!$A$2:$D$21,4,FALSE)</f>
        <v>CNG</v>
      </c>
      <c r="W277" s="3">
        <f ca="1">VLOOKUP(V277,Fuel_Rates!$A$2:$B$3,2,FALSE)</f>
        <v>78</v>
      </c>
      <c r="X277" s="3">
        <f t="shared" ca="1" si="80"/>
        <v>88.31</v>
      </c>
      <c r="Y277" s="3">
        <f t="shared" ca="1" si="81"/>
        <v>30485</v>
      </c>
      <c r="Z277" s="3" t="str">
        <f t="shared" ca="1" si="82"/>
        <v>Apr</v>
      </c>
      <c r="AA277" s="3" t="str">
        <f t="shared" ca="1" si="83"/>
        <v>Q2</v>
      </c>
      <c r="AB277" s="4" t="str">
        <f t="shared" ca="1" si="84"/>
        <v>Short Haul</v>
      </c>
    </row>
    <row r="278" spans="1:28" x14ac:dyDescent="0.3">
      <c r="A278" s="8" t="str">
        <f t="shared" si="79"/>
        <v>S0277</v>
      </c>
      <c r="B278" s="3">
        <f t="shared" ca="1" si="68"/>
        <v>45978</v>
      </c>
      <c r="C278" s="3" t="str">
        <f ca="1">INDEX(Customers!$A$2:$A$21,RANDBETWEEN(1,20))</f>
        <v>C003</v>
      </c>
      <c r="D278" s="3" t="str">
        <f ca="1">INDEX(Routes!$A$2:$A$31,RANDBETWEEN(1,30))</f>
        <v>R028</v>
      </c>
      <c r="E278" s="3" t="str">
        <f ca="1">INDEX(Vehicles!$A$2:$A$21,RANDBETWEEN(1,20))</f>
        <v>V009</v>
      </c>
      <c r="F278" s="3" t="str">
        <f ca="1">INDEX(Drivers!$A$2:$A$31,RANDBETWEEN(1,30))</f>
        <v>D001</v>
      </c>
      <c r="G278" s="3">
        <f t="shared" ca="1" si="69"/>
        <v>28.9</v>
      </c>
      <c r="H278" s="3">
        <f t="shared" ca="1" si="70"/>
        <v>57228</v>
      </c>
      <c r="I278" s="3">
        <f t="shared" ca="1" si="71"/>
        <v>16024</v>
      </c>
      <c r="J278" s="3">
        <f t="shared" ca="1" si="72"/>
        <v>1064</v>
      </c>
      <c r="K278" s="3">
        <f t="shared" ca="1" si="73"/>
        <v>20</v>
      </c>
      <c r="L278" s="3">
        <f t="shared" ca="1" si="74"/>
        <v>26</v>
      </c>
      <c r="M278" s="3">
        <f t="shared" ca="1" si="75"/>
        <v>6</v>
      </c>
      <c r="N278" s="3" t="str">
        <f t="shared" ca="1" si="76"/>
        <v>Delayed</v>
      </c>
      <c r="O278" s="3" t="str">
        <f t="shared" ca="1" si="77"/>
        <v>Medium</v>
      </c>
      <c r="P278" s="3">
        <f t="shared" ca="1" si="78"/>
        <v>96.3</v>
      </c>
      <c r="Q278" s="1" t="str">
        <f ca="1">VLOOKUP(D278,Routes!$A$2:$D$31,2,FALSE)</f>
        <v>Indore</v>
      </c>
      <c r="R278" s="1" t="str">
        <f ca="1">VLOOKUP(D278,Routes!$A$2:$D$31,3,FALSE)</f>
        <v>Mumbai</v>
      </c>
      <c r="S278" s="3">
        <f ca="1">VLOOKUP(D278,Routes!$A$2:$D$31,4,FALSE)</f>
        <v>590</v>
      </c>
      <c r="T278" s="3" t="str">
        <f ca="1">VLOOKUP(E278,Vehicles!$A$2:$D$21,2,FALSE)</f>
        <v>LCV</v>
      </c>
      <c r="U278" s="3">
        <f ca="1">VLOOKUP(E278,Vehicles!$A$2:$D$21,3,FALSE)</f>
        <v>5</v>
      </c>
      <c r="V278" s="3" t="str">
        <f ca="1">VLOOKUP(E278,Vehicles!$A$2:$D$21,4,FALSE)</f>
        <v>Diesel</v>
      </c>
      <c r="W278" s="3">
        <f ca="1">VLOOKUP(V278,Fuel_Rates!$A$2:$B$3,2,FALSE)</f>
        <v>95</v>
      </c>
      <c r="X278" s="3">
        <f t="shared" ca="1" si="80"/>
        <v>97</v>
      </c>
      <c r="Y278" s="3">
        <f t="shared" ca="1" si="81"/>
        <v>74316</v>
      </c>
      <c r="Z278" s="3" t="str">
        <f t="shared" ca="1" si="82"/>
        <v>Nov</v>
      </c>
      <c r="AA278" s="3" t="str">
        <f t="shared" ca="1" si="83"/>
        <v>Q4</v>
      </c>
      <c r="AB278" s="4" t="str">
        <f t="shared" ca="1" si="84"/>
        <v>Medium Haul</v>
      </c>
    </row>
    <row r="279" spans="1:28" x14ac:dyDescent="0.3">
      <c r="A279" s="8" t="str">
        <f t="shared" si="79"/>
        <v>S0278</v>
      </c>
      <c r="B279" s="3">
        <f t="shared" ca="1" si="68"/>
        <v>46013</v>
      </c>
      <c r="C279" s="3" t="str">
        <f ca="1">INDEX(Customers!$A$2:$A$21,RANDBETWEEN(1,20))</f>
        <v>C019</v>
      </c>
      <c r="D279" s="3" t="str">
        <f ca="1">INDEX(Routes!$A$2:$A$31,RANDBETWEEN(1,30))</f>
        <v>R016</v>
      </c>
      <c r="E279" s="3" t="str">
        <f ca="1">INDEX(Vehicles!$A$2:$A$21,RANDBETWEEN(1,20))</f>
        <v>V008</v>
      </c>
      <c r="F279" s="3" t="str">
        <f ca="1">INDEX(Drivers!$A$2:$A$31,RANDBETWEEN(1,30))</f>
        <v>D014</v>
      </c>
      <c r="G279" s="3">
        <f t="shared" ca="1" si="69"/>
        <v>28.4</v>
      </c>
      <c r="H279" s="3">
        <f t="shared" ca="1" si="70"/>
        <v>61238</v>
      </c>
      <c r="I279" s="3">
        <f t="shared" ca="1" si="71"/>
        <v>17147</v>
      </c>
      <c r="J279" s="3">
        <f t="shared" ca="1" si="72"/>
        <v>1722</v>
      </c>
      <c r="K279" s="3">
        <f t="shared" ca="1" si="73"/>
        <v>8</v>
      </c>
      <c r="L279" s="3">
        <f t="shared" ca="1" si="74"/>
        <v>11</v>
      </c>
      <c r="M279" s="3">
        <f t="shared" ca="1" si="75"/>
        <v>3</v>
      </c>
      <c r="N279" s="3" t="str">
        <f t="shared" ca="1" si="76"/>
        <v>Delayed</v>
      </c>
      <c r="O279" s="3" t="str">
        <f t="shared" ca="1" si="77"/>
        <v>Medium</v>
      </c>
      <c r="P279" s="3">
        <f t="shared" ca="1" si="78"/>
        <v>94.7</v>
      </c>
      <c r="Q279" s="1" t="str">
        <f ca="1">VLOOKUP(D279,Routes!$A$2:$D$31,2,FALSE)</f>
        <v>Kolkata</v>
      </c>
      <c r="R279" s="1" t="str">
        <f ca="1">VLOOKUP(D279,Routes!$A$2:$D$31,3,FALSE)</f>
        <v>Bhubaneswar</v>
      </c>
      <c r="S279" s="3">
        <f ca="1">VLOOKUP(D279,Routes!$A$2:$D$31,4,FALSE)</f>
        <v>440</v>
      </c>
      <c r="T279" s="3" t="str">
        <f ca="1">VLOOKUP(E279,Vehicles!$A$2:$D$21,2,FALSE)</f>
        <v>Container</v>
      </c>
      <c r="U279" s="3">
        <f ca="1">VLOOKUP(E279,Vehicles!$A$2:$D$21,3,FALSE)</f>
        <v>25</v>
      </c>
      <c r="V279" s="3" t="str">
        <f ca="1">VLOOKUP(E279,Vehicles!$A$2:$D$21,4,FALSE)</f>
        <v>Diesel</v>
      </c>
      <c r="W279" s="3">
        <f ca="1">VLOOKUP(V279,Fuel_Rates!$A$2:$B$3,2,FALSE)</f>
        <v>95</v>
      </c>
      <c r="X279" s="3">
        <f t="shared" ca="1" si="80"/>
        <v>139.18</v>
      </c>
      <c r="Y279" s="3">
        <f t="shared" ca="1" si="81"/>
        <v>80107</v>
      </c>
      <c r="Z279" s="3" t="str">
        <f t="shared" ca="1" si="82"/>
        <v>Dec</v>
      </c>
      <c r="AA279" s="3" t="str">
        <f t="shared" ca="1" si="83"/>
        <v>Q4</v>
      </c>
      <c r="AB279" s="4" t="str">
        <f t="shared" ca="1" si="84"/>
        <v>Medium Haul</v>
      </c>
    </row>
    <row r="280" spans="1:28" x14ac:dyDescent="0.3">
      <c r="A280" s="8" t="str">
        <f t="shared" si="79"/>
        <v>S0279</v>
      </c>
      <c r="B280" s="3">
        <f t="shared" ca="1" si="68"/>
        <v>45809</v>
      </c>
      <c r="C280" s="3" t="str">
        <f ca="1">INDEX(Customers!$A$2:$A$21,RANDBETWEEN(1,20))</f>
        <v>C014</v>
      </c>
      <c r="D280" s="3" t="str">
        <f ca="1">INDEX(Routes!$A$2:$A$31,RANDBETWEEN(1,30))</f>
        <v>R008</v>
      </c>
      <c r="E280" s="3" t="str">
        <f ca="1">INDEX(Vehicles!$A$2:$A$21,RANDBETWEEN(1,20))</f>
        <v>V008</v>
      </c>
      <c r="F280" s="3" t="str">
        <f ca="1">INDEX(Drivers!$A$2:$A$31,RANDBETWEEN(1,30))</f>
        <v>D008</v>
      </c>
      <c r="G280" s="3">
        <f t="shared" ca="1" si="69"/>
        <v>7.9</v>
      </c>
      <c r="H280" s="3">
        <f t="shared" ca="1" si="70"/>
        <v>17257</v>
      </c>
      <c r="I280" s="3">
        <f t="shared" ca="1" si="71"/>
        <v>4832</v>
      </c>
      <c r="J280" s="3">
        <f t="shared" ca="1" si="72"/>
        <v>2374</v>
      </c>
      <c r="K280" s="3">
        <f t="shared" ca="1" si="73"/>
        <v>19</v>
      </c>
      <c r="L280" s="3">
        <f t="shared" ca="1" si="74"/>
        <v>21</v>
      </c>
      <c r="M280" s="3">
        <f t="shared" ca="1" si="75"/>
        <v>2</v>
      </c>
      <c r="N280" s="3" t="str">
        <f t="shared" ca="1" si="76"/>
        <v>On Time</v>
      </c>
      <c r="O280" s="3" t="str">
        <f t="shared" ca="1" si="77"/>
        <v>Low</v>
      </c>
      <c r="P280" s="3">
        <f t="shared" ca="1" si="78"/>
        <v>26.3</v>
      </c>
      <c r="Q280" s="1" t="str">
        <f ca="1">VLOOKUP(D280,Routes!$A$2:$D$31,2,FALSE)</f>
        <v>Delhi</v>
      </c>
      <c r="R280" s="1" t="str">
        <f ca="1">VLOOKUP(D280,Routes!$A$2:$D$31,3,FALSE)</f>
        <v>Kolkata</v>
      </c>
      <c r="S280" s="3">
        <f ca="1">VLOOKUP(D280,Routes!$A$2:$D$31,4,FALSE)</f>
        <v>1500</v>
      </c>
      <c r="T280" s="3" t="str">
        <f ca="1">VLOOKUP(E280,Vehicles!$A$2:$D$21,2,FALSE)</f>
        <v>Container</v>
      </c>
      <c r="U280" s="3">
        <f ca="1">VLOOKUP(E280,Vehicles!$A$2:$D$21,3,FALSE)</f>
        <v>25</v>
      </c>
      <c r="V280" s="3" t="str">
        <f ca="1">VLOOKUP(E280,Vehicles!$A$2:$D$21,4,FALSE)</f>
        <v>Diesel</v>
      </c>
      <c r="W280" s="3">
        <f ca="1">VLOOKUP(V280,Fuel_Rates!$A$2:$B$3,2,FALSE)</f>
        <v>95</v>
      </c>
      <c r="X280" s="3">
        <f t="shared" ca="1" si="80"/>
        <v>11.5</v>
      </c>
      <c r="Y280" s="3">
        <f t="shared" ca="1" si="81"/>
        <v>24463</v>
      </c>
      <c r="Z280" s="3" t="str">
        <f t="shared" ca="1" si="82"/>
        <v>Jun</v>
      </c>
      <c r="AA280" s="3" t="str">
        <f t="shared" ca="1" si="83"/>
        <v>Q2</v>
      </c>
      <c r="AB280" s="4" t="str">
        <f t="shared" ca="1" si="84"/>
        <v>Long Haul</v>
      </c>
    </row>
    <row r="281" spans="1:28" x14ac:dyDescent="0.3">
      <c r="A281" s="8" t="str">
        <f t="shared" si="79"/>
        <v>S0280</v>
      </c>
      <c r="B281" s="3">
        <f t="shared" ca="1" si="68"/>
        <v>45967</v>
      </c>
      <c r="C281" s="3" t="str">
        <f ca="1">INDEX(Customers!$A$2:$A$21,RANDBETWEEN(1,20))</f>
        <v>C019</v>
      </c>
      <c r="D281" s="3" t="str">
        <f ca="1">INDEX(Routes!$A$2:$A$31,RANDBETWEEN(1,30))</f>
        <v>R007</v>
      </c>
      <c r="E281" s="3" t="str">
        <f ca="1">INDEX(Vehicles!$A$2:$A$21,RANDBETWEEN(1,20))</f>
        <v>V001</v>
      </c>
      <c r="F281" s="3" t="str">
        <f ca="1">INDEX(Drivers!$A$2:$A$31,RANDBETWEEN(1,30))</f>
        <v>D015</v>
      </c>
      <c r="G281" s="3">
        <f t="shared" ca="1" si="69"/>
        <v>20.3</v>
      </c>
      <c r="H281" s="3">
        <f t="shared" ca="1" si="70"/>
        <v>50908</v>
      </c>
      <c r="I281" s="3">
        <f t="shared" ca="1" si="71"/>
        <v>14254</v>
      </c>
      <c r="J281" s="3">
        <f t="shared" ca="1" si="72"/>
        <v>1983</v>
      </c>
      <c r="K281" s="3">
        <f t="shared" ca="1" si="73"/>
        <v>19</v>
      </c>
      <c r="L281" s="3">
        <f t="shared" ca="1" si="74"/>
        <v>22</v>
      </c>
      <c r="M281" s="3">
        <f t="shared" ca="1" si="75"/>
        <v>3</v>
      </c>
      <c r="N281" s="3" t="str">
        <f t="shared" ca="1" si="76"/>
        <v>Delayed</v>
      </c>
      <c r="O281" s="3" t="str">
        <f t="shared" ca="1" si="77"/>
        <v>High</v>
      </c>
      <c r="P281" s="3">
        <f t="shared" ca="1" si="78"/>
        <v>67.7</v>
      </c>
      <c r="Q281" s="1" t="str">
        <f ca="1">VLOOKUP(D281,Routes!$A$2:$D$31,2,FALSE)</f>
        <v>Delhi</v>
      </c>
      <c r="R281" s="1" t="str">
        <f ca="1">VLOOKUP(D281,Routes!$A$2:$D$31,3,FALSE)</f>
        <v>Chandigarh</v>
      </c>
      <c r="S281" s="3">
        <f ca="1">VLOOKUP(D281,Routes!$A$2:$D$31,4,FALSE)</f>
        <v>250</v>
      </c>
      <c r="T281" s="3" t="str">
        <f ca="1">VLOOKUP(E281,Vehicles!$A$2:$D$21,2,FALSE)</f>
        <v>Truck</v>
      </c>
      <c r="U281" s="3">
        <f ca="1">VLOOKUP(E281,Vehicles!$A$2:$D$21,3,FALSE)</f>
        <v>16</v>
      </c>
      <c r="V281" s="3" t="str">
        <f ca="1">VLOOKUP(E281,Vehicles!$A$2:$D$21,4,FALSE)</f>
        <v>Diesel</v>
      </c>
      <c r="W281" s="3">
        <f ca="1">VLOOKUP(V281,Fuel_Rates!$A$2:$B$3,2,FALSE)</f>
        <v>95</v>
      </c>
      <c r="X281" s="3">
        <f t="shared" ca="1" si="80"/>
        <v>203.63</v>
      </c>
      <c r="Y281" s="3">
        <f t="shared" ca="1" si="81"/>
        <v>67145</v>
      </c>
      <c r="Z281" s="3" t="str">
        <f t="shared" ca="1" si="82"/>
        <v>Nov</v>
      </c>
      <c r="AA281" s="3" t="str">
        <f t="shared" ca="1" si="83"/>
        <v>Q4</v>
      </c>
      <c r="AB281" s="4" t="str">
        <f t="shared" ca="1" si="84"/>
        <v>Short Haul</v>
      </c>
    </row>
    <row r="282" spans="1:28" x14ac:dyDescent="0.3">
      <c r="A282" s="8" t="str">
        <f t="shared" si="79"/>
        <v>S0281</v>
      </c>
      <c r="B282" s="3">
        <f t="shared" ca="1" si="68"/>
        <v>45860</v>
      </c>
      <c r="C282" s="3" t="str">
        <f ca="1">INDEX(Customers!$A$2:$A$21,RANDBETWEEN(1,20))</f>
        <v>C019</v>
      </c>
      <c r="D282" s="3" t="str">
        <f ca="1">INDEX(Routes!$A$2:$A$31,RANDBETWEEN(1,30))</f>
        <v>R015</v>
      </c>
      <c r="E282" s="3" t="str">
        <f ca="1">INDEX(Vehicles!$A$2:$A$21,RANDBETWEEN(1,20))</f>
        <v>V020</v>
      </c>
      <c r="F282" s="3" t="str">
        <f ca="1">INDEX(Drivers!$A$2:$A$31,RANDBETWEEN(1,30))</f>
        <v>D011</v>
      </c>
      <c r="G282" s="3">
        <f t="shared" ca="1" si="69"/>
        <v>5</v>
      </c>
      <c r="H282" s="3">
        <f t="shared" ca="1" si="70"/>
        <v>17409</v>
      </c>
      <c r="I282" s="3">
        <f t="shared" ca="1" si="71"/>
        <v>4875</v>
      </c>
      <c r="J282" s="3">
        <f t="shared" ca="1" si="72"/>
        <v>3989</v>
      </c>
      <c r="K282" s="3">
        <f t="shared" ca="1" si="73"/>
        <v>12</v>
      </c>
      <c r="L282" s="3">
        <f t="shared" ca="1" si="74"/>
        <v>16</v>
      </c>
      <c r="M282" s="3">
        <f t="shared" ca="1" si="75"/>
        <v>4</v>
      </c>
      <c r="N282" s="3" t="str">
        <f t="shared" ca="1" si="76"/>
        <v>Delayed</v>
      </c>
      <c r="O282" s="3" t="str">
        <f t="shared" ca="1" si="77"/>
        <v>High</v>
      </c>
      <c r="P282" s="3">
        <f t="shared" ca="1" si="78"/>
        <v>16.7</v>
      </c>
      <c r="Q282" s="1" t="str">
        <f ca="1">VLOOKUP(D282,Routes!$A$2:$D$31,2,FALSE)</f>
        <v>Hyderabad</v>
      </c>
      <c r="R282" s="1" t="str">
        <f ca="1">VLOOKUP(D282,Routes!$A$2:$D$31,3,FALSE)</f>
        <v>Pune</v>
      </c>
      <c r="S282" s="3">
        <f ca="1">VLOOKUP(D282,Routes!$A$2:$D$31,4,FALSE)</f>
        <v>560</v>
      </c>
      <c r="T282" s="3" t="str">
        <f ca="1">VLOOKUP(E282,Vehicles!$A$2:$D$21,2,FALSE)</f>
        <v>Container</v>
      </c>
      <c r="U282" s="3">
        <f ca="1">VLOOKUP(E282,Vehicles!$A$2:$D$21,3,FALSE)</f>
        <v>28</v>
      </c>
      <c r="V282" s="3" t="str">
        <f ca="1">VLOOKUP(E282,Vehicles!$A$2:$D$21,4,FALSE)</f>
        <v>Diesel</v>
      </c>
      <c r="W282" s="3">
        <f ca="1">VLOOKUP(V282,Fuel_Rates!$A$2:$B$3,2,FALSE)</f>
        <v>95</v>
      </c>
      <c r="X282" s="3">
        <f t="shared" ca="1" si="80"/>
        <v>31.09</v>
      </c>
      <c r="Y282" s="3">
        <f t="shared" ca="1" si="81"/>
        <v>26273</v>
      </c>
      <c r="Z282" s="3" t="str">
        <f t="shared" ca="1" si="82"/>
        <v>Jul</v>
      </c>
      <c r="AA282" s="3" t="str">
        <f t="shared" ca="1" si="83"/>
        <v>Q3</v>
      </c>
      <c r="AB282" s="4" t="str">
        <f t="shared" ca="1" si="84"/>
        <v>Medium Haul</v>
      </c>
    </row>
    <row r="283" spans="1:28" x14ac:dyDescent="0.3">
      <c r="A283" s="8" t="str">
        <f t="shared" si="79"/>
        <v>S0282</v>
      </c>
      <c r="B283" s="3">
        <f t="shared" ca="1" si="68"/>
        <v>45716</v>
      </c>
      <c r="C283" s="3" t="str">
        <f ca="1">INDEX(Customers!$A$2:$A$21,RANDBETWEEN(1,20))</f>
        <v>C018</v>
      </c>
      <c r="D283" s="3" t="str">
        <f ca="1">INDEX(Routes!$A$2:$A$31,RANDBETWEEN(1,30))</f>
        <v>R011</v>
      </c>
      <c r="E283" s="3" t="str">
        <f ca="1">INDEX(Vehicles!$A$2:$A$21,RANDBETWEEN(1,20))</f>
        <v>V018</v>
      </c>
      <c r="F283" s="3" t="str">
        <f ca="1">INDEX(Drivers!$A$2:$A$31,RANDBETWEEN(1,30))</f>
        <v>D012</v>
      </c>
      <c r="G283" s="3">
        <f t="shared" ca="1" si="69"/>
        <v>16.100000000000001</v>
      </c>
      <c r="H283" s="3">
        <f t="shared" ca="1" si="70"/>
        <v>32906</v>
      </c>
      <c r="I283" s="3">
        <f t="shared" ca="1" si="71"/>
        <v>9214</v>
      </c>
      <c r="J283" s="3">
        <f t="shared" ca="1" si="72"/>
        <v>2871</v>
      </c>
      <c r="K283" s="3">
        <f t="shared" ca="1" si="73"/>
        <v>16</v>
      </c>
      <c r="L283" s="3">
        <f t="shared" ca="1" si="74"/>
        <v>17</v>
      </c>
      <c r="M283" s="3">
        <f t="shared" ca="1" si="75"/>
        <v>1</v>
      </c>
      <c r="N283" s="3" t="str">
        <f t="shared" ca="1" si="76"/>
        <v>On Time</v>
      </c>
      <c r="O283" s="3" t="str">
        <f t="shared" ca="1" si="77"/>
        <v>High</v>
      </c>
      <c r="P283" s="3">
        <f t="shared" ca="1" si="78"/>
        <v>53.7</v>
      </c>
      <c r="Q283" s="1" t="str">
        <f ca="1">VLOOKUP(D283,Routes!$A$2:$D$31,2,FALSE)</f>
        <v>Bengaluru</v>
      </c>
      <c r="R283" s="1" t="str">
        <f ca="1">VLOOKUP(D283,Routes!$A$2:$D$31,3,FALSE)</f>
        <v>Kochi</v>
      </c>
      <c r="S283" s="3">
        <f ca="1">VLOOKUP(D283,Routes!$A$2:$D$31,4,FALSE)</f>
        <v>550</v>
      </c>
      <c r="T283" s="3" t="str">
        <f ca="1">VLOOKUP(E283,Vehicles!$A$2:$D$21,2,FALSE)</f>
        <v>Truck</v>
      </c>
      <c r="U283" s="3">
        <f ca="1">VLOOKUP(E283,Vehicles!$A$2:$D$21,3,FALSE)</f>
        <v>26</v>
      </c>
      <c r="V283" s="3" t="str">
        <f ca="1">VLOOKUP(E283,Vehicles!$A$2:$D$21,4,FALSE)</f>
        <v>Diesel</v>
      </c>
      <c r="W283" s="3">
        <f ca="1">VLOOKUP(V283,Fuel_Rates!$A$2:$B$3,2,FALSE)</f>
        <v>95</v>
      </c>
      <c r="X283" s="3">
        <f t="shared" ca="1" si="80"/>
        <v>59.83</v>
      </c>
      <c r="Y283" s="3">
        <f t="shared" ca="1" si="81"/>
        <v>44991</v>
      </c>
      <c r="Z283" s="3" t="str">
        <f t="shared" ca="1" si="82"/>
        <v>Feb</v>
      </c>
      <c r="AA283" s="3" t="str">
        <f t="shared" ca="1" si="83"/>
        <v>Q1</v>
      </c>
      <c r="AB283" s="4" t="str">
        <f t="shared" ca="1" si="84"/>
        <v>Medium Haul</v>
      </c>
    </row>
    <row r="284" spans="1:28" x14ac:dyDescent="0.3">
      <c r="A284" s="8" t="str">
        <f t="shared" si="79"/>
        <v>S0283</v>
      </c>
      <c r="B284" s="3">
        <f t="shared" ca="1" si="68"/>
        <v>46007</v>
      </c>
      <c r="C284" s="3" t="str">
        <f ca="1">INDEX(Customers!$A$2:$A$21,RANDBETWEEN(1,20))</f>
        <v>C006</v>
      </c>
      <c r="D284" s="3" t="str">
        <f ca="1">INDEX(Routes!$A$2:$A$31,RANDBETWEEN(1,30))</f>
        <v>R019</v>
      </c>
      <c r="E284" s="3" t="str">
        <f ca="1">INDEX(Vehicles!$A$2:$A$21,RANDBETWEEN(1,20))</f>
        <v>V012</v>
      </c>
      <c r="F284" s="3" t="str">
        <f ca="1">INDEX(Drivers!$A$2:$A$31,RANDBETWEEN(1,30))</f>
        <v>D023</v>
      </c>
      <c r="G284" s="3">
        <f t="shared" ca="1" si="69"/>
        <v>27.1</v>
      </c>
      <c r="H284" s="3">
        <f t="shared" ca="1" si="70"/>
        <v>61939</v>
      </c>
      <c r="I284" s="3">
        <f t="shared" ca="1" si="71"/>
        <v>17343</v>
      </c>
      <c r="J284" s="3">
        <f t="shared" ca="1" si="72"/>
        <v>1587</v>
      </c>
      <c r="K284" s="3">
        <f t="shared" ca="1" si="73"/>
        <v>23</v>
      </c>
      <c r="L284" s="3">
        <f t="shared" ca="1" si="74"/>
        <v>26</v>
      </c>
      <c r="M284" s="3">
        <f t="shared" ca="1" si="75"/>
        <v>3</v>
      </c>
      <c r="N284" s="3" t="str">
        <f t="shared" ca="1" si="76"/>
        <v>Delayed</v>
      </c>
      <c r="O284" s="3" t="str">
        <f t="shared" ca="1" si="77"/>
        <v>High</v>
      </c>
      <c r="P284" s="3">
        <f t="shared" ca="1" si="78"/>
        <v>90.3</v>
      </c>
      <c r="Q284" s="1" t="str">
        <f ca="1">VLOOKUP(D284,Routes!$A$2:$D$31,2,FALSE)</f>
        <v>Ahmedabad</v>
      </c>
      <c r="R284" s="1" t="str">
        <f ca="1">VLOOKUP(D284,Routes!$A$2:$D$31,3,FALSE)</f>
        <v>Indore</v>
      </c>
      <c r="S284" s="3">
        <f ca="1">VLOOKUP(D284,Routes!$A$2:$D$31,4,FALSE)</f>
        <v>390</v>
      </c>
      <c r="T284" s="3" t="str">
        <f ca="1">VLOOKUP(E284,Vehicles!$A$2:$D$21,2,FALSE)</f>
        <v>Truck</v>
      </c>
      <c r="U284" s="3">
        <f ca="1">VLOOKUP(E284,Vehicles!$A$2:$D$21,3,FALSE)</f>
        <v>20</v>
      </c>
      <c r="V284" s="3" t="str">
        <f ca="1">VLOOKUP(E284,Vehicles!$A$2:$D$21,4,FALSE)</f>
        <v>CNG</v>
      </c>
      <c r="W284" s="3">
        <f ca="1">VLOOKUP(V284,Fuel_Rates!$A$2:$B$3,2,FALSE)</f>
        <v>78</v>
      </c>
      <c r="X284" s="3">
        <f t="shared" ca="1" si="80"/>
        <v>158.82</v>
      </c>
      <c r="Y284" s="3">
        <f t="shared" ca="1" si="81"/>
        <v>80869</v>
      </c>
      <c r="Z284" s="3" t="str">
        <f t="shared" ca="1" si="82"/>
        <v>Dec</v>
      </c>
      <c r="AA284" s="3" t="str">
        <f t="shared" ca="1" si="83"/>
        <v>Q4</v>
      </c>
      <c r="AB284" s="4" t="str">
        <f t="shared" ca="1" si="84"/>
        <v>Medium Haul</v>
      </c>
    </row>
    <row r="285" spans="1:28" x14ac:dyDescent="0.3">
      <c r="A285" s="8" t="str">
        <f t="shared" si="79"/>
        <v>S0284</v>
      </c>
      <c r="B285" s="3">
        <f t="shared" ca="1" si="68"/>
        <v>45912</v>
      </c>
      <c r="C285" s="3" t="str">
        <f ca="1">INDEX(Customers!$A$2:$A$21,RANDBETWEEN(1,20))</f>
        <v>C007</v>
      </c>
      <c r="D285" s="3" t="str">
        <f ca="1">INDEX(Routes!$A$2:$A$31,RANDBETWEEN(1,30))</f>
        <v>R022</v>
      </c>
      <c r="E285" s="3" t="str">
        <f ca="1">INDEX(Vehicles!$A$2:$A$21,RANDBETWEEN(1,20))</f>
        <v>V011</v>
      </c>
      <c r="F285" s="3" t="str">
        <f ca="1">INDEX(Drivers!$A$2:$A$31,RANDBETWEEN(1,30))</f>
        <v>D003</v>
      </c>
      <c r="G285" s="3">
        <f t="shared" ca="1" si="69"/>
        <v>3.9</v>
      </c>
      <c r="H285" s="3">
        <f t="shared" ca="1" si="70"/>
        <v>21676</v>
      </c>
      <c r="I285" s="3">
        <f t="shared" ca="1" si="71"/>
        <v>6069</v>
      </c>
      <c r="J285" s="3">
        <f t="shared" ca="1" si="72"/>
        <v>3644</v>
      </c>
      <c r="K285" s="3">
        <f t="shared" ca="1" si="73"/>
        <v>36</v>
      </c>
      <c r="L285" s="3">
        <f t="shared" ca="1" si="74"/>
        <v>36</v>
      </c>
      <c r="M285" s="3">
        <f t="shared" ca="1" si="75"/>
        <v>0</v>
      </c>
      <c r="N285" s="3" t="str">
        <f t="shared" ca="1" si="76"/>
        <v>On Time</v>
      </c>
      <c r="O285" s="3" t="str">
        <f t="shared" ca="1" si="77"/>
        <v>Low</v>
      </c>
      <c r="P285" s="3">
        <f t="shared" ca="1" si="78"/>
        <v>13</v>
      </c>
      <c r="Q285" s="1" t="str">
        <f ca="1">VLOOKUP(D285,Routes!$A$2:$D$31,2,FALSE)</f>
        <v>Jaipur</v>
      </c>
      <c r="R285" s="1" t="str">
        <f ca="1">VLOOKUP(D285,Routes!$A$2:$D$31,3,FALSE)</f>
        <v>Indore</v>
      </c>
      <c r="S285" s="3">
        <f ca="1">VLOOKUP(D285,Routes!$A$2:$D$31,4,FALSE)</f>
        <v>600</v>
      </c>
      <c r="T285" s="3" t="str">
        <f ca="1">VLOOKUP(E285,Vehicles!$A$2:$D$21,2,FALSE)</f>
        <v>Truck</v>
      </c>
      <c r="U285" s="3">
        <f ca="1">VLOOKUP(E285,Vehicles!$A$2:$D$21,3,FALSE)</f>
        <v>18</v>
      </c>
      <c r="V285" s="3" t="str">
        <f ca="1">VLOOKUP(E285,Vehicles!$A$2:$D$21,4,FALSE)</f>
        <v>CNG</v>
      </c>
      <c r="W285" s="3">
        <f ca="1">VLOOKUP(V285,Fuel_Rates!$A$2:$B$3,2,FALSE)</f>
        <v>78</v>
      </c>
      <c r="X285" s="3">
        <f t="shared" ca="1" si="80"/>
        <v>36.130000000000003</v>
      </c>
      <c r="Y285" s="3">
        <f t="shared" ca="1" si="81"/>
        <v>31389</v>
      </c>
      <c r="Z285" s="3" t="str">
        <f t="shared" ca="1" si="82"/>
        <v>Sep</v>
      </c>
      <c r="AA285" s="3" t="str">
        <f t="shared" ca="1" si="83"/>
        <v>Q3</v>
      </c>
      <c r="AB285" s="4" t="str">
        <f t="shared" ca="1" si="84"/>
        <v>Medium Haul</v>
      </c>
    </row>
    <row r="286" spans="1:28" x14ac:dyDescent="0.3">
      <c r="A286" s="8" t="str">
        <f t="shared" si="79"/>
        <v>S0285</v>
      </c>
      <c r="B286" s="3">
        <f t="shared" ca="1" si="68"/>
        <v>45801</v>
      </c>
      <c r="C286" s="3" t="str">
        <f ca="1">INDEX(Customers!$A$2:$A$21,RANDBETWEEN(1,20))</f>
        <v>C020</v>
      </c>
      <c r="D286" s="3" t="str">
        <f ca="1">INDEX(Routes!$A$2:$A$31,RANDBETWEEN(1,30))</f>
        <v>R030</v>
      </c>
      <c r="E286" s="3" t="str">
        <f ca="1">INDEX(Vehicles!$A$2:$A$21,RANDBETWEEN(1,20))</f>
        <v>V009</v>
      </c>
      <c r="F286" s="3" t="str">
        <f ca="1">INDEX(Drivers!$A$2:$A$31,RANDBETWEEN(1,30))</f>
        <v>D027</v>
      </c>
      <c r="G286" s="3">
        <f t="shared" ca="1" si="69"/>
        <v>12</v>
      </c>
      <c r="H286" s="3">
        <f t="shared" ca="1" si="70"/>
        <v>28077</v>
      </c>
      <c r="I286" s="3">
        <f t="shared" ca="1" si="71"/>
        <v>7862</v>
      </c>
      <c r="J286" s="3">
        <f t="shared" ca="1" si="72"/>
        <v>3599</v>
      </c>
      <c r="K286" s="3">
        <f t="shared" ca="1" si="73"/>
        <v>29</v>
      </c>
      <c r="L286" s="3">
        <f t="shared" ca="1" si="74"/>
        <v>36</v>
      </c>
      <c r="M286" s="3">
        <f t="shared" ca="1" si="75"/>
        <v>7</v>
      </c>
      <c r="N286" s="3" t="str">
        <f t="shared" ca="1" si="76"/>
        <v>Delayed</v>
      </c>
      <c r="O286" s="3" t="str">
        <f t="shared" ca="1" si="77"/>
        <v>Low</v>
      </c>
      <c r="P286" s="3">
        <f t="shared" ca="1" si="78"/>
        <v>40</v>
      </c>
      <c r="Q286" s="1" t="str">
        <f ca="1">VLOOKUP(D286,Routes!$A$2:$D$31,2,FALSE)</f>
        <v>Bhubaneswar</v>
      </c>
      <c r="R286" s="1" t="str">
        <f ca="1">VLOOKUP(D286,Routes!$A$2:$D$31,3,FALSE)</f>
        <v>Kolkata</v>
      </c>
      <c r="S286" s="3">
        <f ca="1">VLOOKUP(D286,Routes!$A$2:$D$31,4,FALSE)</f>
        <v>440</v>
      </c>
      <c r="T286" s="3" t="str">
        <f ca="1">VLOOKUP(E286,Vehicles!$A$2:$D$21,2,FALSE)</f>
        <v>LCV</v>
      </c>
      <c r="U286" s="3">
        <f ca="1">VLOOKUP(E286,Vehicles!$A$2:$D$21,3,FALSE)</f>
        <v>5</v>
      </c>
      <c r="V286" s="3" t="str">
        <f ca="1">VLOOKUP(E286,Vehicles!$A$2:$D$21,4,FALSE)</f>
        <v>Diesel</v>
      </c>
      <c r="W286" s="3">
        <f ca="1">VLOOKUP(V286,Fuel_Rates!$A$2:$B$3,2,FALSE)</f>
        <v>95</v>
      </c>
      <c r="X286" s="3">
        <f t="shared" ca="1" si="80"/>
        <v>63.81</v>
      </c>
      <c r="Y286" s="3">
        <f t="shared" ca="1" si="81"/>
        <v>39538</v>
      </c>
      <c r="Z286" s="3" t="str">
        <f t="shared" ca="1" si="82"/>
        <v>May</v>
      </c>
      <c r="AA286" s="3" t="str">
        <f t="shared" ca="1" si="83"/>
        <v>Q2</v>
      </c>
      <c r="AB286" s="4" t="str">
        <f t="shared" ca="1" si="84"/>
        <v>Medium Haul</v>
      </c>
    </row>
    <row r="287" spans="1:28" x14ac:dyDescent="0.3">
      <c r="A287" s="8" t="str">
        <f t="shared" si="79"/>
        <v>S0286</v>
      </c>
      <c r="B287" s="3">
        <f t="shared" ca="1" si="68"/>
        <v>45768</v>
      </c>
      <c r="C287" s="3" t="str">
        <f ca="1">INDEX(Customers!$A$2:$A$21,RANDBETWEEN(1,20))</f>
        <v>C011</v>
      </c>
      <c r="D287" s="3" t="str">
        <f ca="1">INDEX(Routes!$A$2:$A$31,RANDBETWEEN(1,30))</f>
        <v>R015</v>
      </c>
      <c r="E287" s="3" t="str">
        <f ca="1">INDEX(Vehicles!$A$2:$A$21,RANDBETWEEN(1,20))</f>
        <v>V010</v>
      </c>
      <c r="F287" s="3" t="str">
        <f ca="1">INDEX(Drivers!$A$2:$A$31,RANDBETWEEN(1,30))</f>
        <v>D029</v>
      </c>
      <c r="G287" s="3">
        <f t="shared" ca="1" si="69"/>
        <v>19.3</v>
      </c>
      <c r="H287" s="3">
        <f t="shared" ca="1" si="70"/>
        <v>39518</v>
      </c>
      <c r="I287" s="3">
        <f t="shared" ca="1" si="71"/>
        <v>11065</v>
      </c>
      <c r="J287" s="3">
        <f t="shared" ca="1" si="72"/>
        <v>3773</v>
      </c>
      <c r="K287" s="3">
        <f t="shared" ca="1" si="73"/>
        <v>11</v>
      </c>
      <c r="L287" s="3">
        <f t="shared" ca="1" si="74"/>
        <v>17</v>
      </c>
      <c r="M287" s="3">
        <f t="shared" ca="1" si="75"/>
        <v>6</v>
      </c>
      <c r="N287" s="3" t="str">
        <f t="shared" ca="1" si="76"/>
        <v>Delayed</v>
      </c>
      <c r="O287" s="3" t="str">
        <f t="shared" ca="1" si="77"/>
        <v>High</v>
      </c>
      <c r="P287" s="3">
        <f t="shared" ca="1" si="78"/>
        <v>64.3</v>
      </c>
      <c r="Q287" s="1" t="str">
        <f ca="1">VLOOKUP(D287,Routes!$A$2:$D$31,2,FALSE)</f>
        <v>Hyderabad</v>
      </c>
      <c r="R287" s="1" t="str">
        <f ca="1">VLOOKUP(D287,Routes!$A$2:$D$31,3,FALSE)</f>
        <v>Pune</v>
      </c>
      <c r="S287" s="3">
        <f ca="1">VLOOKUP(D287,Routes!$A$2:$D$31,4,FALSE)</f>
        <v>560</v>
      </c>
      <c r="T287" s="3" t="str">
        <f ca="1">VLOOKUP(E287,Vehicles!$A$2:$D$21,2,FALSE)</f>
        <v>LCV</v>
      </c>
      <c r="U287" s="3">
        <f ca="1">VLOOKUP(E287,Vehicles!$A$2:$D$21,3,FALSE)</f>
        <v>7</v>
      </c>
      <c r="V287" s="3" t="str">
        <f ca="1">VLOOKUP(E287,Vehicles!$A$2:$D$21,4,FALSE)</f>
        <v>Diesel</v>
      </c>
      <c r="W287" s="3">
        <f ca="1">VLOOKUP(V287,Fuel_Rates!$A$2:$B$3,2,FALSE)</f>
        <v>95</v>
      </c>
      <c r="X287" s="3">
        <f t="shared" ca="1" si="80"/>
        <v>70.569999999999993</v>
      </c>
      <c r="Y287" s="3">
        <f t="shared" ca="1" si="81"/>
        <v>54356</v>
      </c>
      <c r="Z287" s="3" t="str">
        <f t="shared" ca="1" si="82"/>
        <v>Apr</v>
      </c>
      <c r="AA287" s="3" t="str">
        <f t="shared" ca="1" si="83"/>
        <v>Q2</v>
      </c>
      <c r="AB287" s="4" t="str">
        <f t="shared" ca="1" si="84"/>
        <v>Medium Haul</v>
      </c>
    </row>
    <row r="288" spans="1:28" x14ac:dyDescent="0.3">
      <c r="A288" s="8" t="str">
        <f t="shared" si="79"/>
        <v>S0287</v>
      </c>
      <c r="B288" s="3">
        <f t="shared" ca="1" si="68"/>
        <v>46008</v>
      </c>
      <c r="C288" s="3" t="str">
        <f ca="1">INDEX(Customers!$A$2:$A$21,RANDBETWEEN(1,20))</f>
        <v>C012</v>
      </c>
      <c r="D288" s="3" t="str">
        <f ca="1">INDEX(Routes!$A$2:$A$31,RANDBETWEEN(1,30))</f>
        <v>R022</v>
      </c>
      <c r="E288" s="3" t="str">
        <f ca="1">INDEX(Vehicles!$A$2:$A$21,RANDBETWEEN(1,20))</f>
        <v>V015</v>
      </c>
      <c r="F288" s="3" t="str">
        <f ca="1">INDEX(Drivers!$A$2:$A$31,RANDBETWEEN(1,30))</f>
        <v>D021</v>
      </c>
      <c r="G288" s="3">
        <f t="shared" ca="1" si="69"/>
        <v>21.7</v>
      </c>
      <c r="H288" s="3">
        <f t="shared" ca="1" si="70"/>
        <v>42979</v>
      </c>
      <c r="I288" s="3">
        <f t="shared" ca="1" si="71"/>
        <v>12034</v>
      </c>
      <c r="J288" s="3">
        <f t="shared" ca="1" si="72"/>
        <v>3389</v>
      </c>
      <c r="K288" s="3">
        <f t="shared" ca="1" si="73"/>
        <v>28</v>
      </c>
      <c r="L288" s="3">
        <f t="shared" ca="1" si="74"/>
        <v>35</v>
      </c>
      <c r="M288" s="3">
        <f t="shared" ca="1" si="75"/>
        <v>7</v>
      </c>
      <c r="N288" s="3" t="str">
        <f t="shared" ca="1" si="76"/>
        <v>Delayed</v>
      </c>
      <c r="O288" s="3" t="str">
        <f t="shared" ca="1" si="77"/>
        <v>High</v>
      </c>
      <c r="P288" s="3">
        <f t="shared" ca="1" si="78"/>
        <v>72.3</v>
      </c>
      <c r="Q288" s="1" t="str">
        <f ca="1">VLOOKUP(D288,Routes!$A$2:$D$31,2,FALSE)</f>
        <v>Jaipur</v>
      </c>
      <c r="R288" s="1" t="str">
        <f ca="1">VLOOKUP(D288,Routes!$A$2:$D$31,3,FALSE)</f>
        <v>Indore</v>
      </c>
      <c r="S288" s="3">
        <f ca="1">VLOOKUP(D288,Routes!$A$2:$D$31,4,FALSE)</f>
        <v>600</v>
      </c>
      <c r="T288" s="3" t="str">
        <f ca="1">VLOOKUP(E288,Vehicles!$A$2:$D$21,2,FALSE)</f>
        <v>Trailer</v>
      </c>
      <c r="U288" s="3">
        <f ca="1">VLOOKUP(E288,Vehicles!$A$2:$D$21,3,FALSE)</f>
        <v>30</v>
      </c>
      <c r="V288" s="3" t="str">
        <f ca="1">VLOOKUP(E288,Vehicles!$A$2:$D$21,4,FALSE)</f>
        <v>Diesel</v>
      </c>
      <c r="W288" s="3">
        <f ca="1">VLOOKUP(V288,Fuel_Rates!$A$2:$B$3,2,FALSE)</f>
        <v>95</v>
      </c>
      <c r="X288" s="3">
        <f t="shared" ca="1" si="80"/>
        <v>71.63</v>
      </c>
      <c r="Y288" s="3">
        <f t="shared" ca="1" si="81"/>
        <v>58402</v>
      </c>
      <c r="Z288" s="3" t="str">
        <f t="shared" ca="1" si="82"/>
        <v>Dec</v>
      </c>
      <c r="AA288" s="3" t="str">
        <f t="shared" ca="1" si="83"/>
        <v>Q4</v>
      </c>
      <c r="AB288" s="4" t="str">
        <f t="shared" ca="1" si="84"/>
        <v>Medium Haul</v>
      </c>
    </row>
    <row r="289" spans="1:28" x14ac:dyDescent="0.3">
      <c r="A289" s="8" t="str">
        <f t="shared" si="79"/>
        <v>S0288</v>
      </c>
      <c r="B289" s="3">
        <f t="shared" ca="1" si="68"/>
        <v>45720</v>
      </c>
      <c r="C289" s="3" t="str">
        <f ca="1">INDEX(Customers!$A$2:$A$21,RANDBETWEEN(1,20))</f>
        <v>C020</v>
      </c>
      <c r="D289" s="3" t="str">
        <f ca="1">INDEX(Routes!$A$2:$A$31,RANDBETWEEN(1,30))</f>
        <v>R006</v>
      </c>
      <c r="E289" s="3" t="str">
        <f ca="1">INDEX(Vehicles!$A$2:$A$21,RANDBETWEEN(1,20))</f>
        <v>V005</v>
      </c>
      <c r="F289" s="3" t="str">
        <f ca="1">INDEX(Drivers!$A$2:$A$31,RANDBETWEEN(1,30))</f>
        <v>D017</v>
      </c>
      <c r="G289" s="3">
        <f t="shared" ca="1" si="69"/>
        <v>16.7</v>
      </c>
      <c r="H289" s="3">
        <f t="shared" ca="1" si="70"/>
        <v>42825</v>
      </c>
      <c r="I289" s="3">
        <f t="shared" ca="1" si="71"/>
        <v>11991</v>
      </c>
      <c r="J289" s="3">
        <f t="shared" ca="1" si="72"/>
        <v>2689</v>
      </c>
      <c r="K289" s="3">
        <f t="shared" ca="1" si="73"/>
        <v>9</v>
      </c>
      <c r="L289" s="3">
        <f t="shared" ca="1" si="74"/>
        <v>9</v>
      </c>
      <c r="M289" s="3">
        <f t="shared" ca="1" si="75"/>
        <v>0</v>
      </c>
      <c r="N289" s="3" t="str">
        <f t="shared" ca="1" si="76"/>
        <v>On Time</v>
      </c>
      <c r="O289" s="3" t="str">
        <f t="shared" ca="1" si="77"/>
        <v>Low</v>
      </c>
      <c r="P289" s="3">
        <f t="shared" ca="1" si="78"/>
        <v>55.7</v>
      </c>
      <c r="Q289" s="1" t="str">
        <f ca="1">VLOOKUP(D289,Routes!$A$2:$D$31,2,FALSE)</f>
        <v>Delhi</v>
      </c>
      <c r="R289" s="1" t="str">
        <f ca="1">VLOOKUP(D289,Routes!$A$2:$D$31,3,FALSE)</f>
        <v>Lucknow</v>
      </c>
      <c r="S289" s="3">
        <f ca="1">VLOOKUP(D289,Routes!$A$2:$D$31,4,FALSE)</f>
        <v>550</v>
      </c>
      <c r="T289" s="3" t="str">
        <f ca="1">VLOOKUP(E289,Vehicles!$A$2:$D$21,2,FALSE)</f>
        <v>Trailer</v>
      </c>
      <c r="U289" s="3">
        <f ca="1">VLOOKUP(E289,Vehicles!$A$2:$D$21,3,FALSE)</f>
        <v>32</v>
      </c>
      <c r="V289" s="3" t="str">
        <f ca="1">VLOOKUP(E289,Vehicles!$A$2:$D$21,4,FALSE)</f>
        <v>Diesel</v>
      </c>
      <c r="W289" s="3">
        <f ca="1">VLOOKUP(V289,Fuel_Rates!$A$2:$B$3,2,FALSE)</f>
        <v>95</v>
      </c>
      <c r="X289" s="3">
        <f t="shared" ca="1" si="80"/>
        <v>77.86</v>
      </c>
      <c r="Y289" s="3">
        <f t="shared" ca="1" si="81"/>
        <v>57505</v>
      </c>
      <c r="Z289" s="3" t="str">
        <f t="shared" ca="1" si="82"/>
        <v>Mar</v>
      </c>
      <c r="AA289" s="3" t="str">
        <f t="shared" ca="1" si="83"/>
        <v>Q1</v>
      </c>
      <c r="AB289" s="4" t="str">
        <f t="shared" ca="1" si="84"/>
        <v>Medium Haul</v>
      </c>
    </row>
    <row r="290" spans="1:28" x14ac:dyDescent="0.3">
      <c r="A290" s="8" t="str">
        <f t="shared" si="79"/>
        <v>S0289</v>
      </c>
      <c r="B290" s="3">
        <f t="shared" ca="1" si="68"/>
        <v>45829</v>
      </c>
      <c r="C290" s="3" t="str">
        <f ca="1">INDEX(Customers!$A$2:$A$21,RANDBETWEEN(1,20))</f>
        <v>C002</v>
      </c>
      <c r="D290" s="3" t="str">
        <f ca="1">INDEX(Routes!$A$2:$A$31,RANDBETWEEN(1,30))</f>
        <v>R012</v>
      </c>
      <c r="E290" s="3" t="str">
        <f ca="1">INDEX(Vehicles!$A$2:$A$21,RANDBETWEEN(1,20))</f>
        <v>V019</v>
      </c>
      <c r="F290" s="3" t="str">
        <f ca="1">INDEX(Drivers!$A$2:$A$31,RANDBETWEEN(1,30))</f>
        <v>D011</v>
      </c>
      <c r="G290" s="3">
        <f t="shared" ca="1" si="69"/>
        <v>21.5</v>
      </c>
      <c r="H290" s="3">
        <f t="shared" ca="1" si="70"/>
        <v>47360</v>
      </c>
      <c r="I290" s="3">
        <f t="shared" ca="1" si="71"/>
        <v>13261</v>
      </c>
      <c r="J290" s="3">
        <f t="shared" ca="1" si="72"/>
        <v>1175</v>
      </c>
      <c r="K290" s="3">
        <f t="shared" ca="1" si="73"/>
        <v>43</v>
      </c>
      <c r="L290" s="3">
        <f t="shared" ca="1" si="74"/>
        <v>48</v>
      </c>
      <c r="M290" s="3">
        <f t="shared" ca="1" si="75"/>
        <v>5</v>
      </c>
      <c r="N290" s="3" t="str">
        <f t="shared" ca="1" si="76"/>
        <v>Delayed</v>
      </c>
      <c r="O290" s="3" t="str">
        <f t="shared" ca="1" si="77"/>
        <v>Medium</v>
      </c>
      <c r="P290" s="3">
        <f t="shared" ca="1" si="78"/>
        <v>71.7</v>
      </c>
      <c r="Q290" s="1" t="str">
        <f ca="1">VLOOKUP(D290,Routes!$A$2:$D$31,2,FALSE)</f>
        <v>Chennai</v>
      </c>
      <c r="R290" s="1" t="str">
        <f ca="1">VLOOKUP(D290,Routes!$A$2:$D$31,3,FALSE)</f>
        <v>Coimbatore</v>
      </c>
      <c r="S290" s="3">
        <f ca="1">VLOOKUP(D290,Routes!$A$2:$D$31,4,FALSE)</f>
        <v>500</v>
      </c>
      <c r="T290" s="3" t="str">
        <f ca="1">VLOOKUP(E290,Vehicles!$A$2:$D$21,2,FALSE)</f>
        <v>Trailer</v>
      </c>
      <c r="U290" s="3">
        <f ca="1">VLOOKUP(E290,Vehicles!$A$2:$D$21,3,FALSE)</f>
        <v>35</v>
      </c>
      <c r="V290" s="3" t="str">
        <f ca="1">VLOOKUP(E290,Vehicles!$A$2:$D$21,4,FALSE)</f>
        <v>Diesel</v>
      </c>
      <c r="W290" s="3">
        <f ca="1">VLOOKUP(V290,Fuel_Rates!$A$2:$B$3,2,FALSE)</f>
        <v>95</v>
      </c>
      <c r="X290" s="3">
        <f t="shared" ca="1" si="80"/>
        <v>94.72</v>
      </c>
      <c r="Y290" s="3">
        <f t="shared" ca="1" si="81"/>
        <v>61796</v>
      </c>
      <c r="Z290" s="3" t="str">
        <f t="shared" ca="1" si="82"/>
        <v>Jun</v>
      </c>
      <c r="AA290" s="3" t="str">
        <f t="shared" ca="1" si="83"/>
        <v>Q2</v>
      </c>
      <c r="AB290" s="4" t="str">
        <f t="shared" ca="1" si="84"/>
        <v>Medium Haul</v>
      </c>
    </row>
    <row r="291" spans="1:28" x14ac:dyDescent="0.3">
      <c r="A291" s="8" t="str">
        <f t="shared" si="79"/>
        <v>S0290</v>
      </c>
      <c r="B291" s="3">
        <f t="shared" ca="1" si="68"/>
        <v>45949</v>
      </c>
      <c r="C291" s="3" t="str">
        <f ca="1">INDEX(Customers!$A$2:$A$21,RANDBETWEEN(1,20))</f>
        <v>C006</v>
      </c>
      <c r="D291" s="3" t="str">
        <f ca="1">INDEX(Routes!$A$2:$A$31,RANDBETWEEN(1,30))</f>
        <v>R002</v>
      </c>
      <c r="E291" s="3" t="str">
        <f ca="1">INDEX(Vehicles!$A$2:$A$21,RANDBETWEEN(1,20))</f>
        <v>V018</v>
      </c>
      <c r="F291" s="3" t="str">
        <f ca="1">INDEX(Drivers!$A$2:$A$31,RANDBETWEEN(1,30))</f>
        <v>D018</v>
      </c>
      <c r="G291" s="3">
        <f t="shared" ca="1" si="69"/>
        <v>19</v>
      </c>
      <c r="H291" s="3">
        <f t="shared" ca="1" si="70"/>
        <v>49011</v>
      </c>
      <c r="I291" s="3">
        <f t="shared" ca="1" si="71"/>
        <v>13723</v>
      </c>
      <c r="J291" s="3">
        <f t="shared" ca="1" si="72"/>
        <v>2554</v>
      </c>
      <c r="K291" s="3">
        <f t="shared" ca="1" si="73"/>
        <v>42</v>
      </c>
      <c r="L291" s="3">
        <f t="shared" ca="1" si="74"/>
        <v>45</v>
      </c>
      <c r="M291" s="3">
        <f t="shared" ca="1" si="75"/>
        <v>3</v>
      </c>
      <c r="N291" s="3" t="str">
        <f t="shared" ca="1" si="76"/>
        <v>Delayed</v>
      </c>
      <c r="O291" s="3" t="str">
        <f t="shared" ca="1" si="77"/>
        <v>Medium</v>
      </c>
      <c r="P291" s="3">
        <f t="shared" ca="1" si="78"/>
        <v>63.3</v>
      </c>
      <c r="Q291" s="1" t="str">
        <f ca="1">VLOOKUP(D291,Routes!$A$2:$D$31,2,FALSE)</f>
        <v>Mumbai</v>
      </c>
      <c r="R291" s="1" t="str">
        <f ca="1">VLOOKUP(D291,Routes!$A$2:$D$31,3,FALSE)</f>
        <v>Ahmedabad</v>
      </c>
      <c r="S291" s="3">
        <f ca="1">VLOOKUP(D291,Routes!$A$2:$D$31,4,FALSE)</f>
        <v>530</v>
      </c>
      <c r="T291" s="3" t="str">
        <f ca="1">VLOOKUP(E291,Vehicles!$A$2:$D$21,2,FALSE)</f>
        <v>Truck</v>
      </c>
      <c r="U291" s="3">
        <f ca="1">VLOOKUP(E291,Vehicles!$A$2:$D$21,3,FALSE)</f>
        <v>26</v>
      </c>
      <c r="V291" s="3" t="str">
        <f ca="1">VLOOKUP(E291,Vehicles!$A$2:$D$21,4,FALSE)</f>
        <v>Diesel</v>
      </c>
      <c r="W291" s="3">
        <f ca="1">VLOOKUP(V291,Fuel_Rates!$A$2:$B$3,2,FALSE)</f>
        <v>95</v>
      </c>
      <c r="X291" s="3">
        <f t="shared" ca="1" si="80"/>
        <v>92.47</v>
      </c>
      <c r="Y291" s="3">
        <f t="shared" ca="1" si="81"/>
        <v>65288</v>
      </c>
      <c r="Z291" s="3" t="str">
        <f t="shared" ca="1" si="82"/>
        <v>Oct</v>
      </c>
      <c r="AA291" s="3" t="str">
        <f t="shared" ca="1" si="83"/>
        <v>Q4</v>
      </c>
      <c r="AB291" s="4" t="str">
        <f t="shared" ca="1" si="84"/>
        <v>Medium Haul</v>
      </c>
    </row>
    <row r="292" spans="1:28" x14ac:dyDescent="0.3">
      <c r="A292" s="8" t="str">
        <f t="shared" si="79"/>
        <v>S0291</v>
      </c>
      <c r="B292" s="3">
        <f t="shared" ca="1" si="68"/>
        <v>45871</v>
      </c>
      <c r="C292" s="3" t="str">
        <f ca="1">INDEX(Customers!$A$2:$A$21,RANDBETWEEN(1,20))</f>
        <v>C010</v>
      </c>
      <c r="D292" s="3" t="str">
        <f ca="1">INDEX(Routes!$A$2:$A$31,RANDBETWEEN(1,30))</f>
        <v>R018</v>
      </c>
      <c r="E292" s="3" t="str">
        <f ca="1">INDEX(Vehicles!$A$2:$A$21,RANDBETWEEN(1,20))</f>
        <v>V009</v>
      </c>
      <c r="F292" s="3" t="str">
        <f ca="1">INDEX(Drivers!$A$2:$A$31,RANDBETWEEN(1,30))</f>
        <v>D014</v>
      </c>
      <c r="G292" s="3">
        <f t="shared" ca="1" si="69"/>
        <v>15.9</v>
      </c>
      <c r="H292" s="3">
        <f t="shared" ca="1" si="70"/>
        <v>41100</v>
      </c>
      <c r="I292" s="3">
        <f t="shared" ca="1" si="71"/>
        <v>11508</v>
      </c>
      <c r="J292" s="3">
        <f t="shared" ca="1" si="72"/>
        <v>3604</v>
      </c>
      <c r="K292" s="3">
        <f t="shared" ca="1" si="73"/>
        <v>20</v>
      </c>
      <c r="L292" s="3">
        <f t="shared" ca="1" si="74"/>
        <v>27</v>
      </c>
      <c r="M292" s="3">
        <f t="shared" ca="1" si="75"/>
        <v>7</v>
      </c>
      <c r="N292" s="3" t="str">
        <f t="shared" ca="1" si="76"/>
        <v>Delayed</v>
      </c>
      <c r="O292" s="3" t="str">
        <f t="shared" ca="1" si="77"/>
        <v>High</v>
      </c>
      <c r="P292" s="3">
        <f t="shared" ca="1" si="78"/>
        <v>53</v>
      </c>
      <c r="Q292" s="1" t="str">
        <f ca="1">VLOOKUP(D292,Routes!$A$2:$D$31,2,FALSE)</f>
        <v>Ahmedabad</v>
      </c>
      <c r="R292" s="1" t="str">
        <f ca="1">VLOOKUP(D292,Routes!$A$2:$D$31,3,FALSE)</f>
        <v>Jaipur</v>
      </c>
      <c r="S292" s="3">
        <f ca="1">VLOOKUP(D292,Routes!$A$2:$D$31,4,FALSE)</f>
        <v>670</v>
      </c>
      <c r="T292" s="3" t="str">
        <f ca="1">VLOOKUP(E292,Vehicles!$A$2:$D$21,2,FALSE)</f>
        <v>LCV</v>
      </c>
      <c r="U292" s="3">
        <f ca="1">VLOOKUP(E292,Vehicles!$A$2:$D$21,3,FALSE)</f>
        <v>5</v>
      </c>
      <c r="V292" s="3" t="str">
        <f ca="1">VLOOKUP(E292,Vehicles!$A$2:$D$21,4,FALSE)</f>
        <v>Diesel</v>
      </c>
      <c r="W292" s="3">
        <f ca="1">VLOOKUP(V292,Fuel_Rates!$A$2:$B$3,2,FALSE)</f>
        <v>95</v>
      </c>
      <c r="X292" s="3">
        <f t="shared" ca="1" si="80"/>
        <v>61.34</v>
      </c>
      <c r="Y292" s="3">
        <f t="shared" ca="1" si="81"/>
        <v>56212</v>
      </c>
      <c r="Z292" s="3" t="str">
        <f t="shared" ca="1" si="82"/>
        <v>Aug</v>
      </c>
      <c r="AA292" s="3" t="str">
        <f t="shared" ca="1" si="83"/>
        <v>Q3</v>
      </c>
      <c r="AB292" s="4" t="str">
        <f t="shared" ca="1" si="84"/>
        <v>Medium Haul</v>
      </c>
    </row>
    <row r="293" spans="1:28" x14ac:dyDescent="0.3">
      <c r="A293" s="8" t="str">
        <f t="shared" si="79"/>
        <v>S0292</v>
      </c>
      <c r="B293" s="3">
        <f t="shared" ca="1" si="68"/>
        <v>45780</v>
      </c>
      <c r="C293" s="3" t="str">
        <f ca="1">INDEX(Customers!$A$2:$A$21,RANDBETWEEN(1,20))</f>
        <v>C009</v>
      </c>
      <c r="D293" s="3" t="str">
        <f ca="1">INDEX(Routes!$A$2:$A$31,RANDBETWEEN(1,30))</f>
        <v>R018</v>
      </c>
      <c r="E293" s="3" t="str">
        <f ca="1">INDEX(Vehicles!$A$2:$A$21,RANDBETWEEN(1,20))</f>
        <v>V008</v>
      </c>
      <c r="F293" s="3" t="str">
        <f ca="1">INDEX(Drivers!$A$2:$A$31,RANDBETWEEN(1,30))</f>
        <v>D014</v>
      </c>
      <c r="G293" s="3">
        <f t="shared" ca="1" si="69"/>
        <v>25.9</v>
      </c>
      <c r="H293" s="3">
        <f t="shared" ca="1" si="70"/>
        <v>56853</v>
      </c>
      <c r="I293" s="3">
        <f t="shared" ca="1" si="71"/>
        <v>15919</v>
      </c>
      <c r="J293" s="3">
        <f t="shared" ca="1" si="72"/>
        <v>700</v>
      </c>
      <c r="K293" s="3">
        <f t="shared" ca="1" si="73"/>
        <v>16</v>
      </c>
      <c r="L293" s="3">
        <f t="shared" ca="1" si="74"/>
        <v>18</v>
      </c>
      <c r="M293" s="3">
        <f t="shared" ca="1" si="75"/>
        <v>2</v>
      </c>
      <c r="N293" s="3" t="str">
        <f t="shared" ca="1" si="76"/>
        <v>On Time</v>
      </c>
      <c r="O293" s="3" t="str">
        <f t="shared" ca="1" si="77"/>
        <v>Low</v>
      </c>
      <c r="P293" s="3">
        <f t="shared" ca="1" si="78"/>
        <v>86.3</v>
      </c>
      <c r="Q293" s="1" t="str">
        <f ca="1">VLOOKUP(D293,Routes!$A$2:$D$31,2,FALSE)</f>
        <v>Ahmedabad</v>
      </c>
      <c r="R293" s="1" t="str">
        <f ca="1">VLOOKUP(D293,Routes!$A$2:$D$31,3,FALSE)</f>
        <v>Jaipur</v>
      </c>
      <c r="S293" s="3">
        <f ca="1">VLOOKUP(D293,Routes!$A$2:$D$31,4,FALSE)</f>
        <v>670</v>
      </c>
      <c r="T293" s="3" t="str">
        <f ca="1">VLOOKUP(E293,Vehicles!$A$2:$D$21,2,FALSE)</f>
        <v>Container</v>
      </c>
      <c r="U293" s="3">
        <f ca="1">VLOOKUP(E293,Vehicles!$A$2:$D$21,3,FALSE)</f>
        <v>25</v>
      </c>
      <c r="V293" s="3" t="str">
        <f ca="1">VLOOKUP(E293,Vehicles!$A$2:$D$21,4,FALSE)</f>
        <v>Diesel</v>
      </c>
      <c r="W293" s="3">
        <f ca="1">VLOOKUP(V293,Fuel_Rates!$A$2:$B$3,2,FALSE)</f>
        <v>95</v>
      </c>
      <c r="X293" s="3">
        <f t="shared" ca="1" si="80"/>
        <v>84.86</v>
      </c>
      <c r="Y293" s="3">
        <f t="shared" ca="1" si="81"/>
        <v>73472</v>
      </c>
      <c r="Z293" s="3" t="str">
        <f t="shared" ca="1" si="82"/>
        <v>May</v>
      </c>
      <c r="AA293" s="3" t="str">
        <f t="shared" ca="1" si="83"/>
        <v>Q2</v>
      </c>
      <c r="AB293" s="4" t="str">
        <f t="shared" ca="1" si="84"/>
        <v>Medium Haul</v>
      </c>
    </row>
    <row r="294" spans="1:28" x14ac:dyDescent="0.3">
      <c r="A294" s="8" t="str">
        <f t="shared" si="79"/>
        <v>S0293</v>
      </c>
      <c r="B294" s="3">
        <f t="shared" ca="1" si="68"/>
        <v>45664</v>
      </c>
      <c r="C294" s="3" t="str">
        <f ca="1">INDEX(Customers!$A$2:$A$21,RANDBETWEEN(1,20))</f>
        <v>C010</v>
      </c>
      <c r="D294" s="3" t="str">
        <f ca="1">INDEX(Routes!$A$2:$A$31,RANDBETWEEN(1,30))</f>
        <v>R016</v>
      </c>
      <c r="E294" s="3" t="str">
        <f ca="1">INDEX(Vehicles!$A$2:$A$21,RANDBETWEEN(1,20))</f>
        <v>V014</v>
      </c>
      <c r="F294" s="3" t="str">
        <f ca="1">INDEX(Drivers!$A$2:$A$31,RANDBETWEEN(1,30))</f>
        <v>D025</v>
      </c>
      <c r="G294" s="3">
        <f t="shared" ca="1" si="69"/>
        <v>3.9</v>
      </c>
      <c r="H294" s="3">
        <f t="shared" ca="1" si="70"/>
        <v>17239</v>
      </c>
      <c r="I294" s="3">
        <f t="shared" ca="1" si="71"/>
        <v>4827</v>
      </c>
      <c r="J294" s="3">
        <f t="shared" ca="1" si="72"/>
        <v>2879</v>
      </c>
      <c r="K294" s="3">
        <f t="shared" ca="1" si="73"/>
        <v>28</v>
      </c>
      <c r="L294" s="3">
        <f t="shared" ca="1" si="74"/>
        <v>30</v>
      </c>
      <c r="M294" s="3">
        <f t="shared" ca="1" si="75"/>
        <v>2</v>
      </c>
      <c r="N294" s="3" t="str">
        <f t="shared" ca="1" si="76"/>
        <v>On Time</v>
      </c>
      <c r="O294" s="3" t="str">
        <f t="shared" ca="1" si="77"/>
        <v>Medium</v>
      </c>
      <c r="P294" s="3">
        <f t="shared" ca="1" si="78"/>
        <v>13</v>
      </c>
      <c r="Q294" s="1" t="str">
        <f ca="1">VLOOKUP(D294,Routes!$A$2:$D$31,2,FALSE)</f>
        <v>Kolkata</v>
      </c>
      <c r="R294" s="1" t="str">
        <f ca="1">VLOOKUP(D294,Routes!$A$2:$D$31,3,FALSE)</f>
        <v>Bhubaneswar</v>
      </c>
      <c r="S294" s="3">
        <f ca="1">VLOOKUP(D294,Routes!$A$2:$D$31,4,FALSE)</f>
        <v>440</v>
      </c>
      <c r="T294" s="3" t="str">
        <f ca="1">VLOOKUP(E294,Vehicles!$A$2:$D$21,2,FALSE)</f>
        <v>LCV</v>
      </c>
      <c r="U294" s="3">
        <f ca="1">VLOOKUP(E294,Vehicles!$A$2:$D$21,3,FALSE)</f>
        <v>6</v>
      </c>
      <c r="V294" s="3" t="str">
        <f ca="1">VLOOKUP(E294,Vehicles!$A$2:$D$21,4,FALSE)</f>
        <v>CNG</v>
      </c>
      <c r="W294" s="3">
        <f ca="1">VLOOKUP(V294,Fuel_Rates!$A$2:$B$3,2,FALSE)</f>
        <v>78</v>
      </c>
      <c r="X294" s="3">
        <f t="shared" ca="1" si="80"/>
        <v>39.18</v>
      </c>
      <c r="Y294" s="3">
        <f t="shared" ca="1" si="81"/>
        <v>24945</v>
      </c>
      <c r="Z294" s="3" t="str">
        <f t="shared" ca="1" si="82"/>
        <v>Jan</v>
      </c>
      <c r="AA294" s="3" t="str">
        <f t="shared" ca="1" si="83"/>
        <v>Q1</v>
      </c>
      <c r="AB294" s="4" t="str">
        <f t="shared" ca="1" si="84"/>
        <v>Medium Haul</v>
      </c>
    </row>
    <row r="295" spans="1:28" x14ac:dyDescent="0.3">
      <c r="A295" s="8" t="str">
        <f t="shared" si="79"/>
        <v>S0294</v>
      </c>
      <c r="B295" s="3">
        <f t="shared" ca="1" si="68"/>
        <v>45855</v>
      </c>
      <c r="C295" s="3" t="str">
        <f ca="1">INDEX(Customers!$A$2:$A$21,RANDBETWEEN(1,20))</f>
        <v>C006</v>
      </c>
      <c r="D295" s="3" t="str">
        <f ca="1">INDEX(Routes!$A$2:$A$31,RANDBETWEEN(1,30))</f>
        <v>R028</v>
      </c>
      <c r="E295" s="3" t="str">
        <f ca="1">INDEX(Vehicles!$A$2:$A$21,RANDBETWEEN(1,20))</f>
        <v>V004</v>
      </c>
      <c r="F295" s="3" t="str">
        <f ca="1">INDEX(Drivers!$A$2:$A$31,RANDBETWEEN(1,30))</f>
        <v>D019</v>
      </c>
      <c r="G295" s="3">
        <f t="shared" ca="1" si="69"/>
        <v>23.8</v>
      </c>
      <c r="H295" s="3">
        <f t="shared" ca="1" si="70"/>
        <v>45920</v>
      </c>
      <c r="I295" s="3">
        <f t="shared" ca="1" si="71"/>
        <v>12858</v>
      </c>
      <c r="J295" s="3">
        <f t="shared" ca="1" si="72"/>
        <v>625</v>
      </c>
      <c r="K295" s="3">
        <f t="shared" ca="1" si="73"/>
        <v>13</v>
      </c>
      <c r="L295" s="3">
        <f t="shared" ca="1" si="74"/>
        <v>21</v>
      </c>
      <c r="M295" s="3">
        <f t="shared" ca="1" si="75"/>
        <v>8</v>
      </c>
      <c r="N295" s="3" t="str">
        <f t="shared" ca="1" si="76"/>
        <v>Delayed</v>
      </c>
      <c r="O295" s="3" t="str">
        <f t="shared" ca="1" si="77"/>
        <v>Medium</v>
      </c>
      <c r="P295" s="3">
        <f t="shared" ca="1" si="78"/>
        <v>79.3</v>
      </c>
      <c r="Q295" s="1" t="str">
        <f ca="1">VLOOKUP(D295,Routes!$A$2:$D$31,2,FALSE)</f>
        <v>Indore</v>
      </c>
      <c r="R295" s="1" t="str">
        <f ca="1">VLOOKUP(D295,Routes!$A$2:$D$31,3,FALSE)</f>
        <v>Mumbai</v>
      </c>
      <c r="S295" s="3">
        <f ca="1">VLOOKUP(D295,Routes!$A$2:$D$31,4,FALSE)</f>
        <v>590</v>
      </c>
      <c r="T295" s="3" t="str">
        <f ca="1">VLOOKUP(E295,Vehicles!$A$2:$D$21,2,FALSE)</f>
        <v>Trailer</v>
      </c>
      <c r="U295" s="3">
        <f ca="1">VLOOKUP(E295,Vehicles!$A$2:$D$21,3,FALSE)</f>
        <v>28</v>
      </c>
      <c r="V295" s="3" t="str">
        <f ca="1">VLOOKUP(E295,Vehicles!$A$2:$D$21,4,FALSE)</f>
        <v>Diesel</v>
      </c>
      <c r="W295" s="3">
        <f ca="1">VLOOKUP(V295,Fuel_Rates!$A$2:$B$3,2,FALSE)</f>
        <v>95</v>
      </c>
      <c r="X295" s="3">
        <f t="shared" ca="1" si="80"/>
        <v>77.83</v>
      </c>
      <c r="Y295" s="3">
        <f t="shared" ca="1" si="81"/>
        <v>59403</v>
      </c>
      <c r="Z295" s="3" t="str">
        <f t="shared" ca="1" si="82"/>
        <v>Jul</v>
      </c>
      <c r="AA295" s="3" t="str">
        <f t="shared" ca="1" si="83"/>
        <v>Q3</v>
      </c>
      <c r="AB295" s="4" t="str">
        <f t="shared" ca="1" si="84"/>
        <v>Medium Haul</v>
      </c>
    </row>
    <row r="296" spans="1:28" x14ac:dyDescent="0.3">
      <c r="A296" s="8" t="str">
        <f t="shared" si="79"/>
        <v>S0295</v>
      </c>
      <c r="B296" s="3">
        <f t="shared" ca="1" si="68"/>
        <v>45658</v>
      </c>
      <c r="C296" s="3" t="str">
        <f ca="1">INDEX(Customers!$A$2:$A$21,RANDBETWEEN(1,20))</f>
        <v>C005</v>
      </c>
      <c r="D296" s="3" t="str">
        <f ca="1">INDEX(Routes!$A$2:$A$31,RANDBETWEEN(1,30))</f>
        <v>R002</v>
      </c>
      <c r="E296" s="3" t="str">
        <f ca="1">INDEX(Vehicles!$A$2:$A$21,RANDBETWEEN(1,20))</f>
        <v>V011</v>
      </c>
      <c r="F296" s="3" t="str">
        <f ca="1">INDEX(Drivers!$A$2:$A$31,RANDBETWEEN(1,30))</f>
        <v>D023</v>
      </c>
      <c r="G296" s="3">
        <f t="shared" ca="1" si="69"/>
        <v>18</v>
      </c>
      <c r="H296" s="3">
        <f t="shared" ca="1" si="70"/>
        <v>42185</v>
      </c>
      <c r="I296" s="3">
        <f t="shared" ca="1" si="71"/>
        <v>11812</v>
      </c>
      <c r="J296" s="3">
        <f t="shared" ca="1" si="72"/>
        <v>3006</v>
      </c>
      <c r="K296" s="3">
        <f t="shared" ca="1" si="73"/>
        <v>26</v>
      </c>
      <c r="L296" s="3">
        <f t="shared" ca="1" si="74"/>
        <v>31</v>
      </c>
      <c r="M296" s="3">
        <f t="shared" ca="1" si="75"/>
        <v>5</v>
      </c>
      <c r="N296" s="3" t="str">
        <f t="shared" ca="1" si="76"/>
        <v>Delayed</v>
      </c>
      <c r="O296" s="3" t="str">
        <f t="shared" ca="1" si="77"/>
        <v>Low</v>
      </c>
      <c r="P296" s="3">
        <f t="shared" ca="1" si="78"/>
        <v>60</v>
      </c>
      <c r="Q296" s="1" t="str">
        <f ca="1">VLOOKUP(D296,Routes!$A$2:$D$31,2,FALSE)</f>
        <v>Mumbai</v>
      </c>
      <c r="R296" s="1" t="str">
        <f ca="1">VLOOKUP(D296,Routes!$A$2:$D$31,3,FALSE)</f>
        <v>Ahmedabad</v>
      </c>
      <c r="S296" s="3">
        <f ca="1">VLOOKUP(D296,Routes!$A$2:$D$31,4,FALSE)</f>
        <v>530</v>
      </c>
      <c r="T296" s="3" t="str">
        <f ca="1">VLOOKUP(E296,Vehicles!$A$2:$D$21,2,FALSE)</f>
        <v>Truck</v>
      </c>
      <c r="U296" s="3">
        <f ca="1">VLOOKUP(E296,Vehicles!$A$2:$D$21,3,FALSE)</f>
        <v>18</v>
      </c>
      <c r="V296" s="3" t="str">
        <f ca="1">VLOOKUP(E296,Vehicles!$A$2:$D$21,4,FALSE)</f>
        <v>CNG</v>
      </c>
      <c r="W296" s="3">
        <f ca="1">VLOOKUP(V296,Fuel_Rates!$A$2:$B$3,2,FALSE)</f>
        <v>78</v>
      </c>
      <c r="X296" s="3">
        <f t="shared" ca="1" si="80"/>
        <v>79.59</v>
      </c>
      <c r="Y296" s="3">
        <f t="shared" ca="1" si="81"/>
        <v>57003</v>
      </c>
      <c r="Z296" s="3" t="str">
        <f t="shared" ca="1" si="82"/>
        <v>Jan</v>
      </c>
      <c r="AA296" s="3" t="str">
        <f t="shared" ca="1" si="83"/>
        <v>Q1</v>
      </c>
      <c r="AB296" s="4" t="str">
        <f t="shared" ca="1" si="84"/>
        <v>Medium Haul</v>
      </c>
    </row>
    <row r="297" spans="1:28" x14ac:dyDescent="0.3">
      <c r="A297" s="8" t="str">
        <f t="shared" si="79"/>
        <v>S0296</v>
      </c>
      <c r="B297" s="3">
        <f t="shared" ca="1" si="68"/>
        <v>45946</v>
      </c>
      <c r="C297" s="3" t="str">
        <f ca="1">INDEX(Customers!$A$2:$A$21,RANDBETWEEN(1,20))</f>
        <v>C006</v>
      </c>
      <c r="D297" s="3" t="str">
        <f ca="1">INDEX(Routes!$A$2:$A$31,RANDBETWEEN(1,30))</f>
        <v>R006</v>
      </c>
      <c r="E297" s="3" t="str">
        <f ca="1">INDEX(Vehicles!$A$2:$A$21,RANDBETWEEN(1,20))</f>
        <v>V002</v>
      </c>
      <c r="F297" s="3" t="str">
        <f ca="1">INDEX(Drivers!$A$2:$A$31,RANDBETWEEN(1,30))</f>
        <v>D026</v>
      </c>
      <c r="G297" s="3">
        <f t="shared" ca="1" si="69"/>
        <v>12.3</v>
      </c>
      <c r="H297" s="3">
        <f t="shared" ca="1" si="70"/>
        <v>32986</v>
      </c>
      <c r="I297" s="3">
        <f t="shared" ca="1" si="71"/>
        <v>9236</v>
      </c>
      <c r="J297" s="3">
        <f t="shared" ca="1" si="72"/>
        <v>1881</v>
      </c>
      <c r="K297" s="3">
        <f t="shared" ca="1" si="73"/>
        <v>34</v>
      </c>
      <c r="L297" s="3">
        <f t="shared" ca="1" si="74"/>
        <v>42</v>
      </c>
      <c r="M297" s="3">
        <f t="shared" ca="1" si="75"/>
        <v>8</v>
      </c>
      <c r="N297" s="3" t="str">
        <f t="shared" ca="1" si="76"/>
        <v>Delayed</v>
      </c>
      <c r="O297" s="3" t="str">
        <f t="shared" ca="1" si="77"/>
        <v>Medium</v>
      </c>
      <c r="P297" s="3">
        <f t="shared" ca="1" si="78"/>
        <v>41</v>
      </c>
      <c r="Q297" s="1" t="str">
        <f ca="1">VLOOKUP(D297,Routes!$A$2:$D$31,2,FALSE)</f>
        <v>Delhi</v>
      </c>
      <c r="R297" s="1" t="str">
        <f ca="1">VLOOKUP(D297,Routes!$A$2:$D$31,3,FALSE)</f>
        <v>Lucknow</v>
      </c>
      <c r="S297" s="3">
        <f ca="1">VLOOKUP(D297,Routes!$A$2:$D$31,4,FALSE)</f>
        <v>550</v>
      </c>
      <c r="T297" s="3" t="str">
        <f ca="1">VLOOKUP(E297,Vehicles!$A$2:$D$21,2,FALSE)</f>
        <v>Truck</v>
      </c>
      <c r="U297" s="3">
        <f ca="1">VLOOKUP(E297,Vehicles!$A$2:$D$21,3,FALSE)</f>
        <v>20</v>
      </c>
      <c r="V297" s="3" t="str">
        <f ca="1">VLOOKUP(E297,Vehicles!$A$2:$D$21,4,FALSE)</f>
        <v>Diesel</v>
      </c>
      <c r="W297" s="3">
        <f ca="1">VLOOKUP(V297,Fuel_Rates!$A$2:$B$3,2,FALSE)</f>
        <v>95</v>
      </c>
      <c r="X297" s="3">
        <f t="shared" ca="1" si="80"/>
        <v>59.97</v>
      </c>
      <c r="Y297" s="3">
        <f t="shared" ca="1" si="81"/>
        <v>44103</v>
      </c>
      <c r="Z297" s="3" t="str">
        <f t="shared" ca="1" si="82"/>
        <v>Oct</v>
      </c>
      <c r="AA297" s="3" t="str">
        <f t="shared" ca="1" si="83"/>
        <v>Q4</v>
      </c>
      <c r="AB297" s="4" t="str">
        <f t="shared" ca="1" si="84"/>
        <v>Medium Haul</v>
      </c>
    </row>
    <row r="298" spans="1:28" x14ac:dyDescent="0.3">
      <c r="A298" s="8" t="str">
        <f t="shared" si="79"/>
        <v>S0297</v>
      </c>
      <c r="B298" s="3">
        <f t="shared" ca="1" si="68"/>
        <v>45865</v>
      </c>
      <c r="C298" s="3" t="str">
        <f ca="1">INDEX(Customers!$A$2:$A$21,RANDBETWEEN(1,20))</f>
        <v>C010</v>
      </c>
      <c r="D298" s="3" t="str">
        <f ca="1">INDEX(Routes!$A$2:$A$31,RANDBETWEEN(1,30))</f>
        <v>R024</v>
      </c>
      <c r="E298" s="3" t="str">
        <f ca="1">INDEX(Vehicles!$A$2:$A$21,RANDBETWEEN(1,20))</f>
        <v>V009</v>
      </c>
      <c r="F298" s="3" t="str">
        <f ca="1">INDEX(Drivers!$A$2:$A$31,RANDBETWEEN(1,30))</f>
        <v>D030</v>
      </c>
      <c r="G298" s="3">
        <f t="shared" ca="1" si="69"/>
        <v>27.4</v>
      </c>
      <c r="H298" s="3">
        <f t="shared" ca="1" si="70"/>
        <v>52831</v>
      </c>
      <c r="I298" s="3">
        <f t="shared" ca="1" si="71"/>
        <v>14793</v>
      </c>
      <c r="J298" s="3">
        <f t="shared" ca="1" si="72"/>
        <v>3009</v>
      </c>
      <c r="K298" s="3">
        <f t="shared" ca="1" si="73"/>
        <v>12</v>
      </c>
      <c r="L298" s="3">
        <f t="shared" ca="1" si="74"/>
        <v>13</v>
      </c>
      <c r="M298" s="3">
        <f t="shared" ca="1" si="75"/>
        <v>1</v>
      </c>
      <c r="N298" s="3" t="str">
        <f t="shared" ca="1" si="76"/>
        <v>On Time</v>
      </c>
      <c r="O298" s="3" t="str">
        <f t="shared" ca="1" si="77"/>
        <v>Medium</v>
      </c>
      <c r="P298" s="3">
        <f t="shared" ca="1" si="78"/>
        <v>91.3</v>
      </c>
      <c r="Q298" s="1" t="str">
        <f ca="1">VLOOKUP(D298,Routes!$A$2:$D$31,2,FALSE)</f>
        <v>Surat</v>
      </c>
      <c r="R298" s="1" t="str">
        <f ca="1">VLOOKUP(D298,Routes!$A$2:$D$31,3,FALSE)</f>
        <v>Mumbai</v>
      </c>
      <c r="S298" s="3">
        <f ca="1">VLOOKUP(D298,Routes!$A$2:$D$31,4,FALSE)</f>
        <v>280</v>
      </c>
      <c r="T298" s="3" t="str">
        <f ca="1">VLOOKUP(E298,Vehicles!$A$2:$D$21,2,FALSE)</f>
        <v>LCV</v>
      </c>
      <c r="U298" s="3">
        <f ca="1">VLOOKUP(E298,Vehicles!$A$2:$D$21,3,FALSE)</f>
        <v>5</v>
      </c>
      <c r="V298" s="3" t="str">
        <f ca="1">VLOOKUP(E298,Vehicles!$A$2:$D$21,4,FALSE)</f>
        <v>Diesel</v>
      </c>
      <c r="W298" s="3">
        <f ca="1">VLOOKUP(V298,Fuel_Rates!$A$2:$B$3,2,FALSE)</f>
        <v>95</v>
      </c>
      <c r="X298" s="3">
        <f t="shared" ca="1" si="80"/>
        <v>188.68</v>
      </c>
      <c r="Y298" s="3">
        <f t="shared" ca="1" si="81"/>
        <v>70633</v>
      </c>
      <c r="Z298" s="3" t="str">
        <f t="shared" ca="1" si="82"/>
        <v>Jul</v>
      </c>
      <c r="AA298" s="3" t="str">
        <f t="shared" ca="1" si="83"/>
        <v>Q3</v>
      </c>
      <c r="AB298" s="4" t="str">
        <f t="shared" ca="1" si="84"/>
        <v>Short Haul</v>
      </c>
    </row>
    <row r="299" spans="1:28" x14ac:dyDescent="0.3">
      <c r="A299" s="8" t="str">
        <f t="shared" si="79"/>
        <v>S0298</v>
      </c>
      <c r="B299" s="3">
        <f t="shared" ca="1" si="68"/>
        <v>45913</v>
      </c>
      <c r="C299" s="3" t="str">
        <f ca="1">INDEX(Customers!$A$2:$A$21,RANDBETWEEN(1,20))</f>
        <v>C005</v>
      </c>
      <c r="D299" s="3" t="str">
        <f ca="1">INDEX(Routes!$A$2:$A$31,RANDBETWEEN(1,30))</f>
        <v>R020</v>
      </c>
      <c r="E299" s="3" t="str">
        <f ca="1">INDEX(Vehicles!$A$2:$A$21,RANDBETWEEN(1,20))</f>
        <v>V004</v>
      </c>
      <c r="F299" s="3" t="str">
        <f ca="1">INDEX(Drivers!$A$2:$A$31,RANDBETWEEN(1,30))</f>
        <v>D013</v>
      </c>
      <c r="G299" s="3">
        <f t="shared" ca="1" si="69"/>
        <v>22.3</v>
      </c>
      <c r="H299" s="3">
        <f t="shared" ca="1" si="70"/>
        <v>49937</v>
      </c>
      <c r="I299" s="3">
        <f t="shared" ca="1" si="71"/>
        <v>13982</v>
      </c>
      <c r="J299" s="3">
        <f t="shared" ca="1" si="72"/>
        <v>2246</v>
      </c>
      <c r="K299" s="3">
        <f t="shared" ca="1" si="73"/>
        <v>4</v>
      </c>
      <c r="L299" s="3">
        <f t="shared" ca="1" si="74"/>
        <v>6</v>
      </c>
      <c r="M299" s="3">
        <f t="shared" ca="1" si="75"/>
        <v>2</v>
      </c>
      <c r="N299" s="3" t="str">
        <f t="shared" ca="1" si="76"/>
        <v>On Time</v>
      </c>
      <c r="O299" s="3" t="str">
        <f t="shared" ca="1" si="77"/>
        <v>Low</v>
      </c>
      <c r="P299" s="3">
        <f t="shared" ca="1" si="78"/>
        <v>74.3</v>
      </c>
      <c r="Q299" s="1" t="str">
        <f ca="1">VLOOKUP(D299,Routes!$A$2:$D$31,2,FALSE)</f>
        <v>Pune</v>
      </c>
      <c r="R299" s="1" t="str">
        <f ca="1">VLOOKUP(D299,Routes!$A$2:$D$31,3,FALSE)</f>
        <v>Nagpur</v>
      </c>
      <c r="S299" s="3">
        <f ca="1">VLOOKUP(D299,Routes!$A$2:$D$31,4,FALSE)</f>
        <v>720</v>
      </c>
      <c r="T299" s="3" t="str">
        <f ca="1">VLOOKUP(E299,Vehicles!$A$2:$D$21,2,FALSE)</f>
        <v>Trailer</v>
      </c>
      <c r="U299" s="3">
        <f ca="1">VLOOKUP(E299,Vehicles!$A$2:$D$21,3,FALSE)</f>
        <v>28</v>
      </c>
      <c r="V299" s="3" t="str">
        <f ca="1">VLOOKUP(E299,Vehicles!$A$2:$D$21,4,FALSE)</f>
        <v>Diesel</v>
      </c>
      <c r="W299" s="3">
        <f ca="1">VLOOKUP(V299,Fuel_Rates!$A$2:$B$3,2,FALSE)</f>
        <v>95</v>
      </c>
      <c r="X299" s="3">
        <f t="shared" ca="1" si="80"/>
        <v>69.36</v>
      </c>
      <c r="Y299" s="3">
        <f t="shared" ca="1" si="81"/>
        <v>66165</v>
      </c>
      <c r="Z299" s="3" t="str">
        <f t="shared" ca="1" si="82"/>
        <v>Sep</v>
      </c>
      <c r="AA299" s="3" t="str">
        <f t="shared" ca="1" si="83"/>
        <v>Q3</v>
      </c>
      <c r="AB299" s="4" t="str">
        <f t="shared" ca="1" si="84"/>
        <v>Medium Haul</v>
      </c>
    </row>
    <row r="300" spans="1:28" x14ac:dyDescent="0.3">
      <c r="A300" s="8" t="str">
        <f t="shared" si="79"/>
        <v>S0299</v>
      </c>
      <c r="B300" s="3">
        <f t="shared" ca="1" si="68"/>
        <v>45839</v>
      </c>
      <c r="C300" s="3" t="str">
        <f ca="1">INDEX(Customers!$A$2:$A$21,RANDBETWEEN(1,20))</f>
        <v>C003</v>
      </c>
      <c r="D300" s="3" t="str">
        <f ca="1">INDEX(Routes!$A$2:$A$31,RANDBETWEEN(1,30))</f>
        <v>R022</v>
      </c>
      <c r="E300" s="3" t="str">
        <f ca="1">INDEX(Vehicles!$A$2:$A$21,RANDBETWEEN(1,20))</f>
        <v>V014</v>
      </c>
      <c r="F300" s="3" t="str">
        <f ca="1">INDEX(Drivers!$A$2:$A$31,RANDBETWEEN(1,30))</f>
        <v>D002</v>
      </c>
      <c r="G300" s="3">
        <f t="shared" ca="1" si="69"/>
        <v>14</v>
      </c>
      <c r="H300" s="3">
        <f t="shared" ca="1" si="70"/>
        <v>29619</v>
      </c>
      <c r="I300" s="3">
        <f t="shared" ca="1" si="71"/>
        <v>8293</v>
      </c>
      <c r="J300" s="3">
        <f t="shared" ca="1" si="72"/>
        <v>658</v>
      </c>
      <c r="K300" s="3">
        <f t="shared" ca="1" si="73"/>
        <v>39</v>
      </c>
      <c r="L300" s="3">
        <f t="shared" ca="1" si="74"/>
        <v>40</v>
      </c>
      <c r="M300" s="3">
        <f t="shared" ca="1" si="75"/>
        <v>1</v>
      </c>
      <c r="N300" s="3" t="str">
        <f t="shared" ca="1" si="76"/>
        <v>On Time</v>
      </c>
      <c r="O300" s="3" t="str">
        <f t="shared" ca="1" si="77"/>
        <v>Low</v>
      </c>
      <c r="P300" s="3">
        <f t="shared" ca="1" si="78"/>
        <v>46.7</v>
      </c>
      <c r="Q300" s="1" t="str">
        <f ca="1">VLOOKUP(D300,Routes!$A$2:$D$31,2,FALSE)</f>
        <v>Jaipur</v>
      </c>
      <c r="R300" s="1" t="str">
        <f ca="1">VLOOKUP(D300,Routes!$A$2:$D$31,3,FALSE)</f>
        <v>Indore</v>
      </c>
      <c r="S300" s="3">
        <f ca="1">VLOOKUP(D300,Routes!$A$2:$D$31,4,FALSE)</f>
        <v>600</v>
      </c>
      <c r="T300" s="3" t="str">
        <f ca="1">VLOOKUP(E300,Vehicles!$A$2:$D$21,2,FALSE)</f>
        <v>LCV</v>
      </c>
      <c r="U300" s="3">
        <f ca="1">VLOOKUP(E300,Vehicles!$A$2:$D$21,3,FALSE)</f>
        <v>6</v>
      </c>
      <c r="V300" s="3" t="str">
        <f ca="1">VLOOKUP(E300,Vehicles!$A$2:$D$21,4,FALSE)</f>
        <v>CNG</v>
      </c>
      <c r="W300" s="3">
        <f ca="1">VLOOKUP(V300,Fuel_Rates!$A$2:$B$3,2,FALSE)</f>
        <v>78</v>
      </c>
      <c r="X300" s="3">
        <f t="shared" ca="1" si="80"/>
        <v>49.37</v>
      </c>
      <c r="Y300" s="3">
        <f t="shared" ca="1" si="81"/>
        <v>38570</v>
      </c>
      <c r="Z300" s="3" t="str">
        <f t="shared" ca="1" si="82"/>
        <v>Jul</v>
      </c>
      <c r="AA300" s="3" t="str">
        <f t="shared" ca="1" si="83"/>
        <v>Q3</v>
      </c>
      <c r="AB300" s="4" t="str">
        <f t="shared" ca="1" si="84"/>
        <v>Medium Haul</v>
      </c>
    </row>
    <row r="301" spans="1:28" x14ac:dyDescent="0.3">
      <c r="A301" s="8" t="str">
        <f t="shared" si="79"/>
        <v>S0300</v>
      </c>
      <c r="B301" s="3">
        <f t="shared" ca="1" si="68"/>
        <v>45928</v>
      </c>
      <c r="C301" s="3" t="str">
        <f ca="1">INDEX(Customers!$A$2:$A$21,RANDBETWEEN(1,20))</f>
        <v>C015</v>
      </c>
      <c r="D301" s="3" t="str">
        <f ca="1">INDEX(Routes!$A$2:$A$31,RANDBETWEEN(1,30))</f>
        <v>R015</v>
      </c>
      <c r="E301" s="3" t="str">
        <f ca="1">INDEX(Vehicles!$A$2:$A$21,RANDBETWEEN(1,20))</f>
        <v>V011</v>
      </c>
      <c r="F301" s="3" t="str">
        <f ca="1">INDEX(Drivers!$A$2:$A$31,RANDBETWEEN(1,30))</f>
        <v>D024</v>
      </c>
      <c r="G301" s="3">
        <f t="shared" ca="1" si="69"/>
        <v>14.3</v>
      </c>
      <c r="H301" s="3">
        <f t="shared" ca="1" si="70"/>
        <v>30402</v>
      </c>
      <c r="I301" s="3">
        <f t="shared" ca="1" si="71"/>
        <v>8513</v>
      </c>
      <c r="J301" s="3">
        <f t="shared" ca="1" si="72"/>
        <v>3207</v>
      </c>
      <c r="K301" s="3">
        <f t="shared" ca="1" si="73"/>
        <v>23</v>
      </c>
      <c r="L301" s="3">
        <f t="shared" ca="1" si="74"/>
        <v>27</v>
      </c>
      <c r="M301" s="3">
        <f t="shared" ca="1" si="75"/>
        <v>4</v>
      </c>
      <c r="N301" s="3" t="str">
        <f t="shared" ca="1" si="76"/>
        <v>Delayed</v>
      </c>
      <c r="O301" s="3" t="str">
        <f t="shared" ca="1" si="77"/>
        <v>Medium</v>
      </c>
      <c r="P301" s="3">
        <f t="shared" ca="1" si="78"/>
        <v>47.7</v>
      </c>
      <c r="Q301" s="1" t="str">
        <f ca="1">VLOOKUP(D301,Routes!$A$2:$D$31,2,FALSE)</f>
        <v>Hyderabad</v>
      </c>
      <c r="R301" s="1" t="str">
        <f ca="1">VLOOKUP(D301,Routes!$A$2:$D$31,3,FALSE)</f>
        <v>Pune</v>
      </c>
      <c r="S301" s="3">
        <f ca="1">VLOOKUP(D301,Routes!$A$2:$D$31,4,FALSE)</f>
        <v>560</v>
      </c>
      <c r="T301" s="3" t="str">
        <f ca="1">VLOOKUP(E301,Vehicles!$A$2:$D$21,2,FALSE)</f>
        <v>Truck</v>
      </c>
      <c r="U301" s="3">
        <f ca="1">VLOOKUP(E301,Vehicles!$A$2:$D$21,3,FALSE)</f>
        <v>18</v>
      </c>
      <c r="V301" s="3" t="str">
        <f ca="1">VLOOKUP(E301,Vehicles!$A$2:$D$21,4,FALSE)</f>
        <v>CNG</v>
      </c>
      <c r="W301" s="3">
        <f ca="1">VLOOKUP(V301,Fuel_Rates!$A$2:$B$3,2,FALSE)</f>
        <v>78</v>
      </c>
      <c r="X301" s="3">
        <f t="shared" ca="1" si="80"/>
        <v>54.29</v>
      </c>
      <c r="Y301" s="3">
        <f t="shared" ca="1" si="81"/>
        <v>42122</v>
      </c>
      <c r="Z301" s="3" t="str">
        <f t="shared" ca="1" si="82"/>
        <v>Sep</v>
      </c>
      <c r="AA301" s="3" t="str">
        <f t="shared" ca="1" si="83"/>
        <v>Q3</v>
      </c>
      <c r="AB301" s="4" t="str">
        <f t="shared" ca="1" si="84"/>
        <v>Medium Haul</v>
      </c>
    </row>
    <row r="302" spans="1:28" x14ac:dyDescent="0.3">
      <c r="A302" s="8" t="str">
        <f t="shared" si="79"/>
        <v>S0301</v>
      </c>
      <c r="B302" s="3">
        <f t="shared" ca="1" si="68"/>
        <v>45741</v>
      </c>
      <c r="C302" s="3" t="str">
        <f ca="1">INDEX(Customers!$A$2:$A$21,RANDBETWEEN(1,20))</f>
        <v>C019</v>
      </c>
      <c r="D302" s="3" t="str">
        <f ca="1">INDEX(Routes!$A$2:$A$31,RANDBETWEEN(1,30))</f>
        <v>R024</v>
      </c>
      <c r="E302" s="3" t="str">
        <f ca="1">INDEX(Vehicles!$A$2:$A$21,RANDBETWEEN(1,20))</f>
        <v>V001</v>
      </c>
      <c r="F302" s="3" t="str">
        <f ca="1">INDEX(Drivers!$A$2:$A$31,RANDBETWEEN(1,30))</f>
        <v>D018</v>
      </c>
      <c r="G302" s="3">
        <f t="shared" ca="1" si="69"/>
        <v>7.1</v>
      </c>
      <c r="H302" s="3">
        <f t="shared" ca="1" si="70"/>
        <v>26335</v>
      </c>
      <c r="I302" s="3">
        <f t="shared" ca="1" si="71"/>
        <v>7374</v>
      </c>
      <c r="J302" s="3">
        <f t="shared" ca="1" si="72"/>
        <v>1048</v>
      </c>
      <c r="K302" s="3">
        <f t="shared" ca="1" si="73"/>
        <v>10</v>
      </c>
      <c r="L302" s="3">
        <f t="shared" ca="1" si="74"/>
        <v>10</v>
      </c>
      <c r="M302" s="3">
        <f t="shared" ca="1" si="75"/>
        <v>0</v>
      </c>
      <c r="N302" s="3" t="str">
        <f t="shared" ca="1" si="76"/>
        <v>On Time</v>
      </c>
      <c r="O302" s="3" t="str">
        <f t="shared" ca="1" si="77"/>
        <v>Medium</v>
      </c>
      <c r="P302" s="3">
        <f t="shared" ca="1" si="78"/>
        <v>23.7</v>
      </c>
      <c r="Q302" s="1" t="str">
        <f ca="1">VLOOKUP(D302,Routes!$A$2:$D$31,2,FALSE)</f>
        <v>Surat</v>
      </c>
      <c r="R302" s="1" t="str">
        <f ca="1">VLOOKUP(D302,Routes!$A$2:$D$31,3,FALSE)</f>
        <v>Mumbai</v>
      </c>
      <c r="S302" s="3">
        <f ca="1">VLOOKUP(D302,Routes!$A$2:$D$31,4,FALSE)</f>
        <v>280</v>
      </c>
      <c r="T302" s="3" t="str">
        <f ca="1">VLOOKUP(E302,Vehicles!$A$2:$D$21,2,FALSE)</f>
        <v>Truck</v>
      </c>
      <c r="U302" s="3">
        <f ca="1">VLOOKUP(E302,Vehicles!$A$2:$D$21,3,FALSE)</f>
        <v>16</v>
      </c>
      <c r="V302" s="3" t="str">
        <f ca="1">VLOOKUP(E302,Vehicles!$A$2:$D$21,4,FALSE)</f>
        <v>Diesel</v>
      </c>
      <c r="W302" s="3">
        <f ca="1">VLOOKUP(V302,Fuel_Rates!$A$2:$B$3,2,FALSE)</f>
        <v>95</v>
      </c>
      <c r="X302" s="3">
        <f t="shared" ca="1" si="80"/>
        <v>94.05</v>
      </c>
      <c r="Y302" s="3">
        <f t="shared" ca="1" si="81"/>
        <v>34757</v>
      </c>
      <c r="Z302" s="3" t="str">
        <f t="shared" ca="1" si="82"/>
        <v>Mar</v>
      </c>
      <c r="AA302" s="3" t="str">
        <f t="shared" ca="1" si="83"/>
        <v>Q1</v>
      </c>
      <c r="AB302" s="4" t="str">
        <f t="shared" ca="1" si="84"/>
        <v>Short Haul</v>
      </c>
    </row>
    <row r="303" spans="1:28" x14ac:dyDescent="0.3">
      <c r="A303" s="8" t="str">
        <f t="shared" si="79"/>
        <v>S0302</v>
      </c>
      <c r="B303" s="3">
        <f t="shared" ca="1" si="68"/>
        <v>45794</v>
      </c>
      <c r="C303" s="3" t="str">
        <f ca="1">INDEX(Customers!$A$2:$A$21,RANDBETWEEN(1,20))</f>
        <v>C020</v>
      </c>
      <c r="D303" s="3" t="str">
        <f ca="1">INDEX(Routes!$A$2:$A$31,RANDBETWEEN(1,30))</f>
        <v>R027</v>
      </c>
      <c r="E303" s="3" t="str">
        <f ca="1">INDEX(Vehicles!$A$2:$A$21,RANDBETWEEN(1,20))</f>
        <v>V017</v>
      </c>
      <c r="F303" s="3" t="str">
        <f ca="1">INDEX(Drivers!$A$2:$A$31,RANDBETWEEN(1,30))</f>
        <v>D005</v>
      </c>
      <c r="G303" s="3">
        <f t="shared" ca="1" si="69"/>
        <v>16.8</v>
      </c>
      <c r="H303" s="3">
        <f t="shared" ca="1" si="70"/>
        <v>35361</v>
      </c>
      <c r="I303" s="3">
        <f t="shared" ca="1" si="71"/>
        <v>9901</v>
      </c>
      <c r="J303" s="3">
        <f t="shared" ca="1" si="72"/>
        <v>3407</v>
      </c>
      <c r="K303" s="3">
        <f t="shared" ca="1" si="73"/>
        <v>27</v>
      </c>
      <c r="L303" s="3">
        <f t="shared" ca="1" si="74"/>
        <v>32</v>
      </c>
      <c r="M303" s="3">
        <f t="shared" ca="1" si="75"/>
        <v>5</v>
      </c>
      <c r="N303" s="3" t="str">
        <f t="shared" ca="1" si="76"/>
        <v>Delayed</v>
      </c>
      <c r="O303" s="3" t="str">
        <f t="shared" ca="1" si="77"/>
        <v>High</v>
      </c>
      <c r="P303" s="3">
        <f t="shared" ca="1" si="78"/>
        <v>56</v>
      </c>
      <c r="Q303" s="1" t="str">
        <f ca="1">VLOOKUP(D303,Routes!$A$2:$D$31,2,FALSE)</f>
        <v>Patna</v>
      </c>
      <c r="R303" s="1" t="str">
        <f ca="1">VLOOKUP(D303,Routes!$A$2:$D$31,3,FALSE)</f>
        <v>Ranchi</v>
      </c>
      <c r="S303" s="3">
        <f ca="1">VLOOKUP(D303,Routes!$A$2:$D$31,4,FALSE)</f>
        <v>330</v>
      </c>
      <c r="T303" s="3" t="str">
        <f ca="1">VLOOKUP(E303,Vehicles!$A$2:$D$21,2,FALSE)</f>
        <v>Truck</v>
      </c>
      <c r="U303" s="3">
        <f ca="1">VLOOKUP(E303,Vehicles!$A$2:$D$21,3,FALSE)</f>
        <v>24</v>
      </c>
      <c r="V303" s="3" t="str">
        <f ca="1">VLOOKUP(E303,Vehicles!$A$2:$D$21,4,FALSE)</f>
        <v>Diesel</v>
      </c>
      <c r="W303" s="3">
        <f ca="1">VLOOKUP(V303,Fuel_Rates!$A$2:$B$3,2,FALSE)</f>
        <v>95</v>
      </c>
      <c r="X303" s="3">
        <f t="shared" ca="1" si="80"/>
        <v>107.15</v>
      </c>
      <c r="Y303" s="3">
        <f t="shared" ca="1" si="81"/>
        <v>48669</v>
      </c>
      <c r="Z303" s="3" t="str">
        <f t="shared" ca="1" si="82"/>
        <v>May</v>
      </c>
      <c r="AA303" s="3" t="str">
        <f t="shared" ca="1" si="83"/>
        <v>Q2</v>
      </c>
      <c r="AB303" s="4" t="str">
        <f t="shared" ca="1" si="84"/>
        <v>Medium Haul</v>
      </c>
    </row>
    <row r="304" spans="1:28" x14ac:dyDescent="0.3">
      <c r="A304" s="8" t="str">
        <f t="shared" si="79"/>
        <v>S0303</v>
      </c>
      <c r="B304" s="3">
        <f t="shared" ca="1" si="68"/>
        <v>45786</v>
      </c>
      <c r="C304" s="3" t="str">
        <f ca="1">INDEX(Customers!$A$2:$A$21,RANDBETWEEN(1,20))</f>
        <v>C006</v>
      </c>
      <c r="D304" s="3" t="str">
        <f ca="1">INDEX(Routes!$A$2:$A$31,RANDBETWEEN(1,30))</f>
        <v>R030</v>
      </c>
      <c r="E304" s="3" t="str">
        <f ca="1">INDEX(Vehicles!$A$2:$A$21,RANDBETWEEN(1,20))</f>
        <v>V019</v>
      </c>
      <c r="F304" s="3" t="str">
        <f ca="1">INDEX(Drivers!$A$2:$A$31,RANDBETWEEN(1,30))</f>
        <v>D025</v>
      </c>
      <c r="G304" s="3">
        <f t="shared" ca="1" si="69"/>
        <v>28.2</v>
      </c>
      <c r="H304" s="3">
        <f t="shared" ca="1" si="70"/>
        <v>64174</v>
      </c>
      <c r="I304" s="3">
        <f t="shared" ca="1" si="71"/>
        <v>17969</v>
      </c>
      <c r="J304" s="3">
        <f t="shared" ca="1" si="72"/>
        <v>559</v>
      </c>
      <c r="K304" s="3">
        <f t="shared" ca="1" si="73"/>
        <v>30</v>
      </c>
      <c r="L304" s="3">
        <f t="shared" ca="1" si="74"/>
        <v>31</v>
      </c>
      <c r="M304" s="3">
        <f t="shared" ca="1" si="75"/>
        <v>1</v>
      </c>
      <c r="N304" s="3" t="str">
        <f t="shared" ca="1" si="76"/>
        <v>On Time</v>
      </c>
      <c r="O304" s="3" t="str">
        <f t="shared" ca="1" si="77"/>
        <v>Medium</v>
      </c>
      <c r="P304" s="3">
        <f t="shared" ca="1" si="78"/>
        <v>94</v>
      </c>
      <c r="Q304" s="1" t="str">
        <f ca="1">VLOOKUP(D304,Routes!$A$2:$D$31,2,FALSE)</f>
        <v>Bhubaneswar</v>
      </c>
      <c r="R304" s="1" t="str">
        <f ca="1">VLOOKUP(D304,Routes!$A$2:$D$31,3,FALSE)</f>
        <v>Kolkata</v>
      </c>
      <c r="S304" s="3">
        <f ca="1">VLOOKUP(D304,Routes!$A$2:$D$31,4,FALSE)</f>
        <v>440</v>
      </c>
      <c r="T304" s="3" t="str">
        <f ca="1">VLOOKUP(E304,Vehicles!$A$2:$D$21,2,FALSE)</f>
        <v>Trailer</v>
      </c>
      <c r="U304" s="3">
        <f ca="1">VLOOKUP(E304,Vehicles!$A$2:$D$21,3,FALSE)</f>
        <v>35</v>
      </c>
      <c r="V304" s="3" t="str">
        <f ca="1">VLOOKUP(E304,Vehicles!$A$2:$D$21,4,FALSE)</f>
        <v>Diesel</v>
      </c>
      <c r="W304" s="3">
        <f ca="1">VLOOKUP(V304,Fuel_Rates!$A$2:$B$3,2,FALSE)</f>
        <v>95</v>
      </c>
      <c r="X304" s="3">
        <f t="shared" ca="1" si="80"/>
        <v>145.85</v>
      </c>
      <c r="Y304" s="3">
        <f t="shared" ca="1" si="81"/>
        <v>82702</v>
      </c>
      <c r="Z304" s="3" t="str">
        <f t="shared" ca="1" si="82"/>
        <v>May</v>
      </c>
      <c r="AA304" s="3" t="str">
        <f t="shared" ca="1" si="83"/>
        <v>Q2</v>
      </c>
      <c r="AB304" s="4" t="str">
        <f t="shared" ca="1" si="84"/>
        <v>Medium Haul</v>
      </c>
    </row>
    <row r="305" spans="1:28" x14ac:dyDescent="0.3">
      <c r="A305" s="8" t="str">
        <f t="shared" si="79"/>
        <v>S0304</v>
      </c>
      <c r="B305" s="3">
        <f t="shared" ca="1" si="68"/>
        <v>45709</v>
      </c>
      <c r="C305" s="3" t="str">
        <f ca="1">INDEX(Customers!$A$2:$A$21,RANDBETWEEN(1,20))</f>
        <v>C012</v>
      </c>
      <c r="D305" s="3" t="str">
        <f ca="1">INDEX(Routes!$A$2:$A$31,RANDBETWEEN(1,30))</f>
        <v>R028</v>
      </c>
      <c r="E305" s="3" t="str">
        <f ca="1">INDEX(Vehicles!$A$2:$A$21,RANDBETWEEN(1,20))</f>
        <v>V013</v>
      </c>
      <c r="F305" s="3" t="str">
        <f ca="1">INDEX(Drivers!$A$2:$A$31,RANDBETWEEN(1,30))</f>
        <v>D024</v>
      </c>
      <c r="G305" s="3">
        <f t="shared" ca="1" si="69"/>
        <v>20.5</v>
      </c>
      <c r="H305" s="3">
        <f t="shared" ca="1" si="70"/>
        <v>48228</v>
      </c>
      <c r="I305" s="3">
        <f t="shared" ca="1" si="71"/>
        <v>13504</v>
      </c>
      <c r="J305" s="3">
        <f t="shared" ca="1" si="72"/>
        <v>3893</v>
      </c>
      <c r="K305" s="3">
        <f t="shared" ca="1" si="73"/>
        <v>12</v>
      </c>
      <c r="L305" s="3">
        <f t="shared" ca="1" si="74"/>
        <v>15</v>
      </c>
      <c r="M305" s="3">
        <f t="shared" ca="1" si="75"/>
        <v>3</v>
      </c>
      <c r="N305" s="3" t="str">
        <f t="shared" ca="1" si="76"/>
        <v>Delayed</v>
      </c>
      <c r="O305" s="3" t="str">
        <f t="shared" ca="1" si="77"/>
        <v>High</v>
      </c>
      <c r="P305" s="3">
        <f t="shared" ca="1" si="78"/>
        <v>68.3</v>
      </c>
      <c r="Q305" s="1" t="str">
        <f ca="1">VLOOKUP(D305,Routes!$A$2:$D$31,2,FALSE)</f>
        <v>Indore</v>
      </c>
      <c r="R305" s="1" t="str">
        <f ca="1">VLOOKUP(D305,Routes!$A$2:$D$31,3,FALSE)</f>
        <v>Mumbai</v>
      </c>
      <c r="S305" s="3">
        <f ca="1">VLOOKUP(D305,Routes!$A$2:$D$31,4,FALSE)</f>
        <v>590</v>
      </c>
      <c r="T305" s="3" t="str">
        <f ca="1">VLOOKUP(E305,Vehicles!$A$2:$D$21,2,FALSE)</f>
        <v>LCV</v>
      </c>
      <c r="U305" s="3">
        <f ca="1">VLOOKUP(E305,Vehicles!$A$2:$D$21,3,FALSE)</f>
        <v>4</v>
      </c>
      <c r="V305" s="3" t="str">
        <f ca="1">VLOOKUP(E305,Vehicles!$A$2:$D$21,4,FALSE)</f>
        <v>CNG</v>
      </c>
      <c r="W305" s="3">
        <f ca="1">VLOOKUP(V305,Fuel_Rates!$A$2:$B$3,2,FALSE)</f>
        <v>78</v>
      </c>
      <c r="X305" s="3">
        <f t="shared" ca="1" si="80"/>
        <v>81.739999999999995</v>
      </c>
      <c r="Y305" s="3">
        <f t="shared" ca="1" si="81"/>
        <v>65625</v>
      </c>
      <c r="Z305" s="3" t="str">
        <f t="shared" ca="1" si="82"/>
        <v>Feb</v>
      </c>
      <c r="AA305" s="3" t="str">
        <f t="shared" ca="1" si="83"/>
        <v>Q1</v>
      </c>
      <c r="AB305" s="4" t="str">
        <f t="shared" ca="1" si="84"/>
        <v>Medium Haul</v>
      </c>
    </row>
    <row r="306" spans="1:28" x14ac:dyDescent="0.3">
      <c r="A306" s="8" t="str">
        <f t="shared" si="79"/>
        <v>S0305</v>
      </c>
      <c r="B306" s="3">
        <f t="shared" ca="1" si="68"/>
        <v>45856</v>
      </c>
      <c r="C306" s="3" t="str">
        <f ca="1">INDEX(Customers!$A$2:$A$21,RANDBETWEEN(1,20))</f>
        <v>C009</v>
      </c>
      <c r="D306" s="3" t="str">
        <f ca="1">INDEX(Routes!$A$2:$A$31,RANDBETWEEN(1,30))</f>
        <v>R017</v>
      </c>
      <c r="E306" s="3" t="str">
        <f ca="1">INDEX(Vehicles!$A$2:$A$21,RANDBETWEEN(1,20))</f>
        <v>V019</v>
      </c>
      <c r="F306" s="3" t="str">
        <f ca="1">INDEX(Drivers!$A$2:$A$31,RANDBETWEEN(1,30))</f>
        <v>D024</v>
      </c>
      <c r="G306" s="3">
        <f t="shared" ca="1" si="69"/>
        <v>27.9</v>
      </c>
      <c r="H306" s="3">
        <f t="shared" ca="1" si="70"/>
        <v>53615</v>
      </c>
      <c r="I306" s="3">
        <f t="shared" ca="1" si="71"/>
        <v>15012</v>
      </c>
      <c r="J306" s="3">
        <f t="shared" ca="1" si="72"/>
        <v>2903</v>
      </c>
      <c r="K306" s="3">
        <f t="shared" ca="1" si="73"/>
        <v>11</v>
      </c>
      <c r="L306" s="3">
        <f t="shared" ca="1" si="74"/>
        <v>15</v>
      </c>
      <c r="M306" s="3">
        <f t="shared" ca="1" si="75"/>
        <v>4</v>
      </c>
      <c r="N306" s="3" t="str">
        <f t="shared" ca="1" si="76"/>
        <v>Delayed</v>
      </c>
      <c r="O306" s="3" t="str">
        <f t="shared" ca="1" si="77"/>
        <v>Low</v>
      </c>
      <c r="P306" s="3">
        <f t="shared" ca="1" si="78"/>
        <v>93</v>
      </c>
      <c r="Q306" s="1" t="str">
        <f ca="1">VLOOKUP(D306,Routes!$A$2:$D$31,2,FALSE)</f>
        <v>Kolkata</v>
      </c>
      <c r="R306" s="1" t="str">
        <f ca="1">VLOOKUP(D306,Routes!$A$2:$D$31,3,FALSE)</f>
        <v>Patna</v>
      </c>
      <c r="S306" s="3">
        <f ca="1">VLOOKUP(D306,Routes!$A$2:$D$31,4,FALSE)</f>
        <v>620</v>
      </c>
      <c r="T306" s="3" t="str">
        <f ca="1">VLOOKUP(E306,Vehicles!$A$2:$D$21,2,FALSE)</f>
        <v>Trailer</v>
      </c>
      <c r="U306" s="3">
        <f ca="1">VLOOKUP(E306,Vehicles!$A$2:$D$21,3,FALSE)</f>
        <v>35</v>
      </c>
      <c r="V306" s="3" t="str">
        <f ca="1">VLOOKUP(E306,Vehicles!$A$2:$D$21,4,FALSE)</f>
        <v>Diesel</v>
      </c>
      <c r="W306" s="3">
        <f ca="1">VLOOKUP(V306,Fuel_Rates!$A$2:$B$3,2,FALSE)</f>
        <v>95</v>
      </c>
      <c r="X306" s="3">
        <f t="shared" ca="1" si="80"/>
        <v>86.48</v>
      </c>
      <c r="Y306" s="3">
        <f t="shared" ca="1" si="81"/>
        <v>71530</v>
      </c>
      <c r="Z306" s="3" t="str">
        <f t="shared" ca="1" si="82"/>
        <v>Jul</v>
      </c>
      <c r="AA306" s="3" t="str">
        <f t="shared" ca="1" si="83"/>
        <v>Q3</v>
      </c>
      <c r="AB306" s="4" t="str">
        <f t="shared" ca="1" si="84"/>
        <v>Medium Haul</v>
      </c>
    </row>
    <row r="307" spans="1:28" x14ac:dyDescent="0.3">
      <c r="A307" s="8" t="str">
        <f t="shared" si="79"/>
        <v>S0306</v>
      </c>
      <c r="B307" s="3">
        <f t="shared" ca="1" si="68"/>
        <v>45843</v>
      </c>
      <c r="C307" s="3" t="str">
        <f ca="1">INDEX(Customers!$A$2:$A$21,RANDBETWEEN(1,20))</f>
        <v>C008</v>
      </c>
      <c r="D307" s="3" t="str">
        <f ca="1">INDEX(Routes!$A$2:$A$31,RANDBETWEEN(1,30))</f>
        <v>R024</v>
      </c>
      <c r="E307" s="3" t="str">
        <f ca="1">INDEX(Vehicles!$A$2:$A$21,RANDBETWEEN(1,20))</f>
        <v>V013</v>
      </c>
      <c r="F307" s="3" t="str">
        <f ca="1">INDEX(Drivers!$A$2:$A$31,RANDBETWEEN(1,30))</f>
        <v>D014</v>
      </c>
      <c r="G307" s="3">
        <f t="shared" ca="1" si="69"/>
        <v>23.6</v>
      </c>
      <c r="H307" s="3">
        <f t="shared" ca="1" si="70"/>
        <v>49743</v>
      </c>
      <c r="I307" s="3">
        <f t="shared" ca="1" si="71"/>
        <v>13928</v>
      </c>
      <c r="J307" s="3">
        <f t="shared" ca="1" si="72"/>
        <v>1455</v>
      </c>
      <c r="K307" s="3">
        <f t="shared" ca="1" si="73"/>
        <v>25</v>
      </c>
      <c r="L307" s="3">
        <f t="shared" ca="1" si="74"/>
        <v>31</v>
      </c>
      <c r="M307" s="3">
        <f t="shared" ca="1" si="75"/>
        <v>6</v>
      </c>
      <c r="N307" s="3" t="str">
        <f t="shared" ca="1" si="76"/>
        <v>Delayed</v>
      </c>
      <c r="O307" s="3" t="str">
        <f t="shared" ca="1" si="77"/>
        <v>High</v>
      </c>
      <c r="P307" s="3">
        <f t="shared" ca="1" si="78"/>
        <v>78.7</v>
      </c>
      <c r="Q307" s="1" t="str">
        <f ca="1">VLOOKUP(D307,Routes!$A$2:$D$31,2,FALSE)</f>
        <v>Surat</v>
      </c>
      <c r="R307" s="1" t="str">
        <f ca="1">VLOOKUP(D307,Routes!$A$2:$D$31,3,FALSE)</f>
        <v>Mumbai</v>
      </c>
      <c r="S307" s="3">
        <f ca="1">VLOOKUP(D307,Routes!$A$2:$D$31,4,FALSE)</f>
        <v>280</v>
      </c>
      <c r="T307" s="3" t="str">
        <f ca="1">VLOOKUP(E307,Vehicles!$A$2:$D$21,2,FALSE)</f>
        <v>LCV</v>
      </c>
      <c r="U307" s="3">
        <f ca="1">VLOOKUP(E307,Vehicles!$A$2:$D$21,3,FALSE)</f>
        <v>4</v>
      </c>
      <c r="V307" s="3" t="str">
        <f ca="1">VLOOKUP(E307,Vehicles!$A$2:$D$21,4,FALSE)</f>
        <v>CNG</v>
      </c>
      <c r="W307" s="3">
        <f ca="1">VLOOKUP(V307,Fuel_Rates!$A$2:$B$3,2,FALSE)</f>
        <v>78</v>
      </c>
      <c r="X307" s="3">
        <f t="shared" ca="1" si="80"/>
        <v>177.65</v>
      </c>
      <c r="Y307" s="3">
        <f t="shared" ca="1" si="81"/>
        <v>65126</v>
      </c>
      <c r="Z307" s="3" t="str">
        <f t="shared" ca="1" si="82"/>
        <v>Jul</v>
      </c>
      <c r="AA307" s="3" t="str">
        <f t="shared" ca="1" si="83"/>
        <v>Q3</v>
      </c>
      <c r="AB307" s="4" t="str">
        <f t="shared" ca="1" si="84"/>
        <v>Short Haul</v>
      </c>
    </row>
    <row r="308" spans="1:28" x14ac:dyDescent="0.3">
      <c r="A308" s="8" t="str">
        <f t="shared" si="79"/>
        <v>S0307</v>
      </c>
      <c r="B308" s="3">
        <f t="shared" ca="1" si="68"/>
        <v>45845</v>
      </c>
      <c r="C308" s="3" t="str">
        <f ca="1">INDEX(Customers!$A$2:$A$21,RANDBETWEEN(1,20))</f>
        <v>C004</v>
      </c>
      <c r="D308" s="3" t="str">
        <f ca="1">INDEX(Routes!$A$2:$A$31,RANDBETWEEN(1,30))</f>
        <v>R019</v>
      </c>
      <c r="E308" s="3" t="str">
        <f ca="1">INDEX(Vehicles!$A$2:$A$21,RANDBETWEEN(1,20))</f>
        <v>V008</v>
      </c>
      <c r="F308" s="3" t="str">
        <f ca="1">INDEX(Drivers!$A$2:$A$31,RANDBETWEEN(1,30))</f>
        <v>D015</v>
      </c>
      <c r="G308" s="3">
        <f t="shared" ca="1" si="69"/>
        <v>8.4</v>
      </c>
      <c r="H308" s="3">
        <f t="shared" ca="1" si="70"/>
        <v>22273</v>
      </c>
      <c r="I308" s="3">
        <f t="shared" ca="1" si="71"/>
        <v>6236</v>
      </c>
      <c r="J308" s="3">
        <f t="shared" ca="1" si="72"/>
        <v>2255</v>
      </c>
      <c r="K308" s="3">
        <f t="shared" ca="1" si="73"/>
        <v>22</v>
      </c>
      <c r="L308" s="3">
        <f t="shared" ca="1" si="74"/>
        <v>27</v>
      </c>
      <c r="M308" s="3">
        <f t="shared" ca="1" si="75"/>
        <v>5</v>
      </c>
      <c r="N308" s="3" t="str">
        <f t="shared" ca="1" si="76"/>
        <v>Delayed</v>
      </c>
      <c r="O308" s="3" t="str">
        <f t="shared" ca="1" si="77"/>
        <v>Medium</v>
      </c>
      <c r="P308" s="3">
        <f t="shared" ca="1" si="78"/>
        <v>28</v>
      </c>
      <c r="Q308" s="1" t="str">
        <f ca="1">VLOOKUP(D308,Routes!$A$2:$D$31,2,FALSE)</f>
        <v>Ahmedabad</v>
      </c>
      <c r="R308" s="1" t="str">
        <f ca="1">VLOOKUP(D308,Routes!$A$2:$D$31,3,FALSE)</f>
        <v>Indore</v>
      </c>
      <c r="S308" s="3">
        <f ca="1">VLOOKUP(D308,Routes!$A$2:$D$31,4,FALSE)</f>
        <v>390</v>
      </c>
      <c r="T308" s="3" t="str">
        <f ca="1">VLOOKUP(E308,Vehicles!$A$2:$D$21,2,FALSE)</f>
        <v>Container</v>
      </c>
      <c r="U308" s="3">
        <f ca="1">VLOOKUP(E308,Vehicles!$A$2:$D$21,3,FALSE)</f>
        <v>25</v>
      </c>
      <c r="V308" s="3" t="str">
        <f ca="1">VLOOKUP(E308,Vehicles!$A$2:$D$21,4,FALSE)</f>
        <v>Diesel</v>
      </c>
      <c r="W308" s="3">
        <f ca="1">VLOOKUP(V308,Fuel_Rates!$A$2:$B$3,2,FALSE)</f>
        <v>95</v>
      </c>
      <c r="X308" s="3">
        <f t="shared" ca="1" si="80"/>
        <v>57.11</v>
      </c>
      <c r="Y308" s="3">
        <f t="shared" ca="1" si="81"/>
        <v>30764</v>
      </c>
      <c r="Z308" s="3" t="str">
        <f t="shared" ca="1" si="82"/>
        <v>Jul</v>
      </c>
      <c r="AA308" s="3" t="str">
        <f t="shared" ca="1" si="83"/>
        <v>Q3</v>
      </c>
      <c r="AB308" s="4" t="str">
        <f t="shared" ca="1" si="84"/>
        <v>Medium Haul</v>
      </c>
    </row>
    <row r="309" spans="1:28" x14ac:dyDescent="0.3">
      <c r="A309" s="8" t="str">
        <f t="shared" si="79"/>
        <v>S0308</v>
      </c>
      <c r="B309" s="3">
        <f t="shared" ca="1" si="68"/>
        <v>45773</v>
      </c>
      <c r="C309" s="3" t="str">
        <f ca="1">INDEX(Customers!$A$2:$A$21,RANDBETWEEN(1,20))</f>
        <v>C009</v>
      </c>
      <c r="D309" s="3" t="str">
        <f ca="1">INDEX(Routes!$A$2:$A$31,RANDBETWEEN(1,30))</f>
        <v>R001</v>
      </c>
      <c r="E309" s="3" t="str">
        <f ca="1">INDEX(Vehicles!$A$2:$A$21,RANDBETWEEN(1,20))</f>
        <v>V015</v>
      </c>
      <c r="F309" s="3" t="str">
        <f ca="1">INDEX(Drivers!$A$2:$A$31,RANDBETWEEN(1,30))</f>
        <v>D001</v>
      </c>
      <c r="G309" s="3">
        <f t="shared" ca="1" si="69"/>
        <v>28.1</v>
      </c>
      <c r="H309" s="3">
        <f t="shared" ca="1" si="70"/>
        <v>63963</v>
      </c>
      <c r="I309" s="3">
        <f t="shared" ca="1" si="71"/>
        <v>17910</v>
      </c>
      <c r="J309" s="3">
        <f t="shared" ca="1" si="72"/>
        <v>1396</v>
      </c>
      <c r="K309" s="3">
        <f t="shared" ca="1" si="73"/>
        <v>7</v>
      </c>
      <c r="L309" s="3">
        <f t="shared" ca="1" si="74"/>
        <v>12</v>
      </c>
      <c r="M309" s="3">
        <f t="shared" ca="1" si="75"/>
        <v>5</v>
      </c>
      <c r="N309" s="3" t="str">
        <f t="shared" ca="1" si="76"/>
        <v>Delayed</v>
      </c>
      <c r="O309" s="3" t="str">
        <f t="shared" ca="1" si="77"/>
        <v>Low</v>
      </c>
      <c r="P309" s="3">
        <f t="shared" ca="1" si="78"/>
        <v>93.7</v>
      </c>
      <c r="Q309" s="1" t="str">
        <f ca="1">VLOOKUP(D309,Routes!$A$2:$D$31,2,FALSE)</f>
        <v>Mumbai</v>
      </c>
      <c r="R309" s="1" t="str">
        <f ca="1">VLOOKUP(D309,Routes!$A$2:$D$31,3,FALSE)</f>
        <v>Pune</v>
      </c>
      <c r="S309" s="3">
        <f ca="1">VLOOKUP(D309,Routes!$A$2:$D$31,4,FALSE)</f>
        <v>150</v>
      </c>
      <c r="T309" s="3" t="str">
        <f ca="1">VLOOKUP(E309,Vehicles!$A$2:$D$21,2,FALSE)</f>
        <v>Trailer</v>
      </c>
      <c r="U309" s="3">
        <f ca="1">VLOOKUP(E309,Vehicles!$A$2:$D$21,3,FALSE)</f>
        <v>30</v>
      </c>
      <c r="V309" s="3" t="str">
        <f ca="1">VLOOKUP(E309,Vehicles!$A$2:$D$21,4,FALSE)</f>
        <v>Diesel</v>
      </c>
      <c r="W309" s="3">
        <f ca="1">VLOOKUP(V309,Fuel_Rates!$A$2:$B$3,2,FALSE)</f>
        <v>95</v>
      </c>
      <c r="X309" s="3">
        <f t="shared" ca="1" si="80"/>
        <v>426.42</v>
      </c>
      <c r="Y309" s="3">
        <f t="shared" ca="1" si="81"/>
        <v>83269</v>
      </c>
      <c r="Z309" s="3" t="str">
        <f t="shared" ca="1" si="82"/>
        <v>Apr</v>
      </c>
      <c r="AA309" s="3" t="str">
        <f t="shared" ca="1" si="83"/>
        <v>Q2</v>
      </c>
      <c r="AB309" s="4" t="str">
        <f t="shared" ca="1" si="84"/>
        <v>Short Haul</v>
      </c>
    </row>
    <row r="310" spans="1:28" x14ac:dyDescent="0.3">
      <c r="A310" s="8" t="str">
        <f t="shared" si="79"/>
        <v>S0309</v>
      </c>
      <c r="B310" s="3">
        <f t="shared" ca="1" si="68"/>
        <v>45894</v>
      </c>
      <c r="C310" s="3" t="str">
        <f ca="1">INDEX(Customers!$A$2:$A$21,RANDBETWEEN(1,20))</f>
        <v>C020</v>
      </c>
      <c r="D310" s="3" t="str">
        <f ca="1">INDEX(Routes!$A$2:$A$31,RANDBETWEEN(1,30))</f>
        <v>R008</v>
      </c>
      <c r="E310" s="3" t="str">
        <f ca="1">INDEX(Vehicles!$A$2:$A$21,RANDBETWEEN(1,20))</f>
        <v>V008</v>
      </c>
      <c r="F310" s="3" t="str">
        <f ca="1">INDEX(Drivers!$A$2:$A$31,RANDBETWEEN(1,30))</f>
        <v>D030</v>
      </c>
      <c r="G310" s="3">
        <f t="shared" ca="1" si="69"/>
        <v>10.4</v>
      </c>
      <c r="H310" s="3">
        <f t="shared" ca="1" si="70"/>
        <v>27697</v>
      </c>
      <c r="I310" s="3">
        <f t="shared" ca="1" si="71"/>
        <v>7755</v>
      </c>
      <c r="J310" s="3">
        <f t="shared" ca="1" si="72"/>
        <v>3043</v>
      </c>
      <c r="K310" s="3">
        <f t="shared" ca="1" si="73"/>
        <v>32</v>
      </c>
      <c r="L310" s="3">
        <f t="shared" ca="1" si="74"/>
        <v>40</v>
      </c>
      <c r="M310" s="3">
        <f t="shared" ca="1" si="75"/>
        <v>8</v>
      </c>
      <c r="N310" s="3" t="str">
        <f t="shared" ca="1" si="76"/>
        <v>Delayed</v>
      </c>
      <c r="O310" s="3" t="str">
        <f t="shared" ca="1" si="77"/>
        <v>Medium</v>
      </c>
      <c r="P310" s="3">
        <f t="shared" ca="1" si="78"/>
        <v>34.700000000000003</v>
      </c>
      <c r="Q310" s="1" t="str">
        <f ca="1">VLOOKUP(D310,Routes!$A$2:$D$31,2,FALSE)</f>
        <v>Delhi</v>
      </c>
      <c r="R310" s="1" t="str">
        <f ca="1">VLOOKUP(D310,Routes!$A$2:$D$31,3,FALSE)</f>
        <v>Kolkata</v>
      </c>
      <c r="S310" s="3">
        <f ca="1">VLOOKUP(D310,Routes!$A$2:$D$31,4,FALSE)</f>
        <v>1500</v>
      </c>
      <c r="T310" s="3" t="str">
        <f ca="1">VLOOKUP(E310,Vehicles!$A$2:$D$21,2,FALSE)</f>
        <v>Container</v>
      </c>
      <c r="U310" s="3">
        <f ca="1">VLOOKUP(E310,Vehicles!$A$2:$D$21,3,FALSE)</f>
        <v>25</v>
      </c>
      <c r="V310" s="3" t="str">
        <f ca="1">VLOOKUP(E310,Vehicles!$A$2:$D$21,4,FALSE)</f>
        <v>Diesel</v>
      </c>
      <c r="W310" s="3">
        <f ca="1">VLOOKUP(V310,Fuel_Rates!$A$2:$B$3,2,FALSE)</f>
        <v>95</v>
      </c>
      <c r="X310" s="3">
        <f t="shared" ca="1" si="80"/>
        <v>18.46</v>
      </c>
      <c r="Y310" s="3">
        <f t="shared" ca="1" si="81"/>
        <v>38495</v>
      </c>
      <c r="Z310" s="3" t="str">
        <f t="shared" ca="1" si="82"/>
        <v>Aug</v>
      </c>
      <c r="AA310" s="3" t="str">
        <f t="shared" ca="1" si="83"/>
        <v>Q3</v>
      </c>
      <c r="AB310" s="4" t="str">
        <f t="shared" ca="1" si="84"/>
        <v>Long Haul</v>
      </c>
    </row>
    <row r="311" spans="1:28" x14ac:dyDescent="0.3">
      <c r="A311" s="8" t="str">
        <f t="shared" si="79"/>
        <v>S0310</v>
      </c>
      <c r="B311" s="3">
        <f t="shared" ca="1" si="68"/>
        <v>45935</v>
      </c>
      <c r="C311" s="3" t="str">
        <f ca="1">INDEX(Customers!$A$2:$A$21,RANDBETWEEN(1,20))</f>
        <v>C004</v>
      </c>
      <c r="D311" s="3" t="str">
        <f ca="1">INDEX(Routes!$A$2:$A$31,RANDBETWEEN(1,30))</f>
        <v>R012</v>
      </c>
      <c r="E311" s="3" t="str">
        <f ca="1">INDEX(Vehicles!$A$2:$A$21,RANDBETWEEN(1,20))</f>
        <v>V006</v>
      </c>
      <c r="F311" s="3" t="str">
        <f ca="1">INDEX(Drivers!$A$2:$A$31,RANDBETWEEN(1,30))</f>
        <v>D011</v>
      </c>
      <c r="G311" s="3">
        <f t="shared" ca="1" si="69"/>
        <v>28.9</v>
      </c>
      <c r="H311" s="3">
        <f t="shared" ca="1" si="70"/>
        <v>63448</v>
      </c>
      <c r="I311" s="3">
        <f t="shared" ca="1" si="71"/>
        <v>17765</v>
      </c>
      <c r="J311" s="3">
        <f t="shared" ca="1" si="72"/>
        <v>2853</v>
      </c>
      <c r="K311" s="3">
        <f t="shared" ca="1" si="73"/>
        <v>5</v>
      </c>
      <c r="L311" s="3">
        <f t="shared" ca="1" si="74"/>
        <v>5</v>
      </c>
      <c r="M311" s="3">
        <f t="shared" ca="1" si="75"/>
        <v>0</v>
      </c>
      <c r="N311" s="3" t="str">
        <f t="shared" ca="1" si="76"/>
        <v>On Time</v>
      </c>
      <c r="O311" s="3" t="str">
        <f t="shared" ca="1" si="77"/>
        <v>Low</v>
      </c>
      <c r="P311" s="3">
        <f t="shared" ca="1" si="78"/>
        <v>96.3</v>
      </c>
      <c r="Q311" s="1" t="str">
        <f ca="1">VLOOKUP(D311,Routes!$A$2:$D$31,2,FALSE)</f>
        <v>Chennai</v>
      </c>
      <c r="R311" s="1" t="str">
        <f ca="1">VLOOKUP(D311,Routes!$A$2:$D$31,3,FALSE)</f>
        <v>Coimbatore</v>
      </c>
      <c r="S311" s="3">
        <f ca="1">VLOOKUP(D311,Routes!$A$2:$D$31,4,FALSE)</f>
        <v>500</v>
      </c>
      <c r="T311" s="3" t="str">
        <f ca="1">VLOOKUP(E311,Vehicles!$A$2:$D$21,2,FALSE)</f>
        <v>Container</v>
      </c>
      <c r="U311" s="3">
        <f ca="1">VLOOKUP(E311,Vehicles!$A$2:$D$21,3,FALSE)</f>
        <v>18</v>
      </c>
      <c r="V311" s="3" t="str">
        <f ca="1">VLOOKUP(E311,Vehicles!$A$2:$D$21,4,FALSE)</f>
        <v>Diesel</v>
      </c>
      <c r="W311" s="3">
        <f ca="1">VLOOKUP(V311,Fuel_Rates!$A$2:$B$3,2,FALSE)</f>
        <v>95</v>
      </c>
      <c r="X311" s="3">
        <f t="shared" ca="1" si="80"/>
        <v>126.9</v>
      </c>
      <c r="Y311" s="3">
        <f t="shared" ca="1" si="81"/>
        <v>84066</v>
      </c>
      <c r="Z311" s="3" t="str">
        <f t="shared" ca="1" si="82"/>
        <v>Oct</v>
      </c>
      <c r="AA311" s="3" t="str">
        <f t="shared" ca="1" si="83"/>
        <v>Q4</v>
      </c>
      <c r="AB311" s="4" t="str">
        <f t="shared" ca="1" si="84"/>
        <v>Medium Haul</v>
      </c>
    </row>
    <row r="312" spans="1:28" x14ac:dyDescent="0.3">
      <c r="A312" s="8" t="str">
        <f t="shared" si="79"/>
        <v>S0311</v>
      </c>
      <c r="B312" s="3">
        <f t="shared" ca="1" si="68"/>
        <v>45839</v>
      </c>
      <c r="C312" s="3" t="str">
        <f ca="1">INDEX(Customers!$A$2:$A$21,RANDBETWEEN(1,20))</f>
        <v>C005</v>
      </c>
      <c r="D312" s="3" t="str">
        <f ca="1">INDEX(Routes!$A$2:$A$31,RANDBETWEEN(1,30))</f>
        <v>R030</v>
      </c>
      <c r="E312" s="3" t="str">
        <f ca="1">INDEX(Vehicles!$A$2:$A$21,RANDBETWEEN(1,20))</f>
        <v>V007</v>
      </c>
      <c r="F312" s="3" t="str">
        <f ca="1">INDEX(Drivers!$A$2:$A$31,RANDBETWEEN(1,30))</f>
        <v>D017</v>
      </c>
      <c r="G312" s="3">
        <f t="shared" ca="1" si="69"/>
        <v>13.8</v>
      </c>
      <c r="H312" s="3">
        <f t="shared" ca="1" si="70"/>
        <v>39379</v>
      </c>
      <c r="I312" s="3">
        <f t="shared" ca="1" si="71"/>
        <v>11026</v>
      </c>
      <c r="J312" s="3">
        <f t="shared" ca="1" si="72"/>
        <v>962</v>
      </c>
      <c r="K312" s="3">
        <f t="shared" ca="1" si="73"/>
        <v>28</v>
      </c>
      <c r="L312" s="3">
        <f t="shared" ca="1" si="74"/>
        <v>30</v>
      </c>
      <c r="M312" s="3">
        <f t="shared" ca="1" si="75"/>
        <v>2</v>
      </c>
      <c r="N312" s="3" t="str">
        <f t="shared" ca="1" si="76"/>
        <v>On Time</v>
      </c>
      <c r="O312" s="3" t="str">
        <f t="shared" ca="1" si="77"/>
        <v>High</v>
      </c>
      <c r="P312" s="3">
        <f t="shared" ca="1" si="78"/>
        <v>46</v>
      </c>
      <c r="Q312" s="1" t="str">
        <f ca="1">VLOOKUP(D312,Routes!$A$2:$D$31,2,FALSE)</f>
        <v>Bhubaneswar</v>
      </c>
      <c r="R312" s="1" t="str">
        <f ca="1">VLOOKUP(D312,Routes!$A$2:$D$31,3,FALSE)</f>
        <v>Kolkata</v>
      </c>
      <c r="S312" s="3">
        <f ca="1">VLOOKUP(D312,Routes!$A$2:$D$31,4,FALSE)</f>
        <v>440</v>
      </c>
      <c r="T312" s="3" t="str">
        <f ca="1">VLOOKUP(E312,Vehicles!$A$2:$D$21,2,FALSE)</f>
        <v>Container</v>
      </c>
      <c r="U312" s="3">
        <f ca="1">VLOOKUP(E312,Vehicles!$A$2:$D$21,3,FALSE)</f>
        <v>20</v>
      </c>
      <c r="V312" s="3" t="str">
        <f ca="1">VLOOKUP(E312,Vehicles!$A$2:$D$21,4,FALSE)</f>
        <v>Diesel</v>
      </c>
      <c r="W312" s="3">
        <f ca="1">VLOOKUP(V312,Fuel_Rates!$A$2:$B$3,2,FALSE)</f>
        <v>95</v>
      </c>
      <c r="X312" s="3">
        <f t="shared" ca="1" si="80"/>
        <v>89.5</v>
      </c>
      <c r="Y312" s="3">
        <f t="shared" ca="1" si="81"/>
        <v>51367</v>
      </c>
      <c r="Z312" s="3" t="str">
        <f t="shared" ca="1" si="82"/>
        <v>Jul</v>
      </c>
      <c r="AA312" s="3" t="str">
        <f t="shared" ca="1" si="83"/>
        <v>Q3</v>
      </c>
      <c r="AB312" s="4" t="str">
        <f t="shared" ca="1" si="84"/>
        <v>Medium Haul</v>
      </c>
    </row>
    <row r="313" spans="1:28" x14ac:dyDescent="0.3">
      <c r="A313" s="8" t="str">
        <f t="shared" si="79"/>
        <v>S0312</v>
      </c>
      <c r="B313" s="3">
        <f t="shared" ca="1" si="68"/>
        <v>45669</v>
      </c>
      <c r="C313" s="3" t="str">
        <f ca="1">INDEX(Customers!$A$2:$A$21,RANDBETWEEN(1,20))</f>
        <v>C012</v>
      </c>
      <c r="D313" s="3" t="str">
        <f ca="1">INDEX(Routes!$A$2:$A$31,RANDBETWEEN(1,30))</f>
        <v>R003</v>
      </c>
      <c r="E313" s="3" t="str">
        <f ca="1">INDEX(Vehicles!$A$2:$A$21,RANDBETWEEN(1,20))</f>
        <v>V001</v>
      </c>
      <c r="F313" s="3" t="str">
        <f ca="1">INDEX(Drivers!$A$2:$A$31,RANDBETWEEN(1,30))</f>
        <v>D017</v>
      </c>
      <c r="G313" s="3">
        <f t="shared" ca="1" si="69"/>
        <v>12</v>
      </c>
      <c r="H313" s="3">
        <f t="shared" ca="1" si="70"/>
        <v>30362</v>
      </c>
      <c r="I313" s="3">
        <f t="shared" ca="1" si="71"/>
        <v>8501</v>
      </c>
      <c r="J313" s="3">
        <f t="shared" ca="1" si="72"/>
        <v>3301</v>
      </c>
      <c r="K313" s="3">
        <f t="shared" ca="1" si="73"/>
        <v>9</v>
      </c>
      <c r="L313" s="3">
        <f t="shared" ca="1" si="74"/>
        <v>14</v>
      </c>
      <c r="M313" s="3">
        <f t="shared" ca="1" si="75"/>
        <v>5</v>
      </c>
      <c r="N313" s="3" t="str">
        <f t="shared" ca="1" si="76"/>
        <v>Delayed</v>
      </c>
      <c r="O313" s="3" t="str">
        <f t="shared" ca="1" si="77"/>
        <v>Low</v>
      </c>
      <c r="P313" s="3">
        <f t="shared" ca="1" si="78"/>
        <v>40</v>
      </c>
      <c r="Q313" s="1" t="str">
        <f ca="1">VLOOKUP(D313,Routes!$A$2:$D$31,2,FALSE)</f>
        <v>Mumbai</v>
      </c>
      <c r="R313" s="1" t="str">
        <f ca="1">VLOOKUP(D313,Routes!$A$2:$D$31,3,FALSE)</f>
        <v>Delhi</v>
      </c>
      <c r="S313" s="3">
        <f ca="1">VLOOKUP(D313,Routes!$A$2:$D$31,4,FALSE)</f>
        <v>1450</v>
      </c>
      <c r="T313" s="3" t="str">
        <f ca="1">VLOOKUP(E313,Vehicles!$A$2:$D$21,2,FALSE)</f>
        <v>Truck</v>
      </c>
      <c r="U313" s="3">
        <f ca="1">VLOOKUP(E313,Vehicles!$A$2:$D$21,3,FALSE)</f>
        <v>16</v>
      </c>
      <c r="V313" s="3" t="str">
        <f ca="1">VLOOKUP(E313,Vehicles!$A$2:$D$21,4,FALSE)</f>
        <v>Diesel</v>
      </c>
      <c r="W313" s="3">
        <f ca="1">VLOOKUP(V313,Fuel_Rates!$A$2:$B$3,2,FALSE)</f>
        <v>95</v>
      </c>
      <c r="X313" s="3">
        <f t="shared" ca="1" si="80"/>
        <v>20.94</v>
      </c>
      <c r="Y313" s="3">
        <f t="shared" ca="1" si="81"/>
        <v>42164</v>
      </c>
      <c r="Z313" s="3" t="str">
        <f t="shared" ca="1" si="82"/>
        <v>Jan</v>
      </c>
      <c r="AA313" s="3" t="str">
        <f t="shared" ca="1" si="83"/>
        <v>Q1</v>
      </c>
      <c r="AB313" s="4" t="str">
        <f t="shared" ca="1" si="84"/>
        <v>Long Haul</v>
      </c>
    </row>
    <row r="314" spans="1:28" x14ac:dyDescent="0.3">
      <c r="A314" s="8" t="str">
        <f t="shared" si="79"/>
        <v>S0313</v>
      </c>
      <c r="B314" s="3">
        <f t="shared" ca="1" si="68"/>
        <v>45751</v>
      </c>
      <c r="C314" s="3" t="str">
        <f ca="1">INDEX(Customers!$A$2:$A$21,RANDBETWEEN(1,20))</f>
        <v>C006</v>
      </c>
      <c r="D314" s="3" t="str">
        <f ca="1">INDEX(Routes!$A$2:$A$31,RANDBETWEEN(1,30))</f>
        <v>R010</v>
      </c>
      <c r="E314" s="3" t="str">
        <f ca="1">INDEX(Vehicles!$A$2:$A$21,RANDBETWEEN(1,20))</f>
        <v>V018</v>
      </c>
      <c r="F314" s="3" t="str">
        <f ca="1">INDEX(Drivers!$A$2:$A$31,RANDBETWEEN(1,30))</f>
        <v>D027</v>
      </c>
      <c r="G314" s="3">
        <f t="shared" ca="1" si="69"/>
        <v>11.5</v>
      </c>
      <c r="H314" s="3">
        <f t="shared" ca="1" si="70"/>
        <v>34797</v>
      </c>
      <c r="I314" s="3">
        <f t="shared" ca="1" si="71"/>
        <v>9743</v>
      </c>
      <c r="J314" s="3">
        <f t="shared" ca="1" si="72"/>
        <v>1543</v>
      </c>
      <c r="K314" s="3">
        <f t="shared" ca="1" si="73"/>
        <v>16</v>
      </c>
      <c r="L314" s="3">
        <f t="shared" ca="1" si="74"/>
        <v>24</v>
      </c>
      <c r="M314" s="3">
        <f t="shared" ca="1" si="75"/>
        <v>8</v>
      </c>
      <c r="N314" s="3" t="str">
        <f t="shared" ca="1" si="76"/>
        <v>Delayed</v>
      </c>
      <c r="O314" s="3" t="str">
        <f t="shared" ca="1" si="77"/>
        <v>Low</v>
      </c>
      <c r="P314" s="3">
        <f t="shared" ca="1" si="78"/>
        <v>38.299999999999997</v>
      </c>
      <c r="Q314" s="1" t="str">
        <f ca="1">VLOOKUP(D314,Routes!$A$2:$D$31,2,FALSE)</f>
        <v>Bengaluru</v>
      </c>
      <c r="R314" s="1" t="str">
        <f ca="1">VLOOKUP(D314,Routes!$A$2:$D$31,3,FALSE)</f>
        <v>Hyderabad</v>
      </c>
      <c r="S314" s="3">
        <f ca="1">VLOOKUP(D314,Routes!$A$2:$D$31,4,FALSE)</f>
        <v>570</v>
      </c>
      <c r="T314" s="3" t="str">
        <f ca="1">VLOOKUP(E314,Vehicles!$A$2:$D$21,2,FALSE)</f>
        <v>Truck</v>
      </c>
      <c r="U314" s="3">
        <f ca="1">VLOOKUP(E314,Vehicles!$A$2:$D$21,3,FALSE)</f>
        <v>26</v>
      </c>
      <c r="V314" s="3" t="str">
        <f ca="1">VLOOKUP(E314,Vehicles!$A$2:$D$21,4,FALSE)</f>
        <v>Diesel</v>
      </c>
      <c r="W314" s="3">
        <f ca="1">VLOOKUP(V314,Fuel_Rates!$A$2:$B$3,2,FALSE)</f>
        <v>95</v>
      </c>
      <c r="X314" s="3">
        <f t="shared" ca="1" si="80"/>
        <v>61.05</v>
      </c>
      <c r="Y314" s="3">
        <f t="shared" ca="1" si="81"/>
        <v>46083</v>
      </c>
      <c r="Z314" s="3" t="str">
        <f t="shared" ca="1" si="82"/>
        <v>Apr</v>
      </c>
      <c r="AA314" s="3" t="str">
        <f t="shared" ca="1" si="83"/>
        <v>Q2</v>
      </c>
      <c r="AB314" s="4" t="str">
        <f t="shared" ca="1" si="84"/>
        <v>Medium Haul</v>
      </c>
    </row>
    <row r="315" spans="1:28" x14ac:dyDescent="0.3">
      <c r="A315" s="8" t="str">
        <f t="shared" si="79"/>
        <v>S0314</v>
      </c>
      <c r="B315" s="3">
        <f t="shared" ca="1" si="68"/>
        <v>45999</v>
      </c>
      <c r="C315" s="3" t="str">
        <f ca="1">INDEX(Customers!$A$2:$A$21,RANDBETWEEN(1,20))</f>
        <v>C003</v>
      </c>
      <c r="D315" s="3" t="str">
        <f ca="1">INDEX(Routes!$A$2:$A$31,RANDBETWEEN(1,30))</f>
        <v>R005</v>
      </c>
      <c r="E315" s="3" t="str">
        <f ca="1">INDEX(Vehicles!$A$2:$A$21,RANDBETWEEN(1,20))</f>
        <v>V003</v>
      </c>
      <c r="F315" s="3" t="str">
        <f ca="1">INDEX(Drivers!$A$2:$A$31,RANDBETWEEN(1,30))</f>
        <v>D025</v>
      </c>
      <c r="G315" s="3">
        <f t="shared" ca="1" si="69"/>
        <v>15.9</v>
      </c>
      <c r="H315" s="3">
        <f t="shared" ca="1" si="70"/>
        <v>36607</v>
      </c>
      <c r="I315" s="3">
        <f t="shared" ca="1" si="71"/>
        <v>10250</v>
      </c>
      <c r="J315" s="3">
        <f t="shared" ca="1" si="72"/>
        <v>3396</v>
      </c>
      <c r="K315" s="3">
        <f t="shared" ca="1" si="73"/>
        <v>27</v>
      </c>
      <c r="L315" s="3">
        <f t="shared" ca="1" si="74"/>
        <v>30</v>
      </c>
      <c r="M315" s="3">
        <f t="shared" ca="1" si="75"/>
        <v>3</v>
      </c>
      <c r="N315" s="3" t="str">
        <f t="shared" ca="1" si="76"/>
        <v>Delayed</v>
      </c>
      <c r="O315" s="3" t="str">
        <f t="shared" ca="1" si="77"/>
        <v>Medium</v>
      </c>
      <c r="P315" s="3">
        <f t="shared" ca="1" si="78"/>
        <v>53</v>
      </c>
      <c r="Q315" s="1" t="str">
        <f ca="1">VLOOKUP(D315,Routes!$A$2:$D$31,2,FALSE)</f>
        <v>Delhi</v>
      </c>
      <c r="R315" s="1" t="str">
        <f ca="1">VLOOKUP(D315,Routes!$A$2:$D$31,3,FALSE)</f>
        <v>Jaipur</v>
      </c>
      <c r="S315" s="3">
        <f ca="1">VLOOKUP(D315,Routes!$A$2:$D$31,4,FALSE)</f>
        <v>280</v>
      </c>
      <c r="T315" s="3" t="str">
        <f ca="1">VLOOKUP(E315,Vehicles!$A$2:$D$21,2,FALSE)</f>
        <v>Truck</v>
      </c>
      <c r="U315" s="3">
        <f ca="1">VLOOKUP(E315,Vehicles!$A$2:$D$21,3,FALSE)</f>
        <v>25</v>
      </c>
      <c r="V315" s="3" t="str">
        <f ca="1">VLOOKUP(E315,Vehicles!$A$2:$D$21,4,FALSE)</f>
        <v>Diesel</v>
      </c>
      <c r="W315" s="3">
        <f ca="1">VLOOKUP(V315,Fuel_Rates!$A$2:$B$3,2,FALSE)</f>
        <v>95</v>
      </c>
      <c r="X315" s="3">
        <f t="shared" ca="1" si="80"/>
        <v>130.74</v>
      </c>
      <c r="Y315" s="3">
        <f t="shared" ca="1" si="81"/>
        <v>50253</v>
      </c>
      <c r="Z315" s="3" t="str">
        <f t="shared" ca="1" si="82"/>
        <v>Dec</v>
      </c>
      <c r="AA315" s="3" t="str">
        <f t="shared" ca="1" si="83"/>
        <v>Q4</v>
      </c>
      <c r="AB315" s="4" t="str">
        <f t="shared" ca="1" si="84"/>
        <v>Short Haul</v>
      </c>
    </row>
    <row r="316" spans="1:28" x14ac:dyDescent="0.3">
      <c r="A316" s="8" t="str">
        <f t="shared" si="79"/>
        <v>S0315</v>
      </c>
      <c r="B316" s="3">
        <f t="shared" ca="1" si="68"/>
        <v>45911</v>
      </c>
      <c r="C316" s="3" t="str">
        <f ca="1">INDEX(Customers!$A$2:$A$21,RANDBETWEEN(1,20))</f>
        <v>C010</v>
      </c>
      <c r="D316" s="3" t="str">
        <f ca="1">INDEX(Routes!$A$2:$A$31,RANDBETWEEN(1,30))</f>
        <v>R026</v>
      </c>
      <c r="E316" s="3" t="str">
        <f ca="1">INDEX(Vehicles!$A$2:$A$21,RANDBETWEEN(1,20))</f>
        <v>V004</v>
      </c>
      <c r="F316" s="3" t="str">
        <f ca="1">INDEX(Drivers!$A$2:$A$31,RANDBETWEEN(1,30))</f>
        <v>D027</v>
      </c>
      <c r="G316" s="3">
        <f t="shared" ca="1" si="69"/>
        <v>5.0999999999999996</v>
      </c>
      <c r="H316" s="3">
        <f t="shared" ca="1" si="70"/>
        <v>17791</v>
      </c>
      <c r="I316" s="3">
        <f t="shared" ca="1" si="71"/>
        <v>4981</v>
      </c>
      <c r="J316" s="3">
        <f t="shared" ca="1" si="72"/>
        <v>3217</v>
      </c>
      <c r="K316" s="3">
        <f t="shared" ca="1" si="73"/>
        <v>33</v>
      </c>
      <c r="L316" s="3">
        <f t="shared" ca="1" si="74"/>
        <v>39</v>
      </c>
      <c r="M316" s="3">
        <f t="shared" ca="1" si="75"/>
        <v>6</v>
      </c>
      <c r="N316" s="3" t="str">
        <f t="shared" ca="1" si="76"/>
        <v>Delayed</v>
      </c>
      <c r="O316" s="3" t="str">
        <f t="shared" ca="1" si="77"/>
        <v>Low</v>
      </c>
      <c r="P316" s="3">
        <f t="shared" ca="1" si="78"/>
        <v>17</v>
      </c>
      <c r="Q316" s="1" t="str">
        <f ca="1">VLOOKUP(D316,Routes!$A$2:$D$31,2,FALSE)</f>
        <v>Nagpur</v>
      </c>
      <c r="R316" s="1" t="str">
        <f ca="1">VLOOKUP(D316,Routes!$A$2:$D$31,3,FALSE)</f>
        <v>Bhopal</v>
      </c>
      <c r="S316" s="3">
        <f ca="1">VLOOKUP(D316,Routes!$A$2:$D$31,4,FALSE)</f>
        <v>350</v>
      </c>
      <c r="T316" s="3" t="str">
        <f ca="1">VLOOKUP(E316,Vehicles!$A$2:$D$21,2,FALSE)</f>
        <v>Trailer</v>
      </c>
      <c r="U316" s="3">
        <f ca="1">VLOOKUP(E316,Vehicles!$A$2:$D$21,3,FALSE)</f>
        <v>28</v>
      </c>
      <c r="V316" s="3" t="str">
        <f ca="1">VLOOKUP(E316,Vehicles!$A$2:$D$21,4,FALSE)</f>
        <v>Diesel</v>
      </c>
      <c r="W316" s="3">
        <f ca="1">VLOOKUP(V316,Fuel_Rates!$A$2:$B$3,2,FALSE)</f>
        <v>95</v>
      </c>
      <c r="X316" s="3">
        <f t="shared" ca="1" si="80"/>
        <v>50.83</v>
      </c>
      <c r="Y316" s="3">
        <f t="shared" ca="1" si="81"/>
        <v>25989</v>
      </c>
      <c r="Z316" s="3" t="str">
        <f t="shared" ca="1" si="82"/>
        <v>Sep</v>
      </c>
      <c r="AA316" s="3" t="str">
        <f t="shared" ca="1" si="83"/>
        <v>Q3</v>
      </c>
      <c r="AB316" s="4" t="str">
        <f t="shared" ca="1" si="84"/>
        <v>Medium Haul</v>
      </c>
    </row>
    <row r="317" spans="1:28" x14ac:dyDescent="0.3">
      <c r="A317" s="8" t="str">
        <f t="shared" si="79"/>
        <v>S0316</v>
      </c>
      <c r="B317" s="3">
        <f t="shared" ca="1" si="68"/>
        <v>45800</v>
      </c>
      <c r="C317" s="3" t="str">
        <f ca="1">INDEX(Customers!$A$2:$A$21,RANDBETWEEN(1,20))</f>
        <v>C007</v>
      </c>
      <c r="D317" s="3" t="str">
        <f ca="1">INDEX(Routes!$A$2:$A$31,RANDBETWEEN(1,30))</f>
        <v>R029</v>
      </c>
      <c r="E317" s="3" t="str">
        <f ca="1">INDEX(Vehicles!$A$2:$A$21,RANDBETWEEN(1,20))</f>
        <v>V002</v>
      </c>
      <c r="F317" s="3" t="str">
        <f ca="1">INDEX(Drivers!$A$2:$A$31,RANDBETWEEN(1,30))</f>
        <v>D028</v>
      </c>
      <c r="G317" s="3">
        <f t="shared" ca="1" si="69"/>
        <v>29.8</v>
      </c>
      <c r="H317" s="3">
        <f t="shared" ca="1" si="70"/>
        <v>66424</v>
      </c>
      <c r="I317" s="3">
        <f t="shared" ca="1" si="71"/>
        <v>18599</v>
      </c>
      <c r="J317" s="3">
        <f t="shared" ca="1" si="72"/>
        <v>3394</v>
      </c>
      <c r="K317" s="3">
        <f t="shared" ca="1" si="73"/>
        <v>41</v>
      </c>
      <c r="L317" s="3">
        <f t="shared" ca="1" si="74"/>
        <v>43</v>
      </c>
      <c r="M317" s="3">
        <f t="shared" ca="1" si="75"/>
        <v>2</v>
      </c>
      <c r="N317" s="3" t="str">
        <f t="shared" ca="1" si="76"/>
        <v>On Time</v>
      </c>
      <c r="O317" s="3" t="str">
        <f t="shared" ca="1" si="77"/>
        <v>High</v>
      </c>
      <c r="P317" s="3">
        <f t="shared" ca="1" si="78"/>
        <v>99.3</v>
      </c>
      <c r="Q317" s="1" t="str">
        <f ca="1">VLOOKUP(D317,Routes!$A$2:$D$31,2,FALSE)</f>
        <v>Chandigarh</v>
      </c>
      <c r="R317" s="1" t="str">
        <f ca="1">VLOOKUP(D317,Routes!$A$2:$D$31,3,FALSE)</f>
        <v>Delhi</v>
      </c>
      <c r="S317" s="3">
        <f ca="1">VLOOKUP(D317,Routes!$A$2:$D$31,4,FALSE)</f>
        <v>250</v>
      </c>
      <c r="T317" s="3" t="str">
        <f ca="1">VLOOKUP(E317,Vehicles!$A$2:$D$21,2,FALSE)</f>
        <v>Truck</v>
      </c>
      <c r="U317" s="3">
        <f ca="1">VLOOKUP(E317,Vehicles!$A$2:$D$21,3,FALSE)</f>
        <v>20</v>
      </c>
      <c r="V317" s="3" t="str">
        <f ca="1">VLOOKUP(E317,Vehicles!$A$2:$D$21,4,FALSE)</f>
        <v>Diesel</v>
      </c>
      <c r="W317" s="3">
        <f ca="1">VLOOKUP(V317,Fuel_Rates!$A$2:$B$3,2,FALSE)</f>
        <v>95</v>
      </c>
      <c r="X317" s="3">
        <f t="shared" ca="1" si="80"/>
        <v>265.7</v>
      </c>
      <c r="Y317" s="3">
        <f t="shared" ca="1" si="81"/>
        <v>88417</v>
      </c>
      <c r="Z317" s="3" t="str">
        <f t="shared" ca="1" si="82"/>
        <v>May</v>
      </c>
      <c r="AA317" s="3" t="str">
        <f t="shared" ca="1" si="83"/>
        <v>Q2</v>
      </c>
      <c r="AB317" s="4" t="str">
        <f t="shared" ca="1" si="84"/>
        <v>Short Haul</v>
      </c>
    </row>
    <row r="318" spans="1:28" x14ac:dyDescent="0.3">
      <c r="A318" s="8" t="str">
        <f t="shared" si="79"/>
        <v>S0317</v>
      </c>
      <c r="B318" s="3">
        <f t="shared" ca="1" si="68"/>
        <v>45673</v>
      </c>
      <c r="C318" s="3" t="str">
        <f ca="1">INDEX(Customers!$A$2:$A$21,RANDBETWEEN(1,20))</f>
        <v>C020</v>
      </c>
      <c r="D318" s="3" t="str">
        <f ca="1">INDEX(Routes!$A$2:$A$31,RANDBETWEEN(1,30))</f>
        <v>R004</v>
      </c>
      <c r="E318" s="3" t="str">
        <f ca="1">INDEX(Vehicles!$A$2:$A$21,RANDBETWEEN(1,20))</f>
        <v>V018</v>
      </c>
      <c r="F318" s="3" t="str">
        <f ca="1">INDEX(Drivers!$A$2:$A$31,RANDBETWEEN(1,30))</f>
        <v>D008</v>
      </c>
      <c r="G318" s="3">
        <f t="shared" ca="1" si="69"/>
        <v>3.2</v>
      </c>
      <c r="H318" s="3">
        <f t="shared" ca="1" si="70"/>
        <v>18143</v>
      </c>
      <c r="I318" s="3">
        <f t="shared" ca="1" si="71"/>
        <v>5080</v>
      </c>
      <c r="J318" s="3">
        <f t="shared" ca="1" si="72"/>
        <v>2090</v>
      </c>
      <c r="K318" s="3">
        <f t="shared" ca="1" si="73"/>
        <v>22</v>
      </c>
      <c r="L318" s="3">
        <f t="shared" ca="1" si="74"/>
        <v>28</v>
      </c>
      <c r="M318" s="3">
        <f t="shared" ca="1" si="75"/>
        <v>6</v>
      </c>
      <c r="N318" s="3" t="str">
        <f t="shared" ca="1" si="76"/>
        <v>Delayed</v>
      </c>
      <c r="O318" s="3" t="str">
        <f t="shared" ca="1" si="77"/>
        <v>High</v>
      </c>
      <c r="P318" s="3">
        <f t="shared" ca="1" si="78"/>
        <v>10.7</v>
      </c>
      <c r="Q318" s="1" t="str">
        <f ca="1">VLOOKUP(D318,Routes!$A$2:$D$31,2,FALSE)</f>
        <v>Mumbai</v>
      </c>
      <c r="R318" s="1" t="str">
        <f ca="1">VLOOKUP(D318,Routes!$A$2:$D$31,3,FALSE)</f>
        <v>Bengaluru</v>
      </c>
      <c r="S318" s="3">
        <f ca="1">VLOOKUP(D318,Routes!$A$2:$D$31,4,FALSE)</f>
        <v>980</v>
      </c>
      <c r="T318" s="3" t="str">
        <f ca="1">VLOOKUP(E318,Vehicles!$A$2:$D$21,2,FALSE)</f>
        <v>Truck</v>
      </c>
      <c r="U318" s="3">
        <f ca="1">VLOOKUP(E318,Vehicles!$A$2:$D$21,3,FALSE)</f>
        <v>26</v>
      </c>
      <c r="V318" s="3" t="str">
        <f ca="1">VLOOKUP(E318,Vehicles!$A$2:$D$21,4,FALSE)</f>
        <v>Diesel</v>
      </c>
      <c r="W318" s="3">
        <f ca="1">VLOOKUP(V318,Fuel_Rates!$A$2:$B$3,2,FALSE)</f>
        <v>95</v>
      </c>
      <c r="X318" s="3">
        <f t="shared" ca="1" si="80"/>
        <v>18.510000000000002</v>
      </c>
      <c r="Y318" s="3">
        <f t="shared" ca="1" si="81"/>
        <v>25313</v>
      </c>
      <c r="Z318" s="3" t="str">
        <f t="shared" ca="1" si="82"/>
        <v>Jan</v>
      </c>
      <c r="AA318" s="3" t="str">
        <f t="shared" ca="1" si="83"/>
        <v>Q1</v>
      </c>
      <c r="AB318" s="4" t="str">
        <f t="shared" ca="1" si="84"/>
        <v>Long Haul</v>
      </c>
    </row>
    <row r="319" spans="1:28" x14ac:dyDescent="0.3">
      <c r="A319" s="8" t="str">
        <f t="shared" si="79"/>
        <v>S0318</v>
      </c>
      <c r="B319" s="3">
        <f t="shared" ca="1" si="68"/>
        <v>45849</v>
      </c>
      <c r="C319" s="3" t="str">
        <f ca="1">INDEX(Customers!$A$2:$A$21,RANDBETWEEN(1,20))</f>
        <v>C001</v>
      </c>
      <c r="D319" s="3" t="str">
        <f ca="1">INDEX(Routes!$A$2:$A$31,RANDBETWEEN(1,30))</f>
        <v>R019</v>
      </c>
      <c r="E319" s="3" t="str">
        <f ca="1">INDEX(Vehicles!$A$2:$A$21,RANDBETWEEN(1,20))</f>
        <v>V003</v>
      </c>
      <c r="F319" s="3" t="str">
        <f ca="1">INDEX(Drivers!$A$2:$A$31,RANDBETWEEN(1,30))</f>
        <v>D007</v>
      </c>
      <c r="G319" s="3">
        <f t="shared" ca="1" si="69"/>
        <v>25.9</v>
      </c>
      <c r="H319" s="3">
        <f t="shared" ca="1" si="70"/>
        <v>58830</v>
      </c>
      <c r="I319" s="3">
        <f t="shared" ca="1" si="71"/>
        <v>16472</v>
      </c>
      <c r="J319" s="3">
        <f t="shared" ca="1" si="72"/>
        <v>2567</v>
      </c>
      <c r="K319" s="3">
        <f t="shared" ca="1" si="73"/>
        <v>4</v>
      </c>
      <c r="L319" s="3">
        <f t="shared" ca="1" si="74"/>
        <v>10</v>
      </c>
      <c r="M319" s="3">
        <f t="shared" ca="1" si="75"/>
        <v>6</v>
      </c>
      <c r="N319" s="3" t="str">
        <f t="shared" ca="1" si="76"/>
        <v>Delayed</v>
      </c>
      <c r="O319" s="3" t="str">
        <f t="shared" ca="1" si="77"/>
        <v>High</v>
      </c>
      <c r="P319" s="3">
        <f t="shared" ca="1" si="78"/>
        <v>86.3</v>
      </c>
      <c r="Q319" s="1" t="str">
        <f ca="1">VLOOKUP(D319,Routes!$A$2:$D$31,2,FALSE)</f>
        <v>Ahmedabad</v>
      </c>
      <c r="R319" s="1" t="str">
        <f ca="1">VLOOKUP(D319,Routes!$A$2:$D$31,3,FALSE)</f>
        <v>Indore</v>
      </c>
      <c r="S319" s="3">
        <f ca="1">VLOOKUP(D319,Routes!$A$2:$D$31,4,FALSE)</f>
        <v>390</v>
      </c>
      <c r="T319" s="3" t="str">
        <f ca="1">VLOOKUP(E319,Vehicles!$A$2:$D$21,2,FALSE)</f>
        <v>Truck</v>
      </c>
      <c r="U319" s="3">
        <f ca="1">VLOOKUP(E319,Vehicles!$A$2:$D$21,3,FALSE)</f>
        <v>25</v>
      </c>
      <c r="V319" s="3" t="str">
        <f ca="1">VLOOKUP(E319,Vehicles!$A$2:$D$21,4,FALSE)</f>
        <v>Diesel</v>
      </c>
      <c r="W319" s="3">
        <f ca="1">VLOOKUP(V319,Fuel_Rates!$A$2:$B$3,2,FALSE)</f>
        <v>95</v>
      </c>
      <c r="X319" s="3">
        <f t="shared" ca="1" si="80"/>
        <v>150.85</v>
      </c>
      <c r="Y319" s="3">
        <f t="shared" ca="1" si="81"/>
        <v>77869</v>
      </c>
      <c r="Z319" s="3" t="str">
        <f t="shared" ca="1" si="82"/>
        <v>Jul</v>
      </c>
      <c r="AA319" s="3" t="str">
        <f t="shared" ca="1" si="83"/>
        <v>Q3</v>
      </c>
      <c r="AB319" s="4" t="str">
        <f t="shared" ca="1" si="84"/>
        <v>Medium Haul</v>
      </c>
    </row>
    <row r="320" spans="1:28" x14ac:dyDescent="0.3">
      <c r="A320" s="8" t="str">
        <f t="shared" si="79"/>
        <v>S0319</v>
      </c>
      <c r="B320" s="3">
        <f t="shared" ca="1" si="68"/>
        <v>45967</v>
      </c>
      <c r="C320" s="3" t="str">
        <f ca="1">INDEX(Customers!$A$2:$A$21,RANDBETWEEN(1,20))</f>
        <v>C001</v>
      </c>
      <c r="D320" s="3" t="str">
        <f ca="1">INDEX(Routes!$A$2:$A$31,RANDBETWEEN(1,30))</f>
        <v>R026</v>
      </c>
      <c r="E320" s="3" t="str">
        <f ca="1">INDEX(Vehicles!$A$2:$A$21,RANDBETWEEN(1,20))</f>
        <v>V011</v>
      </c>
      <c r="F320" s="3" t="str">
        <f ca="1">INDEX(Drivers!$A$2:$A$31,RANDBETWEEN(1,30))</f>
        <v>D028</v>
      </c>
      <c r="G320" s="3">
        <f t="shared" ca="1" si="69"/>
        <v>16.5</v>
      </c>
      <c r="H320" s="3">
        <f t="shared" ca="1" si="70"/>
        <v>36134</v>
      </c>
      <c r="I320" s="3">
        <f t="shared" ca="1" si="71"/>
        <v>10118</v>
      </c>
      <c r="J320" s="3">
        <f t="shared" ca="1" si="72"/>
        <v>3918</v>
      </c>
      <c r="K320" s="3">
        <f t="shared" ca="1" si="73"/>
        <v>8</v>
      </c>
      <c r="L320" s="3">
        <f t="shared" ca="1" si="74"/>
        <v>8</v>
      </c>
      <c r="M320" s="3">
        <f t="shared" ca="1" si="75"/>
        <v>0</v>
      </c>
      <c r="N320" s="3" t="str">
        <f t="shared" ca="1" si="76"/>
        <v>On Time</v>
      </c>
      <c r="O320" s="3" t="str">
        <f t="shared" ca="1" si="77"/>
        <v>Medium</v>
      </c>
      <c r="P320" s="3">
        <f t="shared" ca="1" si="78"/>
        <v>55</v>
      </c>
      <c r="Q320" s="1" t="str">
        <f ca="1">VLOOKUP(D320,Routes!$A$2:$D$31,2,FALSE)</f>
        <v>Nagpur</v>
      </c>
      <c r="R320" s="1" t="str">
        <f ca="1">VLOOKUP(D320,Routes!$A$2:$D$31,3,FALSE)</f>
        <v>Bhopal</v>
      </c>
      <c r="S320" s="3">
        <f ca="1">VLOOKUP(D320,Routes!$A$2:$D$31,4,FALSE)</f>
        <v>350</v>
      </c>
      <c r="T320" s="3" t="str">
        <f ca="1">VLOOKUP(E320,Vehicles!$A$2:$D$21,2,FALSE)</f>
        <v>Truck</v>
      </c>
      <c r="U320" s="3">
        <f ca="1">VLOOKUP(E320,Vehicles!$A$2:$D$21,3,FALSE)</f>
        <v>18</v>
      </c>
      <c r="V320" s="3" t="str">
        <f ca="1">VLOOKUP(E320,Vehicles!$A$2:$D$21,4,FALSE)</f>
        <v>CNG</v>
      </c>
      <c r="W320" s="3">
        <f ca="1">VLOOKUP(V320,Fuel_Rates!$A$2:$B$3,2,FALSE)</f>
        <v>78</v>
      </c>
      <c r="X320" s="3">
        <f t="shared" ca="1" si="80"/>
        <v>103.24</v>
      </c>
      <c r="Y320" s="3">
        <f t="shared" ca="1" si="81"/>
        <v>50170</v>
      </c>
      <c r="Z320" s="3" t="str">
        <f t="shared" ca="1" si="82"/>
        <v>Nov</v>
      </c>
      <c r="AA320" s="3" t="str">
        <f t="shared" ca="1" si="83"/>
        <v>Q4</v>
      </c>
      <c r="AB320" s="4" t="str">
        <f t="shared" ca="1" si="84"/>
        <v>Medium Haul</v>
      </c>
    </row>
    <row r="321" spans="1:28" x14ac:dyDescent="0.3">
      <c r="A321" s="8" t="str">
        <f t="shared" si="79"/>
        <v>S0320</v>
      </c>
      <c r="B321" s="3">
        <f t="shared" ca="1" si="68"/>
        <v>45675</v>
      </c>
      <c r="C321" s="3" t="str">
        <f ca="1">INDEX(Customers!$A$2:$A$21,RANDBETWEEN(1,20))</f>
        <v>C016</v>
      </c>
      <c r="D321" s="3" t="str">
        <f ca="1">INDEX(Routes!$A$2:$A$31,RANDBETWEEN(1,30))</f>
        <v>R006</v>
      </c>
      <c r="E321" s="3" t="str">
        <f ca="1">INDEX(Vehicles!$A$2:$A$21,RANDBETWEEN(1,20))</f>
        <v>V019</v>
      </c>
      <c r="F321" s="3" t="str">
        <f ca="1">INDEX(Drivers!$A$2:$A$31,RANDBETWEEN(1,30))</f>
        <v>D016</v>
      </c>
      <c r="G321" s="3">
        <f t="shared" ca="1" si="69"/>
        <v>20.399999999999999</v>
      </c>
      <c r="H321" s="3">
        <f t="shared" ca="1" si="70"/>
        <v>45448</v>
      </c>
      <c r="I321" s="3">
        <f t="shared" ca="1" si="71"/>
        <v>12725</v>
      </c>
      <c r="J321" s="3">
        <f t="shared" ca="1" si="72"/>
        <v>3677</v>
      </c>
      <c r="K321" s="3">
        <f t="shared" ca="1" si="73"/>
        <v>12</v>
      </c>
      <c r="L321" s="3">
        <f t="shared" ca="1" si="74"/>
        <v>19</v>
      </c>
      <c r="M321" s="3">
        <f t="shared" ca="1" si="75"/>
        <v>7</v>
      </c>
      <c r="N321" s="3" t="str">
        <f t="shared" ca="1" si="76"/>
        <v>Delayed</v>
      </c>
      <c r="O321" s="3" t="str">
        <f t="shared" ca="1" si="77"/>
        <v>High</v>
      </c>
      <c r="P321" s="3">
        <f t="shared" ca="1" si="78"/>
        <v>68</v>
      </c>
      <c r="Q321" s="1" t="str">
        <f ca="1">VLOOKUP(D321,Routes!$A$2:$D$31,2,FALSE)</f>
        <v>Delhi</v>
      </c>
      <c r="R321" s="1" t="str">
        <f ca="1">VLOOKUP(D321,Routes!$A$2:$D$31,3,FALSE)</f>
        <v>Lucknow</v>
      </c>
      <c r="S321" s="3">
        <f ca="1">VLOOKUP(D321,Routes!$A$2:$D$31,4,FALSE)</f>
        <v>550</v>
      </c>
      <c r="T321" s="3" t="str">
        <f ca="1">VLOOKUP(E321,Vehicles!$A$2:$D$21,2,FALSE)</f>
        <v>Trailer</v>
      </c>
      <c r="U321" s="3">
        <f ca="1">VLOOKUP(E321,Vehicles!$A$2:$D$21,3,FALSE)</f>
        <v>35</v>
      </c>
      <c r="V321" s="3" t="str">
        <f ca="1">VLOOKUP(E321,Vehicles!$A$2:$D$21,4,FALSE)</f>
        <v>Diesel</v>
      </c>
      <c r="W321" s="3">
        <f ca="1">VLOOKUP(V321,Fuel_Rates!$A$2:$B$3,2,FALSE)</f>
        <v>95</v>
      </c>
      <c r="X321" s="3">
        <f t="shared" ca="1" si="80"/>
        <v>82.63</v>
      </c>
      <c r="Y321" s="3">
        <f t="shared" ca="1" si="81"/>
        <v>61850</v>
      </c>
      <c r="Z321" s="3" t="str">
        <f t="shared" ca="1" si="82"/>
        <v>Jan</v>
      </c>
      <c r="AA321" s="3" t="str">
        <f t="shared" ca="1" si="83"/>
        <v>Q1</v>
      </c>
      <c r="AB321" s="4" t="str">
        <f t="shared" ca="1" si="84"/>
        <v>Medium Haul</v>
      </c>
    </row>
    <row r="322" spans="1:28" x14ac:dyDescent="0.3">
      <c r="A322" s="8" t="str">
        <f t="shared" si="79"/>
        <v>S0321</v>
      </c>
      <c r="B322" s="3">
        <f t="shared" ref="B322:B385" ca="1" si="85">DATE(2025,RANDBETWEEN(1,12),RANDBETWEEN(1,28))</f>
        <v>45980</v>
      </c>
      <c r="C322" s="3" t="str">
        <f ca="1">INDEX(Customers!$A$2:$A$21,RANDBETWEEN(1,20))</f>
        <v>C004</v>
      </c>
      <c r="D322" s="3" t="str">
        <f ca="1">INDEX(Routes!$A$2:$A$31,RANDBETWEEN(1,30))</f>
        <v>R016</v>
      </c>
      <c r="E322" s="3" t="str">
        <f ca="1">INDEX(Vehicles!$A$2:$A$21,RANDBETWEEN(1,20))</f>
        <v>V003</v>
      </c>
      <c r="F322" s="3" t="str">
        <f ca="1">INDEX(Drivers!$A$2:$A$31,RANDBETWEEN(1,30))</f>
        <v>D028</v>
      </c>
      <c r="G322" s="3">
        <f t="shared" ref="G322:G385" ca="1" si="86">ROUND(RANDBETWEEN(20,300)/10,1)</f>
        <v>21.2</v>
      </c>
      <c r="H322" s="3">
        <f t="shared" ref="H322:H385" ca="1" si="87">ROUND((G322*1800)+RANDBETWEEN(3000,15000),0)</f>
        <v>43025</v>
      </c>
      <c r="I322" s="3">
        <f t="shared" ref="I322:I385" ca="1" si="88">ROUND(H322*0.28,0)</f>
        <v>12047</v>
      </c>
      <c r="J322" s="3">
        <f t="shared" ref="J322:J385" ca="1" si="89">RANDBETWEEN(500,4000)</f>
        <v>1370</v>
      </c>
      <c r="K322" s="3">
        <f t="shared" ref="K322:K385" ca="1" si="90">RANDBETWEEN(4,48)</f>
        <v>18</v>
      </c>
      <c r="L322" s="3">
        <f t="shared" ref="L322:L385" ca="1" si="91">K322+RANDBETWEEN(0,8)</f>
        <v>23</v>
      </c>
      <c r="M322" s="3">
        <f t="shared" ref="M322:M385" ca="1" si="92">L322-K322</f>
        <v>5</v>
      </c>
      <c r="N322" s="3" t="str">
        <f t="shared" ref="N322:N385" ca="1" si="93">IF(M322&lt;=2,"On Time","Delayed")</f>
        <v>Delayed</v>
      </c>
      <c r="O322" s="3" t="str">
        <f t="shared" ref="O322:O385" ca="1" si="94">CHOOSE(RANDBETWEEN(1,3),"High","Medium","Low")</f>
        <v>High</v>
      </c>
      <c r="P322" s="3">
        <f t="shared" ref="P322:P385" ca="1" si="95">ROUND((G322/30)*100,1)</f>
        <v>70.7</v>
      </c>
      <c r="Q322" s="1" t="str">
        <f ca="1">VLOOKUP(D322,Routes!$A$2:$D$31,2,FALSE)</f>
        <v>Kolkata</v>
      </c>
      <c r="R322" s="1" t="str">
        <f ca="1">VLOOKUP(D322,Routes!$A$2:$D$31,3,FALSE)</f>
        <v>Bhubaneswar</v>
      </c>
      <c r="S322" s="3">
        <f ca="1">VLOOKUP(D322,Routes!$A$2:$D$31,4,FALSE)</f>
        <v>440</v>
      </c>
      <c r="T322" s="3" t="str">
        <f ca="1">VLOOKUP(E322,Vehicles!$A$2:$D$21,2,FALSE)</f>
        <v>Truck</v>
      </c>
      <c r="U322" s="3">
        <f ca="1">VLOOKUP(E322,Vehicles!$A$2:$D$21,3,FALSE)</f>
        <v>25</v>
      </c>
      <c r="V322" s="3" t="str">
        <f ca="1">VLOOKUP(E322,Vehicles!$A$2:$D$21,4,FALSE)</f>
        <v>Diesel</v>
      </c>
      <c r="W322" s="3">
        <f ca="1">VLOOKUP(V322,Fuel_Rates!$A$2:$B$3,2,FALSE)</f>
        <v>95</v>
      </c>
      <c r="X322" s="3">
        <f t="shared" ca="1" si="80"/>
        <v>97.78</v>
      </c>
      <c r="Y322" s="3">
        <f t="shared" ca="1" si="81"/>
        <v>56442</v>
      </c>
      <c r="Z322" s="3" t="str">
        <f t="shared" ca="1" si="82"/>
        <v>Nov</v>
      </c>
      <c r="AA322" s="3" t="str">
        <f t="shared" ca="1" si="83"/>
        <v>Q4</v>
      </c>
      <c r="AB322" s="4" t="str">
        <f t="shared" ca="1" si="84"/>
        <v>Medium Haul</v>
      </c>
    </row>
    <row r="323" spans="1:28" x14ac:dyDescent="0.3">
      <c r="A323" s="8" t="str">
        <f t="shared" ref="A323:A386" si="96">"S"&amp;TEXT(ROW()-1,"0000")</f>
        <v>S0322</v>
      </c>
      <c r="B323" s="3">
        <f t="shared" ca="1" si="85"/>
        <v>45691</v>
      </c>
      <c r="C323" s="3" t="str">
        <f ca="1">INDEX(Customers!$A$2:$A$21,RANDBETWEEN(1,20))</f>
        <v>C018</v>
      </c>
      <c r="D323" s="3" t="str">
        <f ca="1">INDEX(Routes!$A$2:$A$31,RANDBETWEEN(1,30))</f>
        <v>R028</v>
      </c>
      <c r="E323" s="3" t="str">
        <f ca="1">INDEX(Vehicles!$A$2:$A$21,RANDBETWEEN(1,20))</f>
        <v>V006</v>
      </c>
      <c r="F323" s="3" t="str">
        <f ca="1">INDEX(Drivers!$A$2:$A$31,RANDBETWEEN(1,30))</f>
        <v>D011</v>
      </c>
      <c r="G323" s="3">
        <f t="shared" ca="1" si="86"/>
        <v>9.5</v>
      </c>
      <c r="H323" s="3">
        <f t="shared" ca="1" si="87"/>
        <v>27302</v>
      </c>
      <c r="I323" s="3">
        <f t="shared" ca="1" si="88"/>
        <v>7645</v>
      </c>
      <c r="J323" s="3">
        <f t="shared" ca="1" si="89"/>
        <v>3438</v>
      </c>
      <c r="K323" s="3">
        <f t="shared" ca="1" si="90"/>
        <v>8</v>
      </c>
      <c r="L323" s="3">
        <f t="shared" ca="1" si="91"/>
        <v>11</v>
      </c>
      <c r="M323" s="3">
        <f t="shared" ca="1" si="92"/>
        <v>3</v>
      </c>
      <c r="N323" s="3" t="str">
        <f t="shared" ca="1" si="93"/>
        <v>Delayed</v>
      </c>
      <c r="O323" s="3" t="str">
        <f t="shared" ca="1" si="94"/>
        <v>Low</v>
      </c>
      <c r="P323" s="3">
        <f t="shared" ca="1" si="95"/>
        <v>31.7</v>
      </c>
      <c r="Q323" s="1" t="str">
        <f ca="1">VLOOKUP(D323,Routes!$A$2:$D$31,2,FALSE)</f>
        <v>Indore</v>
      </c>
      <c r="R323" s="1" t="str">
        <f ca="1">VLOOKUP(D323,Routes!$A$2:$D$31,3,FALSE)</f>
        <v>Mumbai</v>
      </c>
      <c r="S323" s="3">
        <f ca="1">VLOOKUP(D323,Routes!$A$2:$D$31,4,FALSE)</f>
        <v>590</v>
      </c>
      <c r="T323" s="3" t="str">
        <f ca="1">VLOOKUP(E323,Vehicles!$A$2:$D$21,2,FALSE)</f>
        <v>Container</v>
      </c>
      <c r="U323" s="3">
        <f ca="1">VLOOKUP(E323,Vehicles!$A$2:$D$21,3,FALSE)</f>
        <v>18</v>
      </c>
      <c r="V323" s="3" t="str">
        <f ca="1">VLOOKUP(E323,Vehicles!$A$2:$D$21,4,FALSE)</f>
        <v>Diesel</v>
      </c>
      <c r="W323" s="3">
        <f ca="1">VLOOKUP(V323,Fuel_Rates!$A$2:$B$3,2,FALSE)</f>
        <v>95</v>
      </c>
      <c r="X323" s="3">
        <f t="shared" ref="X323:X386" ca="1" si="97">ROUND(H323/S323,2)</f>
        <v>46.27</v>
      </c>
      <c r="Y323" s="3">
        <f t="shared" ref="Y323:Y386" ca="1" si="98">H323+I323+J323</f>
        <v>38385</v>
      </c>
      <c r="Z323" s="3" t="str">
        <f t="shared" ref="Z323:Z386" ca="1" si="99">TEXT(B323,"mmm")</f>
        <v>Feb</v>
      </c>
      <c r="AA323" s="3" t="str">
        <f t="shared" ref="AA323:AA386" ca="1" si="100">"Q"&amp;ROUNDUP(MONTH(B323)/3,0)</f>
        <v>Q1</v>
      </c>
      <c r="AB323" s="4" t="str">
        <f t="shared" ref="AB323:AB386" ca="1" si="101">IF(S323&lt;300,"Short Haul",IF(S323&lt;800,"Medium Haul","Long Haul"))</f>
        <v>Medium Haul</v>
      </c>
    </row>
    <row r="324" spans="1:28" x14ac:dyDescent="0.3">
      <c r="A324" s="8" t="str">
        <f t="shared" si="96"/>
        <v>S0323</v>
      </c>
      <c r="B324" s="3">
        <f t="shared" ca="1" si="85"/>
        <v>46016</v>
      </c>
      <c r="C324" s="3" t="str">
        <f ca="1">INDEX(Customers!$A$2:$A$21,RANDBETWEEN(1,20))</f>
        <v>C002</v>
      </c>
      <c r="D324" s="3" t="str">
        <f ca="1">INDEX(Routes!$A$2:$A$31,RANDBETWEEN(1,30))</f>
        <v>R030</v>
      </c>
      <c r="E324" s="3" t="str">
        <f ca="1">INDEX(Vehicles!$A$2:$A$21,RANDBETWEEN(1,20))</f>
        <v>V017</v>
      </c>
      <c r="F324" s="3" t="str">
        <f ca="1">INDEX(Drivers!$A$2:$A$31,RANDBETWEEN(1,30))</f>
        <v>D017</v>
      </c>
      <c r="G324" s="3">
        <f t="shared" ca="1" si="86"/>
        <v>8.8000000000000007</v>
      </c>
      <c r="H324" s="3">
        <f t="shared" ca="1" si="87"/>
        <v>27887</v>
      </c>
      <c r="I324" s="3">
        <f t="shared" ca="1" si="88"/>
        <v>7808</v>
      </c>
      <c r="J324" s="3">
        <f t="shared" ca="1" si="89"/>
        <v>3391</v>
      </c>
      <c r="K324" s="3">
        <f t="shared" ca="1" si="90"/>
        <v>29</v>
      </c>
      <c r="L324" s="3">
        <f t="shared" ca="1" si="91"/>
        <v>36</v>
      </c>
      <c r="M324" s="3">
        <f t="shared" ca="1" si="92"/>
        <v>7</v>
      </c>
      <c r="N324" s="3" t="str">
        <f t="shared" ca="1" si="93"/>
        <v>Delayed</v>
      </c>
      <c r="O324" s="3" t="str">
        <f t="shared" ca="1" si="94"/>
        <v>High</v>
      </c>
      <c r="P324" s="3">
        <f t="shared" ca="1" si="95"/>
        <v>29.3</v>
      </c>
      <c r="Q324" s="1" t="str">
        <f ca="1">VLOOKUP(D324,Routes!$A$2:$D$31,2,FALSE)</f>
        <v>Bhubaneswar</v>
      </c>
      <c r="R324" s="1" t="str">
        <f ca="1">VLOOKUP(D324,Routes!$A$2:$D$31,3,FALSE)</f>
        <v>Kolkata</v>
      </c>
      <c r="S324" s="3">
        <f ca="1">VLOOKUP(D324,Routes!$A$2:$D$31,4,FALSE)</f>
        <v>440</v>
      </c>
      <c r="T324" s="3" t="str">
        <f ca="1">VLOOKUP(E324,Vehicles!$A$2:$D$21,2,FALSE)</f>
        <v>Truck</v>
      </c>
      <c r="U324" s="3">
        <f ca="1">VLOOKUP(E324,Vehicles!$A$2:$D$21,3,FALSE)</f>
        <v>24</v>
      </c>
      <c r="V324" s="3" t="str">
        <f ca="1">VLOOKUP(E324,Vehicles!$A$2:$D$21,4,FALSE)</f>
        <v>Diesel</v>
      </c>
      <c r="W324" s="3">
        <f ca="1">VLOOKUP(V324,Fuel_Rates!$A$2:$B$3,2,FALSE)</f>
        <v>95</v>
      </c>
      <c r="X324" s="3">
        <f t="shared" ca="1" si="97"/>
        <v>63.38</v>
      </c>
      <c r="Y324" s="3">
        <f t="shared" ca="1" si="98"/>
        <v>39086</v>
      </c>
      <c r="Z324" s="3" t="str">
        <f t="shared" ca="1" si="99"/>
        <v>Dec</v>
      </c>
      <c r="AA324" s="3" t="str">
        <f t="shared" ca="1" si="100"/>
        <v>Q4</v>
      </c>
      <c r="AB324" s="4" t="str">
        <f t="shared" ca="1" si="101"/>
        <v>Medium Haul</v>
      </c>
    </row>
    <row r="325" spans="1:28" x14ac:dyDescent="0.3">
      <c r="A325" s="8" t="str">
        <f t="shared" si="96"/>
        <v>S0324</v>
      </c>
      <c r="B325" s="3">
        <f t="shared" ca="1" si="85"/>
        <v>45752</v>
      </c>
      <c r="C325" s="3" t="str">
        <f ca="1">INDEX(Customers!$A$2:$A$21,RANDBETWEEN(1,20))</f>
        <v>C008</v>
      </c>
      <c r="D325" s="3" t="str">
        <f ca="1">INDEX(Routes!$A$2:$A$31,RANDBETWEEN(1,30))</f>
        <v>R027</v>
      </c>
      <c r="E325" s="3" t="str">
        <f ca="1">INDEX(Vehicles!$A$2:$A$21,RANDBETWEEN(1,20))</f>
        <v>V013</v>
      </c>
      <c r="F325" s="3" t="str">
        <f ca="1">INDEX(Drivers!$A$2:$A$31,RANDBETWEEN(1,30))</f>
        <v>D013</v>
      </c>
      <c r="G325" s="3">
        <f t="shared" ca="1" si="86"/>
        <v>27</v>
      </c>
      <c r="H325" s="3">
        <f t="shared" ca="1" si="87"/>
        <v>54340</v>
      </c>
      <c r="I325" s="3">
        <f t="shared" ca="1" si="88"/>
        <v>15215</v>
      </c>
      <c r="J325" s="3">
        <f t="shared" ca="1" si="89"/>
        <v>2627</v>
      </c>
      <c r="K325" s="3">
        <f t="shared" ca="1" si="90"/>
        <v>25</v>
      </c>
      <c r="L325" s="3">
        <f t="shared" ca="1" si="91"/>
        <v>27</v>
      </c>
      <c r="M325" s="3">
        <f t="shared" ca="1" si="92"/>
        <v>2</v>
      </c>
      <c r="N325" s="3" t="str">
        <f t="shared" ca="1" si="93"/>
        <v>On Time</v>
      </c>
      <c r="O325" s="3" t="str">
        <f t="shared" ca="1" si="94"/>
        <v>Medium</v>
      </c>
      <c r="P325" s="3">
        <f t="shared" ca="1" si="95"/>
        <v>90</v>
      </c>
      <c r="Q325" s="1" t="str">
        <f ca="1">VLOOKUP(D325,Routes!$A$2:$D$31,2,FALSE)</f>
        <v>Patna</v>
      </c>
      <c r="R325" s="1" t="str">
        <f ca="1">VLOOKUP(D325,Routes!$A$2:$D$31,3,FALSE)</f>
        <v>Ranchi</v>
      </c>
      <c r="S325" s="3">
        <f ca="1">VLOOKUP(D325,Routes!$A$2:$D$31,4,FALSE)</f>
        <v>330</v>
      </c>
      <c r="T325" s="3" t="str">
        <f ca="1">VLOOKUP(E325,Vehicles!$A$2:$D$21,2,FALSE)</f>
        <v>LCV</v>
      </c>
      <c r="U325" s="3">
        <f ca="1">VLOOKUP(E325,Vehicles!$A$2:$D$21,3,FALSE)</f>
        <v>4</v>
      </c>
      <c r="V325" s="3" t="str">
        <f ca="1">VLOOKUP(E325,Vehicles!$A$2:$D$21,4,FALSE)</f>
        <v>CNG</v>
      </c>
      <c r="W325" s="3">
        <f ca="1">VLOOKUP(V325,Fuel_Rates!$A$2:$B$3,2,FALSE)</f>
        <v>78</v>
      </c>
      <c r="X325" s="3">
        <f t="shared" ca="1" si="97"/>
        <v>164.67</v>
      </c>
      <c r="Y325" s="3">
        <f t="shared" ca="1" si="98"/>
        <v>72182</v>
      </c>
      <c r="Z325" s="3" t="str">
        <f t="shared" ca="1" si="99"/>
        <v>Apr</v>
      </c>
      <c r="AA325" s="3" t="str">
        <f t="shared" ca="1" si="100"/>
        <v>Q2</v>
      </c>
      <c r="AB325" s="4" t="str">
        <f t="shared" ca="1" si="101"/>
        <v>Medium Haul</v>
      </c>
    </row>
    <row r="326" spans="1:28" x14ac:dyDescent="0.3">
      <c r="A326" s="8" t="str">
        <f t="shared" si="96"/>
        <v>S0325</v>
      </c>
      <c r="B326" s="3">
        <f t="shared" ca="1" si="85"/>
        <v>45903</v>
      </c>
      <c r="C326" s="3" t="str">
        <f ca="1">INDEX(Customers!$A$2:$A$21,RANDBETWEEN(1,20))</f>
        <v>C011</v>
      </c>
      <c r="D326" s="3" t="str">
        <f ca="1">INDEX(Routes!$A$2:$A$31,RANDBETWEEN(1,30))</f>
        <v>R027</v>
      </c>
      <c r="E326" s="3" t="str">
        <f ca="1">INDEX(Vehicles!$A$2:$A$21,RANDBETWEEN(1,20))</f>
        <v>V013</v>
      </c>
      <c r="F326" s="3" t="str">
        <f ca="1">INDEX(Drivers!$A$2:$A$31,RANDBETWEEN(1,30))</f>
        <v>D004</v>
      </c>
      <c r="G326" s="3">
        <f t="shared" ca="1" si="86"/>
        <v>8.6</v>
      </c>
      <c r="H326" s="3">
        <f t="shared" ca="1" si="87"/>
        <v>26969</v>
      </c>
      <c r="I326" s="3">
        <f t="shared" ca="1" si="88"/>
        <v>7551</v>
      </c>
      <c r="J326" s="3">
        <f t="shared" ca="1" si="89"/>
        <v>2054</v>
      </c>
      <c r="K326" s="3">
        <f t="shared" ca="1" si="90"/>
        <v>4</v>
      </c>
      <c r="L326" s="3">
        <f t="shared" ca="1" si="91"/>
        <v>10</v>
      </c>
      <c r="M326" s="3">
        <f t="shared" ca="1" si="92"/>
        <v>6</v>
      </c>
      <c r="N326" s="3" t="str">
        <f t="shared" ca="1" si="93"/>
        <v>Delayed</v>
      </c>
      <c r="O326" s="3" t="str">
        <f t="shared" ca="1" si="94"/>
        <v>High</v>
      </c>
      <c r="P326" s="3">
        <f t="shared" ca="1" si="95"/>
        <v>28.7</v>
      </c>
      <c r="Q326" s="1" t="str">
        <f ca="1">VLOOKUP(D326,Routes!$A$2:$D$31,2,FALSE)</f>
        <v>Patna</v>
      </c>
      <c r="R326" s="1" t="str">
        <f ca="1">VLOOKUP(D326,Routes!$A$2:$D$31,3,FALSE)</f>
        <v>Ranchi</v>
      </c>
      <c r="S326" s="3">
        <f ca="1">VLOOKUP(D326,Routes!$A$2:$D$31,4,FALSE)</f>
        <v>330</v>
      </c>
      <c r="T326" s="3" t="str">
        <f ca="1">VLOOKUP(E326,Vehicles!$A$2:$D$21,2,FALSE)</f>
        <v>LCV</v>
      </c>
      <c r="U326" s="3">
        <f ca="1">VLOOKUP(E326,Vehicles!$A$2:$D$21,3,FALSE)</f>
        <v>4</v>
      </c>
      <c r="V326" s="3" t="str">
        <f ca="1">VLOOKUP(E326,Vehicles!$A$2:$D$21,4,FALSE)</f>
        <v>CNG</v>
      </c>
      <c r="W326" s="3">
        <f ca="1">VLOOKUP(V326,Fuel_Rates!$A$2:$B$3,2,FALSE)</f>
        <v>78</v>
      </c>
      <c r="X326" s="3">
        <f t="shared" ca="1" si="97"/>
        <v>81.72</v>
      </c>
      <c r="Y326" s="3">
        <f t="shared" ca="1" si="98"/>
        <v>36574</v>
      </c>
      <c r="Z326" s="3" t="str">
        <f t="shared" ca="1" si="99"/>
        <v>Sep</v>
      </c>
      <c r="AA326" s="3" t="str">
        <f t="shared" ca="1" si="100"/>
        <v>Q3</v>
      </c>
      <c r="AB326" s="4" t="str">
        <f t="shared" ca="1" si="101"/>
        <v>Medium Haul</v>
      </c>
    </row>
    <row r="327" spans="1:28" x14ac:dyDescent="0.3">
      <c r="A327" s="8" t="str">
        <f t="shared" si="96"/>
        <v>S0326</v>
      </c>
      <c r="B327" s="3">
        <f t="shared" ca="1" si="85"/>
        <v>45675</v>
      </c>
      <c r="C327" s="3" t="str">
        <f ca="1">INDEX(Customers!$A$2:$A$21,RANDBETWEEN(1,20))</f>
        <v>C002</v>
      </c>
      <c r="D327" s="3" t="str">
        <f ca="1">INDEX(Routes!$A$2:$A$31,RANDBETWEEN(1,30))</f>
        <v>R013</v>
      </c>
      <c r="E327" s="3" t="str">
        <f ca="1">INDEX(Vehicles!$A$2:$A$21,RANDBETWEEN(1,20))</f>
        <v>V015</v>
      </c>
      <c r="F327" s="3" t="str">
        <f ca="1">INDEX(Drivers!$A$2:$A$31,RANDBETWEEN(1,30))</f>
        <v>D027</v>
      </c>
      <c r="G327" s="3">
        <f t="shared" ca="1" si="86"/>
        <v>17.2</v>
      </c>
      <c r="H327" s="3">
        <f t="shared" ca="1" si="87"/>
        <v>45693</v>
      </c>
      <c r="I327" s="3">
        <f t="shared" ca="1" si="88"/>
        <v>12794</v>
      </c>
      <c r="J327" s="3">
        <f t="shared" ca="1" si="89"/>
        <v>1873</v>
      </c>
      <c r="K327" s="3">
        <f t="shared" ca="1" si="90"/>
        <v>33</v>
      </c>
      <c r="L327" s="3">
        <f t="shared" ca="1" si="91"/>
        <v>41</v>
      </c>
      <c r="M327" s="3">
        <f t="shared" ca="1" si="92"/>
        <v>8</v>
      </c>
      <c r="N327" s="3" t="str">
        <f t="shared" ca="1" si="93"/>
        <v>Delayed</v>
      </c>
      <c r="O327" s="3" t="str">
        <f t="shared" ca="1" si="94"/>
        <v>Low</v>
      </c>
      <c r="P327" s="3">
        <f t="shared" ca="1" si="95"/>
        <v>57.3</v>
      </c>
      <c r="Q327" s="1" t="str">
        <f ca="1">VLOOKUP(D327,Routes!$A$2:$D$31,2,FALSE)</f>
        <v>Chennai</v>
      </c>
      <c r="R327" s="1" t="str">
        <f ca="1">VLOOKUP(D327,Routes!$A$2:$D$31,3,FALSE)</f>
        <v>Hyderabad</v>
      </c>
      <c r="S327" s="3">
        <f ca="1">VLOOKUP(D327,Routes!$A$2:$D$31,4,FALSE)</f>
        <v>630</v>
      </c>
      <c r="T327" s="3" t="str">
        <f ca="1">VLOOKUP(E327,Vehicles!$A$2:$D$21,2,FALSE)</f>
        <v>Trailer</v>
      </c>
      <c r="U327" s="3">
        <f ca="1">VLOOKUP(E327,Vehicles!$A$2:$D$21,3,FALSE)</f>
        <v>30</v>
      </c>
      <c r="V327" s="3" t="str">
        <f ca="1">VLOOKUP(E327,Vehicles!$A$2:$D$21,4,FALSE)</f>
        <v>Diesel</v>
      </c>
      <c r="W327" s="3">
        <f ca="1">VLOOKUP(V327,Fuel_Rates!$A$2:$B$3,2,FALSE)</f>
        <v>95</v>
      </c>
      <c r="X327" s="3">
        <f t="shared" ca="1" si="97"/>
        <v>72.53</v>
      </c>
      <c r="Y327" s="3">
        <f t="shared" ca="1" si="98"/>
        <v>60360</v>
      </c>
      <c r="Z327" s="3" t="str">
        <f t="shared" ca="1" si="99"/>
        <v>Jan</v>
      </c>
      <c r="AA327" s="3" t="str">
        <f t="shared" ca="1" si="100"/>
        <v>Q1</v>
      </c>
      <c r="AB327" s="4" t="str">
        <f t="shared" ca="1" si="101"/>
        <v>Medium Haul</v>
      </c>
    </row>
    <row r="328" spans="1:28" x14ac:dyDescent="0.3">
      <c r="A328" s="8" t="str">
        <f t="shared" si="96"/>
        <v>S0327</v>
      </c>
      <c r="B328" s="3">
        <f t="shared" ca="1" si="85"/>
        <v>45927</v>
      </c>
      <c r="C328" s="3" t="str">
        <f ca="1">INDEX(Customers!$A$2:$A$21,RANDBETWEEN(1,20))</f>
        <v>C004</v>
      </c>
      <c r="D328" s="3" t="str">
        <f ca="1">INDEX(Routes!$A$2:$A$31,RANDBETWEEN(1,30))</f>
        <v>R011</v>
      </c>
      <c r="E328" s="3" t="str">
        <f ca="1">INDEX(Vehicles!$A$2:$A$21,RANDBETWEEN(1,20))</f>
        <v>V016</v>
      </c>
      <c r="F328" s="3" t="str">
        <f ca="1">INDEX(Drivers!$A$2:$A$31,RANDBETWEEN(1,30))</f>
        <v>D013</v>
      </c>
      <c r="G328" s="3">
        <f t="shared" ca="1" si="86"/>
        <v>24.9</v>
      </c>
      <c r="H328" s="3">
        <f t="shared" ca="1" si="87"/>
        <v>52667</v>
      </c>
      <c r="I328" s="3">
        <f t="shared" ca="1" si="88"/>
        <v>14747</v>
      </c>
      <c r="J328" s="3">
        <f t="shared" ca="1" si="89"/>
        <v>2099</v>
      </c>
      <c r="K328" s="3">
        <f t="shared" ca="1" si="90"/>
        <v>11</v>
      </c>
      <c r="L328" s="3">
        <f t="shared" ca="1" si="91"/>
        <v>18</v>
      </c>
      <c r="M328" s="3">
        <f t="shared" ca="1" si="92"/>
        <v>7</v>
      </c>
      <c r="N328" s="3" t="str">
        <f t="shared" ca="1" si="93"/>
        <v>Delayed</v>
      </c>
      <c r="O328" s="3" t="str">
        <f t="shared" ca="1" si="94"/>
        <v>Medium</v>
      </c>
      <c r="P328" s="3">
        <f t="shared" ca="1" si="95"/>
        <v>83</v>
      </c>
      <c r="Q328" s="1" t="str">
        <f ca="1">VLOOKUP(D328,Routes!$A$2:$D$31,2,FALSE)</f>
        <v>Bengaluru</v>
      </c>
      <c r="R328" s="1" t="str">
        <f ca="1">VLOOKUP(D328,Routes!$A$2:$D$31,3,FALSE)</f>
        <v>Kochi</v>
      </c>
      <c r="S328" s="3">
        <f ca="1">VLOOKUP(D328,Routes!$A$2:$D$31,4,FALSE)</f>
        <v>550</v>
      </c>
      <c r="T328" s="3" t="str">
        <f ca="1">VLOOKUP(E328,Vehicles!$A$2:$D$21,2,FALSE)</f>
        <v>Container</v>
      </c>
      <c r="U328" s="3">
        <f ca="1">VLOOKUP(E328,Vehicles!$A$2:$D$21,3,FALSE)</f>
        <v>22</v>
      </c>
      <c r="V328" s="3" t="str">
        <f ca="1">VLOOKUP(E328,Vehicles!$A$2:$D$21,4,FALSE)</f>
        <v>Diesel</v>
      </c>
      <c r="W328" s="3">
        <f ca="1">VLOOKUP(V328,Fuel_Rates!$A$2:$B$3,2,FALSE)</f>
        <v>95</v>
      </c>
      <c r="X328" s="3">
        <f t="shared" ca="1" si="97"/>
        <v>95.76</v>
      </c>
      <c r="Y328" s="3">
        <f t="shared" ca="1" si="98"/>
        <v>69513</v>
      </c>
      <c r="Z328" s="3" t="str">
        <f t="shared" ca="1" si="99"/>
        <v>Sep</v>
      </c>
      <c r="AA328" s="3" t="str">
        <f t="shared" ca="1" si="100"/>
        <v>Q3</v>
      </c>
      <c r="AB328" s="4" t="str">
        <f t="shared" ca="1" si="101"/>
        <v>Medium Haul</v>
      </c>
    </row>
    <row r="329" spans="1:28" x14ac:dyDescent="0.3">
      <c r="A329" s="8" t="str">
        <f t="shared" si="96"/>
        <v>S0328</v>
      </c>
      <c r="B329" s="3">
        <f t="shared" ca="1" si="85"/>
        <v>45774</v>
      </c>
      <c r="C329" s="3" t="str">
        <f ca="1">INDEX(Customers!$A$2:$A$21,RANDBETWEEN(1,20))</f>
        <v>C010</v>
      </c>
      <c r="D329" s="3" t="str">
        <f ca="1">INDEX(Routes!$A$2:$A$31,RANDBETWEEN(1,30))</f>
        <v>R019</v>
      </c>
      <c r="E329" s="3" t="str">
        <f ca="1">INDEX(Vehicles!$A$2:$A$21,RANDBETWEEN(1,20))</f>
        <v>V011</v>
      </c>
      <c r="F329" s="3" t="str">
        <f ca="1">INDEX(Drivers!$A$2:$A$31,RANDBETWEEN(1,30))</f>
        <v>D023</v>
      </c>
      <c r="G329" s="3">
        <f t="shared" ca="1" si="86"/>
        <v>22.8</v>
      </c>
      <c r="H329" s="3">
        <f t="shared" ca="1" si="87"/>
        <v>45656</v>
      </c>
      <c r="I329" s="3">
        <f t="shared" ca="1" si="88"/>
        <v>12784</v>
      </c>
      <c r="J329" s="3">
        <f t="shared" ca="1" si="89"/>
        <v>1217</v>
      </c>
      <c r="K329" s="3">
        <f t="shared" ca="1" si="90"/>
        <v>39</v>
      </c>
      <c r="L329" s="3">
        <f t="shared" ca="1" si="91"/>
        <v>41</v>
      </c>
      <c r="M329" s="3">
        <f t="shared" ca="1" si="92"/>
        <v>2</v>
      </c>
      <c r="N329" s="3" t="str">
        <f t="shared" ca="1" si="93"/>
        <v>On Time</v>
      </c>
      <c r="O329" s="3" t="str">
        <f t="shared" ca="1" si="94"/>
        <v>Medium</v>
      </c>
      <c r="P329" s="3">
        <f t="shared" ca="1" si="95"/>
        <v>76</v>
      </c>
      <c r="Q329" s="1" t="str">
        <f ca="1">VLOOKUP(D329,Routes!$A$2:$D$31,2,FALSE)</f>
        <v>Ahmedabad</v>
      </c>
      <c r="R329" s="1" t="str">
        <f ca="1">VLOOKUP(D329,Routes!$A$2:$D$31,3,FALSE)</f>
        <v>Indore</v>
      </c>
      <c r="S329" s="3">
        <f ca="1">VLOOKUP(D329,Routes!$A$2:$D$31,4,FALSE)</f>
        <v>390</v>
      </c>
      <c r="T329" s="3" t="str">
        <f ca="1">VLOOKUP(E329,Vehicles!$A$2:$D$21,2,FALSE)</f>
        <v>Truck</v>
      </c>
      <c r="U329" s="3">
        <f ca="1">VLOOKUP(E329,Vehicles!$A$2:$D$21,3,FALSE)</f>
        <v>18</v>
      </c>
      <c r="V329" s="3" t="str">
        <f ca="1">VLOOKUP(E329,Vehicles!$A$2:$D$21,4,FALSE)</f>
        <v>CNG</v>
      </c>
      <c r="W329" s="3">
        <f ca="1">VLOOKUP(V329,Fuel_Rates!$A$2:$B$3,2,FALSE)</f>
        <v>78</v>
      </c>
      <c r="X329" s="3">
        <f t="shared" ca="1" si="97"/>
        <v>117.07</v>
      </c>
      <c r="Y329" s="3">
        <f t="shared" ca="1" si="98"/>
        <v>59657</v>
      </c>
      <c r="Z329" s="3" t="str">
        <f t="shared" ca="1" si="99"/>
        <v>Apr</v>
      </c>
      <c r="AA329" s="3" t="str">
        <f t="shared" ca="1" si="100"/>
        <v>Q2</v>
      </c>
      <c r="AB329" s="4" t="str">
        <f t="shared" ca="1" si="101"/>
        <v>Medium Haul</v>
      </c>
    </row>
    <row r="330" spans="1:28" x14ac:dyDescent="0.3">
      <c r="A330" s="8" t="str">
        <f t="shared" si="96"/>
        <v>S0329</v>
      </c>
      <c r="B330" s="3">
        <f t="shared" ca="1" si="85"/>
        <v>45931</v>
      </c>
      <c r="C330" s="3" t="str">
        <f ca="1">INDEX(Customers!$A$2:$A$21,RANDBETWEEN(1,20))</f>
        <v>C018</v>
      </c>
      <c r="D330" s="3" t="str">
        <f ca="1">INDEX(Routes!$A$2:$A$31,RANDBETWEEN(1,30))</f>
        <v>R019</v>
      </c>
      <c r="E330" s="3" t="str">
        <f ca="1">INDEX(Vehicles!$A$2:$A$21,RANDBETWEEN(1,20))</f>
        <v>V001</v>
      </c>
      <c r="F330" s="3" t="str">
        <f ca="1">INDEX(Drivers!$A$2:$A$31,RANDBETWEEN(1,30))</f>
        <v>D027</v>
      </c>
      <c r="G330" s="3">
        <f t="shared" ca="1" si="86"/>
        <v>3.6</v>
      </c>
      <c r="H330" s="3">
        <f t="shared" ca="1" si="87"/>
        <v>13320</v>
      </c>
      <c r="I330" s="3">
        <f t="shared" ca="1" si="88"/>
        <v>3730</v>
      </c>
      <c r="J330" s="3">
        <f t="shared" ca="1" si="89"/>
        <v>1912</v>
      </c>
      <c r="K330" s="3">
        <f t="shared" ca="1" si="90"/>
        <v>27</v>
      </c>
      <c r="L330" s="3">
        <f t="shared" ca="1" si="91"/>
        <v>30</v>
      </c>
      <c r="M330" s="3">
        <f t="shared" ca="1" si="92"/>
        <v>3</v>
      </c>
      <c r="N330" s="3" t="str">
        <f t="shared" ca="1" si="93"/>
        <v>Delayed</v>
      </c>
      <c r="O330" s="3" t="str">
        <f t="shared" ca="1" si="94"/>
        <v>Low</v>
      </c>
      <c r="P330" s="3">
        <f t="shared" ca="1" si="95"/>
        <v>12</v>
      </c>
      <c r="Q330" s="1" t="str">
        <f ca="1">VLOOKUP(D330,Routes!$A$2:$D$31,2,FALSE)</f>
        <v>Ahmedabad</v>
      </c>
      <c r="R330" s="1" t="str">
        <f ca="1">VLOOKUP(D330,Routes!$A$2:$D$31,3,FALSE)</f>
        <v>Indore</v>
      </c>
      <c r="S330" s="3">
        <f ca="1">VLOOKUP(D330,Routes!$A$2:$D$31,4,FALSE)</f>
        <v>390</v>
      </c>
      <c r="T330" s="3" t="str">
        <f ca="1">VLOOKUP(E330,Vehicles!$A$2:$D$21,2,FALSE)</f>
        <v>Truck</v>
      </c>
      <c r="U330" s="3">
        <f ca="1">VLOOKUP(E330,Vehicles!$A$2:$D$21,3,FALSE)</f>
        <v>16</v>
      </c>
      <c r="V330" s="3" t="str">
        <f ca="1">VLOOKUP(E330,Vehicles!$A$2:$D$21,4,FALSE)</f>
        <v>Diesel</v>
      </c>
      <c r="W330" s="3">
        <f ca="1">VLOOKUP(V330,Fuel_Rates!$A$2:$B$3,2,FALSE)</f>
        <v>95</v>
      </c>
      <c r="X330" s="3">
        <f t="shared" ca="1" si="97"/>
        <v>34.15</v>
      </c>
      <c r="Y330" s="3">
        <f t="shared" ca="1" si="98"/>
        <v>18962</v>
      </c>
      <c r="Z330" s="3" t="str">
        <f t="shared" ca="1" si="99"/>
        <v>Oct</v>
      </c>
      <c r="AA330" s="3" t="str">
        <f t="shared" ca="1" si="100"/>
        <v>Q4</v>
      </c>
      <c r="AB330" s="4" t="str">
        <f t="shared" ca="1" si="101"/>
        <v>Medium Haul</v>
      </c>
    </row>
    <row r="331" spans="1:28" x14ac:dyDescent="0.3">
      <c r="A331" s="8" t="str">
        <f t="shared" si="96"/>
        <v>S0330</v>
      </c>
      <c r="B331" s="3">
        <f t="shared" ca="1" si="85"/>
        <v>45803</v>
      </c>
      <c r="C331" s="3" t="str">
        <f ca="1">INDEX(Customers!$A$2:$A$21,RANDBETWEEN(1,20))</f>
        <v>C009</v>
      </c>
      <c r="D331" s="3" t="str">
        <f ca="1">INDEX(Routes!$A$2:$A$31,RANDBETWEEN(1,30))</f>
        <v>R011</v>
      </c>
      <c r="E331" s="3" t="str">
        <f ca="1">INDEX(Vehicles!$A$2:$A$21,RANDBETWEEN(1,20))</f>
        <v>V017</v>
      </c>
      <c r="F331" s="3" t="str">
        <f ca="1">INDEX(Drivers!$A$2:$A$31,RANDBETWEEN(1,30))</f>
        <v>D017</v>
      </c>
      <c r="G331" s="3">
        <f t="shared" ca="1" si="86"/>
        <v>19.600000000000001</v>
      </c>
      <c r="H331" s="3">
        <f t="shared" ca="1" si="87"/>
        <v>45718</v>
      </c>
      <c r="I331" s="3">
        <f t="shared" ca="1" si="88"/>
        <v>12801</v>
      </c>
      <c r="J331" s="3">
        <f t="shared" ca="1" si="89"/>
        <v>2001</v>
      </c>
      <c r="K331" s="3">
        <f t="shared" ca="1" si="90"/>
        <v>18</v>
      </c>
      <c r="L331" s="3">
        <f t="shared" ca="1" si="91"/>
        <v>18</v>
      </c>
      <c r="M331" s="3">
        <f t="shared" ca="1" si="92"/>
        <v>0</v>
      </c>
      <c r="N331" s="3" t="str">
        <f t="shared" ca="1" si="93"/>
        <v>On Time</v>
      </c>
      <c r="O331" s="3" t="str">
        <f t="shared" ca="1" si="94"/>
        <v>Low</v>
      </c>
      <c r="P331" s="3">
        <f t="shared" ca="1" si="95"/>
        <v>65.3</v>
      </c>
      <c r="Q331" s="1" t="str">
        <f ca="1">VLOOKUP(D331,Routes!$A$2:$D$31,2,FALSE)</f>
        <v>Bengaluru</v>
      </c>
      <c r="R331" s="1" t="str">
        <f ca="1">VLOOKUP(D331,Routes!$A$2:$D$31,3,FALSE)</f>
        <v>Kochi</v>
      </c>
      <c r="S331" s="3">
        <f ca="1">VLOOKUP(D331,Routes!$A$2:$D$31,4,FALSE)</f>
        <v>550</v>
      </c>
      <c r="T331" s="3" t="str">
        <f ca="1">VLOOKUP(E331,Vehicles!$A$2:$D$21,2,FALSE)</f>
        <v>Truck</v>
      </c>
      <c r="U331" s="3">
        <f ca="1">VLOOKUP(E331,Vehicles!$A$2:$D$21,3,FALSE)</f>
        <v>24</v>
      </c>
      <c r="V331" s="3" t="str">
        <f ca="1">VLOOKUP(E331,Vehicles!$A$2:$D$21,4,FALSE)</f>
        <v>Diesel</v>
      </c>
      <c r="W331" s="3">
        <f ca="1">VLOOKUP(V331,Fuel_Rates!$A$2:$B$3,2,FALSE)</f>
        <v>95</v>
      </c>
      <c r="X331" s="3">
        <f t="shared" ca="1" si="97"/>
        <v>83.12</v>
      </c>
      <c r="Y331" s="3">
        <f t="shared" ca="1" si="98"/>
        <v>60520</v>
      </c>
      <c r="Z331" s="3" t="str">
        <f t="shared" ca="1" si="99"/>
        <v>May</v>
      </c>
      <c r="AA331" s="3" t="str">
        <f t="shared" ca="1" si="100"/>
        <v>Q2</v>
      </c>
      <c r="AB331" s="4" t="str">
        <f t="shared" ca="1" si="101"/>
        <v>Medium Haul</v>
      </c>
    </row>
    <row r="332" spans="1:28" x14ac:dyDescent="0.3">
      <c r="A332" s="8" t="str">
        <f t="shared" si="96"/>
        <v>S0331</v>
      </c>
      <c r="B332" s="3">
        <f t="shared" ca="1" si="85"/>
        <v>45795</v>
      </c>
      <c r="C332" s="3" t="str">
        <f ca="1">INDEX(Customers!$A$2:$A$21,RANDBETWEEN(1,20))</f>
        <v>C008</v>
      </c>
      <c r="D332" s="3" t="str">
        <f ca="1">INDEX(Routes!$A$2:$A$31,RANDBETWEEN(1,30))</f>
        <v>R025</v>
      </c>
      <c r="E332" s="3" t="str">
        <f ca="1">INDEX(Vehicles!$A$2:$A$21,RANDBETWEEN(1,20))</f>
        <v>V016</v>
      </c>
      <c r="F332" s="3" t="str">
        <f ca="1">INDEX(Drivers!$A$2:$A$31,RANDBETWEEN(1,30))</f>
        <v>D009</v>
      </c>
      <c r="G332" s="3">
        <f t="shared" ca="1" si="86"/>
        <v>8</v>
      </c>
      <c r="H332" s="3">
        <f t="shared" ca="1" si="87"/>
        <v>20091</v>
      </c>
      <c r="I332" s="3">
        <f t="shared" ca="1" si="88"/>
        <v>5625</v>
      </c>
      <c r="J332" s="3">
        <f t="shared" ca="1" si="89"/>
        <v>3426</v>
      </c>
      <c r="K332" s="3">
        <f t="shared" ca="1" si="90"/>
        <v>35</v>
      </c>
      <c r="L332" s="3">
        <f t="shared" ca="1" si="91"/>
        <v>42</v>
      </c>
      <c r="M332" s="3">
        <f t="shared" ca="1" si="92"/>
        <v>7</v>
      </c>
      <c r="N332" s="3" t="str">
        <f t="shared" ca="1" si="93"/>
        <v>Delayed</v>
      </c>
      <c r="O332" s="3" t="str">
        <f t="shared" ca="1" si="94"/>
        <v>Low</v>
      </c>
      <c r="P332" s="3">
        <f t="shared" ca="1" si="95"/>
        <v>26.7</v>
      </c>
      <c r="Q332" s="1" t="str">
        <f ca="1">VLOOKUP(D332,Routes!$A$2:$D$31,2,FALSE)</f>
        <v>Visakhapatnam</v>
      </c>
      <c r="R332" s="1" t="str">
        <f ca="1">VLOOKUP(D332,Routes!$A$2:$D$31,3,FALSE)</f>
        <v>Hyderabad</v>
      </c>
      <c r="S332" s="3">
        <f ca="1">VLOOKUP(D332,Routes!$A$2:$D$31,4,FALSE)</f>
        <v>620</v>
      </c>
      <c r="T332" s="3" t="str">
        <f ca="1">VLOOKUP(E332,Vehicles!$A$2:$D$21,2,FALSE)</f>
        <v>Container</v>
      </c>
      <c r="U332" s="3">
        <f ca="1">VLOOKUP(E332,Vehicles!$A$2:$D$21,3,FALSE)</f>
        <v>22</v>
      </c>
      <c r="V332" s="3" t="str">
        <f ca="1">VLOOKUP(E332,Vehicles!$A$2:$D$21,4,FALSE)</f>
        <v>Diesel</v>
      </c>
      <c r="W332" s="3">
        <f ca="1">VLOOKUP(V332,Fuel_Rates!$A$2:$B$3,2,FALSE)</f>
        <v>95</v>
      </c>
      <c r="X332" s="3">
        <f t="shared" ca="1" si="97"/>
        <v>32.4</v>
      </c>
      <c r="Y332" s="3">
        <f t="shared" ca="1" si="98"/>
        <v>29142</v>
      </c>
      <c r="Z332" s="3" t="str">
        <f t="shared" ca="1" si="99"/>
        <v>May</v>
      </c>
      <c r="AA332" s="3" t="str">
        <f t="shared" ca="1" si="100"/>
        <v>Q2</v>
      </c>
      <c r="AB332" s="4" t="str">
        <f t="shared" ca="1" si="101"/>
        <v>Medium Haul</v>
      </c>
    </row>
    <row r="333" spans="1:28" x14ac:dyDescent="0.3">
      <c r="A333" s="8" t="str">
        <f t="shared" si="96"/>
        <v>S0332</v>
      </c>
      <c r="B333" s="3">
        <f t="shared" ca="1" si="85"/>
        <v>45826</v>
      </c>
      <c r="C333" s="3" t="str">
        <f ca="1">INDEX(Customers!$A$2:$A$21,RANDBETWEEN(1,20))</f>
        <v>C003</v>
      </c>
      <c r="D333" s="3" t="str">
        <f ca="1">INDEX(Routes!$A$2:$A$31,RANDBETWEEN(1,30))</f>
        <v>R029</v>
      </c>
      <c r="E333" s="3" t="str">
        <f ca="1">INDEX(Vehicles!$A$2:$A$21,RANDBETWEEN(1,20))</f>
        <v>V002</v>
      </c>
      <c r="F333" s="3" t="str">
        <f ca="1">INDEX(Drivers!$A$2:$A$31,RANDBETWEEN(1,30))</f>
        <v>D008</v>
      </c>
      <c r="G333" s="3">
        <f t="shared" ca="1" si="86"/>
        <v>18.2</v>
      </c>
      <c r="H333" s="3">
        <f t="shared" ca="1" si="87"/>
        <v>37810</v>
      </c>
      <c r="I333" s="3">
        <f t="shared" ca="1" si="88"/>
        <v>10587</v>
      </c>
      <c r="J333" s="3">
        <f t="shared" ca="1" si="89"/>
        <v>2122</v>
      </c>
      <c r="K333" s="3">
        <f t="shared" ca="1" si="90"/>
        <v>17</v>
      </c>
      <c r="L333" s="3">
        <f t="shared" ca="1" si="91"/>
        <v>24</v>
      </c>
      <c r="M333" s="3">
        <f t="shared" ca="1" si="92"/>
        <v>7</v>
      </c>
      <c r="N333" s="3" t="str">
        <f t="shared" ca="1" si="93"/>
        <v>Delayed</v>
      </c>
      <c r="O333" s="3" t="str">
        <f t="shared" ca="1" si="94"/>
        <v>High</v>
      </c>
      <c r="P333" s="3">
        <f t="shared" ca="1" si="95"/>
        <v>60.7</v>
      </c>
      <c r="Q333" s="1" t="str">
        <f ca="1">VLOOKUP(D333,Routes!$A$2:$D$31,2,FALSE)</f>
        <v>Chandigarh</v>
      </c>
      <c r="R333" s="1" t="str">
        <f ca="1">VLOOKUP(D333,Routes!$A$2:$D$31,3,FALSE)</f>
        <v>Delhi</v>
      </c>
      <c r="S333" s="3">
        <f ca="1">VLOOKUP(D333,Routes!$A$2:$D$31,4,FALSE)</f>
        <v>250</v>
      </c>
      <c r="T333" s="3" t="str">
        <f ca="1">VLOOKUP(E333,Vehicles!$A$2:$D$21,2,FALSE)</f>
        <v>Truck</v>
      </c>
      <c r="U333" s="3">
        <f ca="1">VLOOKUP(E333,Vehicles!$A$2:$D$21,3,FALSE)</f>
        <v>20</v>
      </c>
      <c r="V333" s="3" t="str">
        <f ca="1">VLOOKUP(E333,Vehicles!$A$2:$D$21,4,FALSE)</f>
        <v>Diesel</v>
      </c>
      <c r="W333" s="3">
        <f ca="1">VLOOKUP(V333,Fuel_Rates!$A$2:$B$3,2,FALSE)</f>
        <v>95</v>
      </c>
      <c r="X333" s="3">
        <f t="shared" ca="1" si="97"/>
        <v>151.24</v>
      </c>
      <c r="Y333" s="3">
        <f t="shared" ca="1" si="98"/>
        <v>50519</v>
      </c>
      <c r="Z333" s="3" t="str">
        <f t="shared" ca="1" si="99"/>
        <v>Jun</v>
      </c>
      <c r="AA333" s="3" t="str">
        <f t="shared" ca="1" si="100"/>
        <v>Q2</v>
      </c>
      <c r="AB333" s="4" t="str">
        <f t="shared" ca="1" si="101"/>
        <v>Short Haul</v>
      </c>
    </row>
    <row r="334" spans="1:28" x14ac:dyDescent="0.3">
      <c r="A334" s="8" t="str">
        <f t="shared" si="96"/>
        <v>S0333</v>
      </c>
      <c r="B334" s="3">
        <f t="shared" ca="1" si="85"/>
        <v>45948</v>
      </c>
      <c r="C334" s="3" t="str">
        <f ca="1">INDEX(Customers!$A$2:$A$21,RANDBETWEEN(1,20))</f>
        <v>C011</v>
      </c>
      <c r="D334" s="3" t="str">
        <f ca="1">INDEX(Routes!$A$2:$A$31,RANDBETWEEN(1,30))</f>
        <v>R028</v>
      </c>
      <c r="E334" s="3" t="str">
        <f ca="1">INDEX(Vehicles!$A$2:$A$21,RANDBETWEEN(1,20))</f>
        <v>V018</v>
      </c>
      <c r="F334" s="3" t="str">
        <f ca="1">INDEX(Drivers!$A$2:$A$31,RANDBETWEEN(1,30))</f>
        <v>D006</v>
      </c>
      <c r="G334" s="3">
        <f t="shared" ca="1" si="86"/>
        <v>7.3</v>
      </c>
      <c r="H334" s="3">
        <f t="shared" ca="1" si="87"/>
        <v>16780</v>
      </c>
      <c r="I334" s="3">
        <f t="shared" ca="1" si="88"/>
        <v>4698</v>
      </c>
      <c r="J334" s="3">
        <f t="shared" ca="1" si="89"/>
        <v>597</v>
      </c>
      <c r="K334" s="3">
        <f t="shared" ca="1" si="90"/>
        <v>33</v>
      </c>
      <c r="L334" s="3">
        <f t="shared" ca="1" si="91"/>
        <v>33</v>
      </c>
      <c r="M334" s="3">
        <f t="shared" ca="1" si="92"/>
        <v>0</v>
      </c>
      <c r="N334" s="3" t="str">
        <f t="shared" ca="1" si="93"/>
        <v>On Time</v>
      </c>
      <c r="O334" s="3" t="str">
        <f t="shared" ca="1" si="94"/>
        <v>High</v>
      </c>
      <c r="P334" s="3">
        <f t="shared" ca="1" si="95"/>
        <v>24.3</v>
      </c>
      <c r="Q334" s="1" t="str">
        <f ca="1">VLOOKUP(D334,Routes!$A$2:$D$31,2,FALSE)</f>
        <v>Indore</v>
      </c>
      <c r="R334" s="1" t="str">
        <f ca="1">VLOOKUP(D334,Routes!$A$2:$D$31,3,FALSE)</f>
        <v>Mumbai</v>
      </c>
      <c r="S334" s="3">
        <f ca="1">VLOOKUP(D334,Routes!$A$2:$D$31,4,FALSE)</f>
        <v>590</v>
      </c>
      <c r="T334" s="3" t="str">
        <f ca="1">VLOOKUP(E334,Vehicles!$A$2:$D$21,2,FALSE)</f>
        <v>Truck</v>
      </c>
      <c r="U334" s="3">
        <f ca="1">VLOOKUP(E334,Vehicles!$A$2:$D$21,3,FALSE)</f>
        <v>26</v>
      </c>
      <c r="V334" s="3" t="str">
        <f ca="1">VLOOKUP(E334,Vehicles!$A$2:$D$21,4,FALSE)</f>
        <v>Diesel</v>
      </c>
      <c r="W334" s="3">
        <f ca="1">VLOOKUP(V334,Fuel_Rates!$A$2:$B$3,2,FALSE)</f>
        <v>95</v>
      </c>
      <c r="X334" s="3">
        <f t="shared" ca="1" si="97"/>
        <v>28.44</v>
      </c>
      <c r="Y334" s="3">
        <f t="shared" ca="1" si="98"/>
        <v>22075</v>
      </c>
      <c r="Z334" s="3" t="str">
        <f t="shared" ca="1" si="99"/>
        <v>Oct</v>
      </c>
      <c r="AA334" s="3" t="str">
        <f t="shared" ca="1" si="100"/>
        <v>Q4</v>
      </c>
      <c r="AB334" s="4" t="str">
        <f t="shared" ca="1" si="101"/>
        <v>Medium Haul</v>
      </c>
    </row>
    <row r="335" spans="1:28" x14ac:dyDescent="0.3">
      <c r="A335" s="8" t="str">
        <f t="shared" si="96"/>
        <v>S0334</v>
      </c>
      <c r="B335" s="3">
        <f t="shared" ca="1" si="85"/>
        <v>45859</v>
      </c>
      <c r="C335" s="3" t="str">
        <f ca="1">INDEX(Customers!$A$2:$A$21,RANDBETWEEN(1,20))</f>
        <v>C004</v>
      </c>
      <c r="D335" s="3" t="str">
        <f ca="1">INDEX(Routes!$A$2:$A$31,RANDBETWEEN(1,30))</f>
        <v>R022</v>
      </c>
      <c r="E335" s="3" t="str">
        <f ca="1">INDEX(Vehicles!$A$2:$A$21,RANDBETWEEN(1,20))</f>
        <v>V006</v>
      </c>
      <c r="F335" s="3" t="str">
        <f ca="1">INDEX(Drivers!$A$2:$A$31,RANDBETWEEN(1,30))</f>
        <v>D016</v>
      </c>
      <c r="G335" s="3">
        <f t="shared" ca="1" si="86"/>
        <v>3.9</v>
      </c>
      <c r="H335" s="3">
        <f t="shared" ca="1" si="87"/>
        <v>15356</v>
      </c>
      <c r="I335" s="3">
        <f t="shared" ca="1" si="88"/>
        <v>4300</v>
      </c>
      <c r="J335" s="3">
        <f t="shared" ca="1" si="89"/>
        <v>1056</v>
      </c>
      <c r="K335" s="3">
        <f t="shared" ca="1" si="90"/>
        <v>13</v>
      </c>
      <c r="L335" s="3">
        <f t="shared" ca="1" si="91"/>
        <v>19</v>
      </c>
      <c r="M335" s="3">
        <f t="shared" ca="1" si="92"/>
        <v>6</v>
      </c>
      <c r="N335" s="3" t="str">
        <f t="shared" ca="1" si="93"/>
        <v>Delayed</v>
      </c>
      <c r="O335" s="3" t="str">
        <f t="shared" ca="1" si="94"/>
        <v>High</v>
      </c>
      <c r="P335" s="3">
        <f t="shared" ca="1" si="95"/>
        <v>13</v>
      </c>
      <c r="Q335" s="1" t="str">
        <f ca="1">VLOOKUP(D335,Routes!$A$2:$D$31,2,FALSE)</f>
        <v>Jaipur</v>
      </c>
      <c r="R335" s="1" t="str">
        <f ca="1">VLOOKUP(D335,Routes!$A$2:$D$31,3,FALSE)</f>
        <v>Indore</v>
      </c>
      <c r="S335" s="3">
        <f ca="1">VLOOKUP(D335,Routes!$A$2:$D$31,4,FALSE)</f>
        <v>600</v>
      </c>
      <c r="T335" s="3" t="str">
        <f ca="1">VLOOKUP(E335,Vehicles!$A$2:$D$21,2,FALSE)</f>
        <v>Container</v>
      </c>
      <c r="U335" s="3">
        <f ca="1">VLOOKUP(E335,Vehicles!$A$2:$D$21,3,FALSE)</f>
        <v>18</v>
      </c>
      <c r="V335" s="3" t="str">
        <f ca="1">VLOOKUP(E335,Vehicles!$A$2:$D$21,4,FALSE)</f>
        <v>Diesel</v>
      </c>
      <c r="W335" s="3">
        <f ca="1">VLOOKUP(V335,Fuel_Rates!$A$2:$B$3,2,FALSE)</f>
        <v>95</v>
      </c>
      <c r="X335" s="3">
        <f t="shared" ca="1" si="97"/>
        <v>25.59</v>
      </c>
      <c r="Y335" s="3">
        <f t="shared" ca="1" si="98"/>
        <v>20712</v>
      </c>
      <c r="Z335" s="3" t="str">
        <f t="shared" ca="1" si="99"/>
        <v>Jul</v>
      </c>
      <c r="AA335" s="3" t="str">
        <f t="shared" ca="1" si="100"/>
        <v>Q3</v>
      </c>
      <c r="AB335" s="4" t="str">
        <f t="shared" ca="1" si="101"/>
        <v>Medium Haul</v>
      </c>
    </row>
    <row r="336" spans="1:28" x14ac:dyDescent="0.3">
      <c r="A336" s="8" t="str">
        <f t="shared" si="96"/>
        <v>S0335</v>
      </c>
      <c r="B336" s="3">
        <f t="shared" ca="1" si="85"/>
        <v>45716</v>
      </c>
      <c r="C336" s="3" t="str">
        <f ca="1">INDEX(Customers!$A$2:$A$21,RANDBETWEEN(1,20))</f>
        <v>C009</v>
      </c>
      <c r="D336" s="3" t="str">
        <f ca="1">INDEX(Routes!$A$2:$A$31,RANDBETWEEN(1,30))</f>
        <v>R030</v>
      </c>
      <c r="E336" s="3" t="str">
        <f ca="1">INDEX(Vehicles!$A$2:$A$21,RANDBETWEEN(1,20))</f>
        <v>V018</v>
      </c>
      <c r="F336" s="3" t="str">
        <f ca="1">INDEX(Drivers!$A$2:$A$31,RANDBETWEEN(1,30))</f>
        <v>D018</v>
      </c>
      <c r="G336" s="3">
        <f t="shared" ca="1" si="86"/>
        <v>9.1</v>
      </c>
      <c r="H336" s="3">
        <f t="shared" ca="1" si="87"/>
        <v>19657</v>
      </c>
      <c r="I336" s="3">
        <f t="shared" ca="1" si="88"/>
        <v>5504</v>
      </c>
      <c r="J336" s="3">
        <f t="shared" ca="1" si="89"/>
        <v>1566</v>
      </c>
      <c r="K336" s="3">
        <f t="shared" ca="1" si="90"/>
        <v>16</v>
      </c>
      <c r="L336" s="3">
        <f t="shared" ca="1" si="91"/>
        <v>18</v>
      </c>
      <c r="M336" s="3">
        <f t="shared" ca="1" si="92"/>
        <v>2</v>
      </c>
      <c r="N336" s="3" t="str">
        <f t="shared" ca="1" si="93"/>
        <v>On Time</v>
      </c>
      <c r="O336" s="3" t="str">
        <f t="shared" ca="1" si="94"/>
        <v>Low</v>
      </c>
      <c r="P336" s="3">
        <f t="shared" ca="1" si="95"/>
        <v>30.3</v>
      </c>
      <c r="Q336" s="1" t="str">
        <f ca="1">VLOOKUP(D336,Routes!$A$2:$D$31,2,FALSE)</f>
        <v>Bhubaneswar</v>
      </c>
      <c r="R336" s="1" t="str">
        <f ca="1">VLOOKUP(D336,Routes!$A$2:$D$31,3,FALSE)</f>
        <v>Kolkata</v>
      </c>
      <c r="S336" s="3">
        <f ca="1">VLOOKUP(D336,Routes!$A$2:$D$31,4,FALSE)</f>
        <v>440</v>
      </c>
      <c r="T336" s="3" t="str">
        <f ca="1">VLOOKUP(E336,Vehicles!$A$2:$D$21,2,FALSE)</f>
        <v>Truck</v>
      </c>
      <c r="U336" s="3">
        <f ca="1">VLOOKUP(E336,Vehicles!$A$2:$D$21,3,FALSE)</f>
        <v>26</v>
      </c>
      <c r="V336" s="3" t="str">
        <f ca="1">VLOOKUP(E336,Vehicles!$A$2:$D$21,4,FALSE)</f>
        <v>Diesel</v>
      </c>
      <c r="W336" s="3">
        <f ca="1">VLOOKUP(V336,Fuel_Rates!$A$2:$B$3,2,FALSE)</f>
        <v>95</v>
      </c>
      <c r="X336" s="3">
        <f t="shared" ca="1" si="97"/>
        <v>44.68</v>
      </c>
      <c r="Y336" s="3">
        <f t="shared" ca="1" si="98"/>
        <v>26727</v>
      </c>
      <c r="Z336" s="3" t="str">
        <f t="shared" ca="1" si="99"/>
        <v>Feb</v>
      </c>
      <c r="AA336" s="3" t="str">
        <f t="shared" ca="1" si="100"/>
        <v>Q1</v>
      </c>
      <c r="AB336" s="4" t="str">
        <f t="shared" ca="1" si="101"/>
        <v>Medium Haul</v>
      </c>
    </row>
    <row r="337" spans="1:28" x14ac:dyDescent="0.3">
      <c r="A337" s="8" t="str">
        <f t="shared" si="96"/>
        <v>S0336</v>
      </c>
      <c r="B337" s="3">
        <f t="shared" ca="1" si="85"/>
        <v>45693</v>
      </c>
      <c r="C337" s="3" t="str">
        <f ca="1">INDEX(Customers!$A$2:$A$21,RANDBETWEEN(1,20))</f>
        <v>C004</v>
      </c>
      <c r="D337" s="3" t="str">
        <f ca="1">INDEX(Routes!$A$2:$A$31,RANDBETWEEN(1,30))</f>
        <v>R029</v>
      </c>
      <c r="E337" s="3" t="str">
        <f ca="1">INDEX(Vehicles!$A$2:$A$21,RANDBETWEEN(1,20))</f>
        <v>V016</v>
      </c>
      <c r="F337" s="3" t="str">
        <f ca="1">INDEX(Drivers!$A$2:$A$31,RANDBETWEEN(1,30))</f>
        <v>D028</v>
      </c>
      <c r="G337" s="3">
        <f t="shared" ca="1" si="86"/>
        <v>16.100000000000001</v>
      </c>
      <c r="H337" s="3">
        <f t="shared" ca="1" si="87"/>
        <v>37135</v>
      </c>
      <c r="I337" s="3">
        <f t="shared" ca="1" si="88"/>
        <v>10398</v>
      </c>
      <c r="J337" s="3">
        <f t="shared" ca="1" si="89"/>
        <v>2609</v>
      </c>
      <c r="K337" s="3">
        <f t="shared" ca="1" si="90"/>
        <v>17</v>
      </c>
      <c r="L337" s="3">
        <f t="shared" ca="1" si="91"/>
        <v>25</v>
      </c>
      <c r="M337" s="3">
        <f t="shared" ca="1" si="92"/>
        <v>8</v>
      </c>
      <c r="N337" s="3" t="str">
        <f t="shared" ca="1" si="93"/>
        <v>Delayed</v>
      </c>
      <c r="O337" s="3" t="str">
        <f t="shared" ca="1" si="94"/>
        <v>High</v>
      </c>
      <c r="P337" s="3">
        <f t="shared" ca="1" si="95"/>
        <v>53.7</v>
      </c>
      <c r="Q337" s="1" t="str">
        <f ca="1">VLOOKUP(D337,Routes!$A$2:$D$31,2,FALSE)</f>
        <v>Chandigarh</v>
      </c>
      <c r="R337" s="1" t="str">
        <f ca="1">VLOOKUP(D337,Routes!$A$2:$D$31,3,FALSE)</f>
        <v>Delhi</v>
      </c>
      <c r="S337" s="3">
        <f ca="1">VLOOKUP(D337,Routes!$A$2:$D$31,4,FALSE)</f>
        <v>250</v>
      </c>
      <c r="T337" s="3" t="str">
        <f ca="1">VLOOKUP(E337,Vehicles!$A$2:$D$21,2,FALSE)</f>
        <v>Container</v>
      </c>
      <c r="U337" s="3">
        <f ca="1">VLOOKUP(E337,Vehicles!$A$2:$D$21,3,FALSE)</f>
        <v>22</v>
      </c>
      <c r="V337" s="3" t="str">
        <f ca="1">VLOOKUP(E337,Vehicles!$A$2:$D$21,4,FALSE)</f>
        <v>Diesel</v>
      </c>
      <c r="W337" s="3">
        <f ca="1">VLOOKUP(V337,Fuel_Rates!$A$2:$B$3,2,FALSE)</f>
        <v>95</v>
      </c>
      <c r="X337" s="3">
        <f t="shared" ca="1" si="97"/>
        <v>148.54</v>
      </c>
      <c r="Y337" s="3">
        <f t="shared" ca="1" si="98"/>
        <v>50142</v>
      </c>
      <c r="Z337" s="3" t="str">
        <f t="shared" ca="1" si="99"/>
        <v>Feb</v>
      </c>
      <c r="AA337" s="3" t="str">
        <f t="shared" ca="1" si="100"/>
        <v>Q1</v>
      </c>
      <c r="AB337" s="4" t="str">
        <f t="shared" ca="1" si="101"/>
        <v>Short Haul</v>
      </c>
    </row>
    <row r="338" spans="1:28" x14ac:dyDescent="0.3">
      <c r="A338" s="8" t="str">
        <f t="shared" si="96"/>
        <v>S0337</v>
      </c>
      <c r="B338" s="3">
        <f t="shared" ca="1" si="85"/>
        <v>45786</v>
      </c>
      <c r="C338" s="3" t="str">
        <f ca="1">INDEX(Customers!$A$2:$A$21,RANDBETWEEN(1,20))</f>
        <v>C010</v>
      </c>
      <c r="D338" s="3" t="str">
        <f ca="1">INDEX(Routes!$A$2:$A$31,RANDBETWEEN(1,30))</f>
        <v>R023</v>
      </c>
      <c r="E338" s="3" t="str">
        <f ca="1">INDEX(Vehicles!$A$2:$A$21,RANDBETWEEN(1,20))</f>
        <v>V007</v>
      </c>
      <c r="F338" s="3" t="str">
        <f ca="1">INDEX(Drivers!$A$2:$A$31,RANDBETWEEN(1,30))</f>
        <v>D012</v>
      </c>
      <c r="G338" s="3">
        <f t="shared" ca="1" si="86"/>
        <v>24.3</v>
      </c>
      <c r="H338" s="3">
        <f t="shared" ca="1" si="87"/>
        <v>51226</v>
      </c>
      <c r="I338" s="3">
        <f t="shared" ca="1" si="88"/>
        <v>14343</v>
      </c>
      <c r="J338" s="3">
        <f t="shared" ca="1" si="89"/>
        <v>3987</v>
      </c>
      <c r="K338" s="3">
        <f t="shared" ca="1" si="90"/>
        <v>7</v>
      </c>
      <c r="L338" s="3">
        <f t="shared" ca="1" si="91"/>
        <v>11</v>
      </c>
      <c r="M338" s="3">
        <f t="shared" ca="1" si="92"/>
        <v>4</v>
      </c>
      <c r="N338" s="3" t="str">
        <f t="shared" ca="1" si="93"/>
        <v>Delayed</v>
      </c>
      <c r="O338" s="3" t="str">
        <f t="shared" ca="1" si="94"/>
        <v>Medium</v>
      </c>
      <c r="P338" s="3">
        <f t="shared" ca="1" si="95"/>
        <v>81</v>
      </c>
      <c r="Q338" s="1" t="str">
        <f ca="1">VLOOKUP(D338,Routes!$A$2:$D$31,2,FALSE)</f>
        <v>Kochi</v>
      </c>
      <c r="R338" s="1" t="str">
        <f ca="1">VLOOKUP(D338,Routes!$A$2:$D$31,3,FALSE)</f>
        <v>Bengaluru</v>
      </c>
      <c r="S338" s="3">
        <f ca="1">VLOOKUP(D338,Routes!$A$2:$D$31,4,FALSE)</f>
        <v>550</v>
      </c>
      <c r="T338" s="3" t="str">
        <f ca="1">VLOOKUP(E338,Vehicles!$A$2:$D$21,2,FALSE)</f>
        <v>Container</v>
      </c>
      <c r="U338" s="3">
        <f ca="1">VLOOKUP(E338,Vehicles!$A$2:$D$21,3,FALSE)</f>
        <v>20</v>
      </c>
      <c r="V338" s="3" t="str">
        <f ca="1">VLOOKUP(E338,Vehicles!$A$2:$D$21,4,FALSE)</f>
        <v>Diesel</v>
      </c>
      <c r="W338" s="3">
        <f ca="1">VLOOKUP(V338,Fuel_Rates!$A$2:$B$3,2,FALSE)</f>
        <v>95</v>
      </c>
      <c r="X338" s="3">
        <f t="shared" ca="1" si="97"/>
        <v>93.14</v>
      </c>
      <c r="Y338" s="3">
        <f t="shared" ca="1" si="98"/>
        <v>69556</v>
      </c>
      <c r="Z338" s="3" t="str">
        <f t="shared" ca="1" si="99"/>
        <v>May</v>
      </c>
      <c r="AA338" s="3" t="str">
        <f t="shared" ca="1" si="100"/>
        <v>Q2</v>
      </c>
      <c r="AB338" s="4" t="str">
        <f t="shared" ca="1" si="101"/>
        <v>Medium Haul</v>
      </c>
    </row>
    <row r="339" spans="1:28" x14ac:dyDescent="0.3">
      <c r="A339" s="8" t="str">
        <f t="shared" si="96"/>
        <v>S0338</v>
      </c>
      <c r="B339" s="3">
        <f t="shared" ca="1" si="85"/>
        <v>45706</v>
      </c>
      <c r="C339" s="3" t="str">
        <f ca="1">INDEX(Customers!$A$2:$A$21,RANDBETWEEN(1,20))</f>
        <v>C016</v>
      </c>
      <c r="D339" s="3" t="str">
        <f ca="1">INDEX(Routes!$A$2:$A$31,RANDBETWEEN(1,30))</f>
        <v>R019</v>
      </c>
      <c r="E339" s="3" t="str">
        <f ca="1">INDEX(Vehicles!$A$2:$A$21,RANDBETWEEN(1,20))</f>
        <v>V009</v>
      </c>
      <c r="F339" s="3" t="str">
        <f ca="1">INDEX(Drivers!$A$2:$A$31,RANDBETWEEN(1,30))</f>
        <v>D002</v>
      </c>
      <c r="G339" s="3">
        <f t="shared" ca="1" si="86"/>
        <v>21.4</v>
      </c>
      <c r="H339" s="3">
        <f t="shared" ca="1" si="87"/>
        <v>48961</v>
      </c>
      <c r="I339" s="3">
        <f t="shared" ca="1" si="88"/>
        <v>13709</v>
      </c>
      <c r="J339" s="3">
        <f t="shared" ca="1" si="89"/>
        <v>667</v>
      </c>
      <c r="K339" s="3">
        <f t="shared" ca="1" si="90"/>
        <v>4</v>
      </c>
      <c r="L339" s="3">
        <f t="shared" ca="1" si="91"/>
        <v>6</v>
      </c>
      <c r="M339" s="3">
        <f t="shared" ca="1" si="92"/>
        <v>2</v>
      </c>
      <c r="N339" s="3" t="str">
        <f t="shared" ca="1" si="93"/>
        <v>On Time</v>
      </c>
      <c r="O339" s="3" t="str">
        <f t="shared" ca="1" si="94"/>
        <v>Medium</v>
      </c>
      <c r="P339" s="3">
        <f t="shared" ca="1" si="95"/>
        <v>71.3</v>
      </c>
      <c r="Q339" s="1" t="str">
        <f ca="1">VLOOKUP(D339,Routes!$A$2:$D$31,2,FALSE)</f>
        <v>Ahmedabad</v>
      </c>
      <c r="R339" s="1" t="str">
        <f ca="1">VLOOKUP(D339,Routes!$A$2:$D$31,3,FALSE)</f>
        <v>Indore</v>
      </c>
      <c r="S339" s="3">
        <f ca="1">VLOOKUP(D339,Routes!$A$2:$D$31,4,FALSE)</f>
        <v>390</v>
      </c>
      <c r="T339" s="3" t="str">
        <f ca="1">VLOOKUP(E339,Vehicles!$A$2:$D$21,2,FALSE)</f>
        <v>LCV</v>
      </c>
      <c r="U339" s="3">
        <f ca="1">VLOOKUP(E339,Vehicles!$A$2:$D$21,3,FALSE)</f>
        <v>5</v>
      </c>
      <c r="V339" s="3" t="str">
        <f ca="1">VLOOKUP(E339,Vehicles!$A$2:$D$21,4,FALSE)</f>
        <v>Diesel</v>
      </c>
      <c r="W339" s="3">
        <f ca="1">VLOOKUP(V339,Fuel_Rates!$A$2:$B$3,2,FALSE)</f>
        <v>95</v>
      </c>
      <c r="X339" s="3">
        <f t="shared" ca="1" si="97"/>
        <v>125.54</v>
      </c>
      <c r="Y339" s="3">
        <f t="shared" ca="1" si="98"/>
        <v>63337</v>
      </c>
      <c r="Z339" s="3" t="str">
        <f t="shared" ca="1" si="99"/>
        <v>Feb</v>
      </c>
      <c r="AA339" s="3" t="str">
        <f t="shared" ca="1" si="100"/>
        <v>Q1</v>
      </c>
      <c r="AB339" s="4" t="str">
        <f t="shared" ca="1" si="101"/>
        <v>Medium Haul</v>
      </c>
    </row>
    <row r="340" spans="1:28" x14ac:dyDescent="0.3">
      <c r="A340" s="8" t="str">
        <f t="shared" si="96"/>
        <v>S0339</v>
      </c>
      <c r="B340" s="3">
        <f t="shared" ca="1" si="85"/>
        <v>45854</v>
      </c>
      <c r="C340" s="3" t="str">
        <f ca="1">INDEX(Customers!$A$2:$A$21,RANDBETWEEN(1,20))</f>
        <v>C010</v>
      </c>
      <c r="D340" s="3" t="str">
        <f ca="1">INDEX(Routes!$A$2:$A$31,RANDBETWEEN(1,30))</f>
        <v>R009</v>
      </c>
      <c r="E340" s="3" t="str">
        <f ca="1">INDEX(Vehicles!$A$2:$A$21,RANDBETWEEN(1,20))</f>
        <v>V005</v>
      </c>
      <c r="F340" s="3" t="str">
        <f ca="1">INDEX(Drivers!$A$2:$A$31,RANDBETWEEN(1,30))</f>
        <v>D008</v>
      </c>
      <c r="G340" s="3">
        <f t="shared" ca="1" si="86"/>
        <v>2.6</v>
      </c>
      <c r="H340" s="3">
        <f t="shared" ca="1" si="87"/>
        <v>16886</v>
      </c>
      <c r="I340" s="3">
        <f t="shared" ca="1" si="88"/>
        <v>4728</v>
      </c>
      <c r="J340" s="3">
        <f t="shared" ca="1" si="89"/>
        <v>3622</v>
      </c>
      <c r="K340" s="3">
        <f t="shared" ca="1" si="90"/>
        <v>7</v>
      </c>
      <c r="L340" s="3">
        <f t="shared" ca="1" si="91"/>
        <v>9</v>
      </c>
      <c r="M340" s="3">
        <f t="shared" ca="1" si="92"/>
        <v>2</v>
      </c>
      <c r="N340" s="3" t="str">
        <f t="shared" ca="1" si="93"/>
        <v>On Time</v>
      </c>
      <c r="O340" s="3" t="str">
        <f t="shared" ca="1" si="94"/>
        <v>Low</v>
      </c>
      <c r="P340" s="3">
        <f t="shared" ca="1" si="95"/>
        <v>8.6999999999999993</v>
      </c>
      <c r="Q340" s="1" t="str">
        <f ca="1">VLOOKUP(D340,Routes!$A$2:$D$31,2,FALSE)</f>
        <v>Bengaluru</v>
      </c>
      <c r="R340" s="1" t="str">
        <f ca="1">VLOOKUP(D340,Routes!$A$2:$D$31,3,FALSE)</f>
        <v>Chennai</v>
      </c>
      <c r="S340" s="3">
        <f ca="1">VLOOKUP(D340,Routes!$A$2:$D$31,4,FALSE)</f>
        <v>350</v>
      </c>
      <c r="T340" s="3" t="str">
        <f ca="1">VLOOKUP(E340,Vehicles!$A$2:$D$21,2,FALSE)</f>
        <v>Trailer</v>
      </c>
      <c r="U340" s="3">
        <f ca="1">VLOOKUP(E340,Vehicles!$A$2:$D$21,3,FALSE)</f>
        <v>32</v>
      </c>
      <c r="V340" s="3" t="str">
        <f ca="1">VLOOKUP(E340,Vehicles!$A$2:$D$21,4,FALSE)</f>
        <v>Diesel</v>
      </c>
      <c r="W340" s="3">
        <f ca="1">VLOOKUP(V340,Fuel_Rates!$A$2:$B$3,2,FALSE)</f>
        <v>95</v>
      </c>
      <c r="X340" s="3">
        <f t="shared" ca="1" si="97"/>
        <v>48.25</v>
      </c>
      <c r="Y340" s="3">
        <f t="shared" ca="1" si="98"/>
        <v>25236</v>
      </c>
      <c r="Z340" s="3" t="str">
        <f t="shared" ca="1" si="99"/>
        <v>Jul</v>
      </c>
      <c r="AA340" s="3" t="str">
        <f t="shared" ca="1" si="100"/>
        <v>Q3</v>
      </c>
      <c r="AB340" s="4" t="str">
        <f t="shared" ca="1" si="101"/>
        <v>Medium Haul</v>
      </c>
    </row>
    <row r="341" spans="1:28" x14ac:dyDescent="0.3">
      <c r="A341" s="8" t="str">
        <f t="shared" si="96"/>
        <v>S0340</v>
      </c>
      <c r="B341" s="3">
        <f t="shared" ca="1" si="85"/>
        <v>45957</v>
      </c>
      <c r="C341" s="3" t="str">
        <f ca="1">INDEX(Customers!$A$2:$A$21,RANDBETWEEN(1,20))</f>
        <v>C020</v>
      </c>
      <c r="D341" s="3" t="str">
        <f ca="1">INDEX(Routes!$A$2:$A$31,RANDBETWEEN(1,30))</f>
        <v>R001</v>
      </c>
      <c r="E341" s="3" t="str">
        <f ca="1">INDEX(Vehicles!$A$2:$A$21,RANDBETWEEN(1,20))</f>
        <v>V013</v>
      </c>
      <c r="F341" s="3" t="str">
        <f ca="1">INDEX(Drivers!$A$2:$A$31,RANDBETWEEN(1,30))</f>
        <v>D010</v>
      </c>
      <c r="G341" s="3">
        <f t="shared" ca="1" si="86"/>
        <v>18.3</v>
      </c>
      <c r="H341" s="3">
        <f t="shared" ca="1" si="87"/>
        <v>41824</v>
      </c>
      <c r="I341" s="3">
        <f t="shared" ca="1" si="88"/>
        <v>11711</v>
      </c>
      <c r="J341" s="3">
        <f t="shared" ca="1" si="89"/>
        <v>3503</v>
      </c>
      <c r="K341" s="3">
        <f t="shared" ca="1" si="90"/>
        <v>7</v>
      </c>
      <c r="L341" s="3">
        <f t="shared" ca="1" si="91"/>
        <v>8</v>
      </c>
      <c r="M341" s="3">
        <f t="shared" ca="1" si="92"/>
        <v>1</v>
      </c>
      <c r="N341" s="3" t="str">
        <f t="shared" ca="1" si="93"/>
        <v>On Time</v>
      </c>
      <c r="O341" s="3" t="str">
        <f t="shared" ca="1" si="94"/>
        <v>Medium</v>
      </c>
      <c r="P341" s="3">
        <f t="shared" ca="1" si="95"/>
        <v>61</v>
      </c>
      <c r="Q341" s="1" t="str">
        <f ca="1">VLOOKUP(D341,Routes!$A$2:$D$31,2,FALSE)</f>
        <v>Mumbai</v>
      </c>
      <c r="R341" s="1" t="str">
        <f ca="1">VLOOKUP(D341,Routes!$A$2:$D$31,3,FALSE)</f>
        <v>Pune</v>
      </c>
      <c r="S341" s="3">
        <f ca="1">VLOOKUP(D341,Routes!$A$2:$D$31,4,FALSE)</f>
        <v>150</v>
      </c>
      <c r="T341" s="3" t="str">
        <f ca="1">VLOOKUP(E341,Vehicles!$A$2:$D$21,2,FALSE)</f>
        <v>LCV</v>
      </c>
      <c r="U341" s="3">
        <f ca="1">VLOOKUP(E341,Vehicles!$A$2:$D$21,3,FALSE)</f>
        <v>4</v>
      </c>
      <c r="V341" s="3" t="str">
        <f ca="1">VLOOKUP(E341,Vehicles!$A$2:$D$21,4,FALSE)</f>
        <v>CNG</v>
      </c>
      <c r="W341" s="3">
        <f ca="1">VLOOKUP(V341,Fuel_Rates!$A$2:$B$3,2,FALSE)</f>
        <v>78</v>
      </c>
      <c r="X341" s="3">
        <f t="shared" ca="1" si="97"/>
        <v>278.83</v>
      </c>
      <c r="Y341" s="3">
        <f t="shared" ca="1" si="98"/>
        <v>57038</v>
      </c>
      <c r="Z341" s="3" t="str">
        <f t="shared" ca="1" si="99"/>
        <v>Oct</v>
      </c>
      <c r="AA341" s="3" t="str">
        <f t="shared" ca="1" si="100"/>
        <v>Q4</v>
      </c>
      <c r="AB341" s="4" t="str">
        <f t="shared" ca="1" si="101"/>
        <v>Short Haul</v>
      </c>
    </row>
    <row r="342" spans="1:28" x14ac:dyDescent="0.3">
      <c r="A342" s="8" t="str">
        <f t="shared" si="96"/>
        <v>S0341</v>
      </c>
      <c r="B342" s="3">
        <f t="shared" ca="1" si="85"/>
        <v>45994</v>
      </c>
      <c r="C342" s="3" t="str">
        <f ca="1">INDEX(Customers!$A$2:$A$21,RANDBETWEEN(1,20))</f>
        <v>C011</v>
      </c>
      <c r="D342" s="3" t="str">
        <f ca="1">INDEX(Routes!$A$2:$A$31,RANDBETWEEN(1,30))</f>
        <v>R009</v>
      </c>
      <c r="E342" s="3" t="str">
        <f ca="1">INDEX(Vehicles!$A$2:$A$21,RANDBETWEEN(1,20))</f>
        <v>V001</v>
      </c>
      <c r="F342" s="3" t="str">
        <f ca="1">INDEX(Drivers!$A$2:$A$31,RANDBETWEEN(1,30))</f>
        <v>D026</v>
      </c>
      <c r="G342" s="3">
        <f t="shared" ca="1" si="86"/>
        <v>12.1</v>
      </c>
      <c r="H342" s="3">
        <f t="shared" ca="1" si="87"/>
        <v>34109</v>
      </c>
      <c r="I342" s="3">
        <f t="shared" ca="1" si="88"/>
        <v>9551</v>
      </c>
      <c r="J342" s="3">
        <f t="shared" ca="1" si="89"/>
        <v>1512</v>
      </c>
      <c r="K342" s="3">
        <f t="shared" ca="1" si="90"/>
        <v>36</v>
      </c>
      <c r="L342" s="3">
        <f t="shared" ca="1" si="91"/>
        <v>42</v>
      </c>
      <c r="M342" s="3">
        <f t="shared" ca="1" si="92"/>
        <v>6</v>
      </c>
      <c r="N342" s="3" t="str">
        <f t="shared" ca="1" si="93"/>
        <v>Delayed</v>
      </c>
      <c r="O342" s="3" t="str">
        <f t="shared" ca="1" si="94"/>
        <v>Medium</v>
      </c>
      <c r="P342" s="3">
        <f t="shared" ca="1" si="95"/>
        <v>40.299999999999997</v>
      </c>
      <c r="Q342" s="1" t="str">
        <f ca="1">VLOOKUP(D342,Routes!$A$2:$D$31,2,FALSE)</f>
        <v>Bengaluru</v>
      </c>
      <c r="R342" s="1" t="str">
        <f ca="1">VLOOKUP(D342,Routes!$A$2:$D$31,3,FALSE)</f>
        <v>Chennai</v>
      </c>
      <c r="S342" s="3">
        <f ca="1">VLOOKUP(D342,Routes!$A$2:$D$31,4,FALSE)</f>
        <v>350</v>
      </c>
      <c r="T342" s="3" t="str">
        <f ca="1">VLOOKUP(E342,Vehicles!$A$2:$D$21,2,FALSE)</f>
        <v>Truck</v>
      </c>
      <c r="U342" s="3">
        <f ca="1">VLOOKUP(E342,Vehicles!$A$2:$D$21,3,FALSE)</f>
        <v>16</v>
      </c>
      <c r="V342" s="3" t="str">
        <f ca="1">VLOOKUP(E342,Vehicles!$A$2:$D$21,4,FALSE)</f>
        <v>Diesel</v>
      </c>
      <c r="W342" s="3">
        <f ca="1">VLOOKUP(V342,Fuel_Rates!$A$2:$B$3,2,FALSE)</f>
        <v>95</v>
      </c>
      <c r="X342" s="3">
        <f t="shared" ca="1" si="97"/>
        <v>97.45</v>
      </c>
      <c r="Y342" s="3">
        <f t="shared" ca="1" si="98"/>
        <v>45172</v>
      </c>
      <c r="Z342" s="3" t="str">
        <f t="shared" ca="1" si="99"/>
        <v>Dec</v>
      </c>
      <c r="AA342" s="3" t="str">
        <f t="shared" ca="1" si="100"/>
        <v>Q4</v>
      </c>
      <c r="AB342" s="4" t="str">
        <f t="shared" ca="1" si="101"/>
        <v>Medium Haul</v>
      </c>
    </row>
    <row r="343" spans="1:28" x14ac:dyDescent="0.3">
      <c r="A343" s="8" t="str">
        <f t="shared" si="96"/>
        <v>S0342</v>
      </c>
      <c r="B343" s="3">
        <f t="shared" ca="1" si="85"/>
        <v>45818</v>
      </c>
      <c r="C343" s="3" t="str">
        <f ca="1">INDEX(Customers!$A$2:$A$21,RANDBETWEEN(1,20))</f>
        <v>C019</v>
      </c>
      <c r="D343" s="3" t="str">
        <f ca="1">INDEX(Routes!$A$2:$A$31,RANDBETWEEN(1,30))</f>
        <v>R024</v>
      </c>
      <c r="E343" s="3" t="str">
        <f ca="1">INDEX(Vehicles!$A$2:$A$21,RANDBETWEEN(1,20))</f>
        <v>V002</v>
      </c>
      <c r="F343" s="3" t="str">
        <f ca="1">INDEX(Drivers!$A$2:$A$31,RANDBETWEEN(1,30))</f>
        <v>D025</v>
      </c>
      <c r="G343" s="3">
        <f t="shared" ca="1" si="86"/>
        <v>12.6</v>
      </c>
      <c r="H343" s="3">
        <f t="shared" ca="1" si="87"/>
        <v>33922</v>
      </c>
      <c r="I343" s="3">
        <f t="shared" ca="1" si="88"/>
        <v>9498</v>
      </c>
      <c r="J343" s="3">
        <f t="shared" ca="1" si="89"/>
        <v>3481</v>
      </c>
      <c r="K343" s="3">
        <f t="shared" ca="1" si="90"/>
        <v>9</v>
      </c>
      <c r="L343" s="3">
        <f t="shared" ca="1" si="91"/>
        <v>9</v>
      </c>
      <c r="M343" s="3">
        <f t="shared" ca="1" si="92"/>
        <v>0</v>
      </c>
      <c r="N343" s="3" t="str">
        <f t="shared" ca="1" si="93"/>
        <v>On Time</v>
      </c>
      <c r="O343" s="3" t="str">
        <f t="shared" ca="1" si="94"/>
        <v>Medium</v>
      </c>
      <c r="P343" s="3">
        <f t="shared" ca="1" si="95"/>
        <v>42</v>
      </c>
      <c r="Q343" s="1" t="str">
        <f ca="1">VLOOKUP(D343,Routes!$A$2:$D$31,2,FALSE)</f>
        <v>Surat</v>
      </c>
      <c r="R343" s="1" t="str">
        <f ca="1">VLOOKUP(D343,Routes!$A$2:$D$31,3,FALSE)</f>
        <v>Mumbai</v>
      </c>
      <c r="S343" s="3">
        <f ca="1">VLOOKUP(D343,Routes!$A$2:$D$31,4,FALSE)</f>
        <v>280</v>
      </c>
      <c r="T343" s="3" t="str">
        <f ca="1">VLOOKUP(E343,Vehicles!$A$2:$D$21,2,FALSE)</f>
        <v>Truck</v>
      </c>
      <c r="U343" s="3">
        <f ca="1">VLOOKUP(E343,Vehicles!$A$2:$D$21,3,FALSE)</f>
        <v>20</v>
      </c>
      <c r="V343" s="3" t="str">
        <f ca="1">VLOOKUP(E343,Vehicles!$A$2:$D$21,4,FALSE)</f>
        <v>Diesel</v>
      </c>
      <c r="W343" s="3">
        <f ca="1">VLOOKUP(V343,Fuel_Rates!$A$2:$B$3,2,FALSE)</f>
        <v>95</v>
      </c>
      <c r="X343" s="3">
        <f t="shared" ca="1" si="97"/>
        <v>121.15</v>
      </c>
      <c r="Y343" s="3">
        <f t="shared" ca="1" si="98"/>
        <v>46901</v>
      </c>
      <c r="Z343" s="3" t="str">
        <f t="shared" ca="1" si="99"/>
        <v>Jun</v>
      </c>
      <c r="AA343" s="3" t="str">
        <f t="shared" ca="1" si="100"/>
        <v>Q2</v>
      </c>
      <c r="AB343" s="4" t="str">
        <f t="shared" ca="1" si="101"/>
        <v>Short Haul</v>
      </c>
    </row>
    <row r="344" spans="1:28" x14ac:dyDescent="0.3">
      <c r="A344" s="8" t="str">
        <f t="shared" si="96"/>
        <v>S0343</v>
      </c>
      <c r="B344" s="3">
        <f t="shared" ca="1" si="85"/>
        <v>45812</v>
      </c>
      <c r="C344" s="3" t="str">
        <f ca="1">INDEX(Customers!$A$2:$A$21,RANDBETWEEN(1,20))</f>
        <v>C004</v>
      </c>
      <c r="D344" s="3" t="str">
        <f ca="1">INDEX(Routes!$A$2:$A$31,RANDBETWEEN(1,30))</f>
        <v>R028</v>
      </c>
      <c r="E344" s="3" t="str">
        <f ca="1">INDEX(Vehicles!$A$2:$A$21,RANDBETWEEN(1,20))</f>
        <v>V003</v>
      </c>
      <c r="F344" s="3" t="str">
        <f ca="1">INDEX(Drivers!$A$2:$A$31,RANDBETWEEN(1,30))</f>
        <v>D016</v>
      </c>
      <c r="G344" s="3">
        <f t="shared" ca="1" si="86"/>
        <v>2.2999999999999998</v>
      </c>
      <c r="H344" s="3">
        <f t="shared" ca="1" si="87"/>
        <v>11712</v>
      </c>
      <c r="I344" s="3">
        <f t="shared" ca="1" si="88"/>
        <v>3279</v>
      </c>
      <c r="J344" s="3">
        <f t="shared" ca="1" si="89"/>
        <v>2693</v>
      </c>
      <c r="K344" s="3">
        <f t="shared" ca="1" si="90"/>
        <v>24</v>
      </c>
      <c r="L344" s="3">
        <f t="shared" ca="1" si="91"/>
        <v>32</v>
      </c>
      <c r="M344" s="3">
        <f t="shared" ca="1" si="92"/>
        <v>8</v>
      </c>
      <c r="N344" s="3" t="str">
        <f t="shared" ca="1" si="93"/>
        <v>Delayed</v>
      </c>
      <c r="O344" s="3" t="str">
        <f t="shared" ca="1" si="94"/>
        <v>Medium</v>
      </c>
      <c r="P344" s="3">
        <f t="shared" ca="1" si="95"/>
        <v>7.7</v>
      </c>
      <c r="Q344" s="1" t="str">
        <f ca="1">VLOOKUP(D344,Routes!$A$2:$D$31,2,FALSE)</f>
        <v>Indore</v>
      </c>
      <c r="R344" s="1" t="str">
        <f ca="1">VLOOKUP(D344,Routes!$A$2:$D$31,3,FALSE)</f>
        <v>Mumbai</v>
      </c>
      <c r="S344" s="3">
        <f ca="1">VLOOKUP(D344,Routes!$A$2:$D$31,4,FALSE)</f>
        <v>590</v>
      </c>
      <c r="T344" s="3" t="str">
        <f ca="1">VLOOKUP(E344,Vehicles!$A$2:$D$21,2,FALSE)</f>
        <v>Truck</v>
      </c>
      <c r="U344" s="3">
        <f ca="1">VLOOKUP(E344,Vehicles!$A$2:$D$21,3,FALSE)</f>
        <v>25</v>
      </c>
      <c r="V344" s="3" t="str">
        <f ca="1">VLOOKUP(E344,Vehicles!$A$2:$D$21,4,FALSE)</f>
        <v>Diesel</v>
      </c>
      <c r="W344" s="3">
        <f ca="1">VLOOKUP(V344,Fuel_Rates!$A$2:$B$3,2,FALSE)</f>
        <v>95</v>
      </c>
      <c r="X344" s="3">
        <f t="shared" ca="1" si="97"/>
        <v>19.850000000000001</v>
      </c>
      <c r="Y344" s="3">
        <f t="shared" ca="1" si="98"/>
        <v>17684</v>
      </c>
      <c r="Z344" s="3" t="str">
        <f t="shared" ca="1" si="99"/>
        <v>Jun</v>
      </c>
      <c r="AA344" s="3" t="str">
        <f t="shared" ca="1" si="100"/>
        <v>Q2</v>
      </c>
      <c r="AB344" s="4" t="str">
        <f t="shared" ca="1" si="101"/>
        <v>Medium Haul</v>
      </c>
    </row>
    <row r="345" spans="1:28" x14ac:dyDescent="0.3">
      <c r="A345" s="8" t="str">
        <f t="shared" si="96"/>
        <v>S0344</v>
      </c>
      <c r="B345" s="3">
        <f t="shared" ca="1" si="85"/>
        <v>45729</v>
      </c>
      <c r="C345" s="3" t="str">
        <f ca="1">INDEX(Customers!$A$2:$A$21,RANDBETWEEN(1,20))</f>
        <v>C007</v>
      </c>
      <c r="D345" s="3" t="str">
        <f ca="1">INDEX(Routes!$A$2:$A$31,RANDBETWEEN(1,30))</f>
        <v>R023</v>
      </c>
      <c r="E345" s="3" t="str">
        <f ca="1">INDEX(Vehicles!$A$2:$A$21,RANDBETWEEN(1,20))</f>
        <v>V011</v>
      </c>
      <c r="F345" s="3" t="str">
        <f ca="1">INDEX(Drivers!$A$2:$A$31,RANDBETWEEN(1,30))</f>
        <v>D008</v>
      </c>
      <c r="G345" s="3">
        <f t="shared" ca="1" si="86"/>
        <v>25.3</v>
      </c>
      <c r="H345" s="3">
        <f t="shared" ca="1" si="87"/>
        <v>48848</v>
      </c>
      <c r="I345" s="3">
        <f t="shared" ca="1" si="88"/>
        <v>13677</v>
      </c>
      <c r="J345" s="3">
        <f t="shared" ca="1" si="89"/>
        <v>2604</v>
      </c>
      <c r="K345" s="3">
        <f t="shared" ca="1" si="90"/>
        <v>23</v>
      </c>
      <c r="L345" s="3">
        <f t="shared" ca="1" si="91"/>
        <v>24</v>
      </c>
      <c r="M345" s="3">
        <f t="shared" ca="1" si="92"/>
        <v>1</v>
      </c>
      <c r="N345" s="3" t="str">
        <f t="shared" ca="1" si="93"/>
        <v>On Time</v>
      </c>
      <c r="O345" s="3" t="str">
        <f t="shared" ca="1" si="94"/>
        <v>Low</v>
      </c>
      <c r="P345" s="3">
        <f t="shared" ca="1" si="95"/>
        <v>84.3</v>
      </c>
      <c r="Q345" s="1" t="str">
        <f ca="1">VLOOKUP(D345,Routes!$A$2:$D$31,2,FALSE)</f>
        <v>Kochi</v>
      </c>
      <c r="R345" s="1" t="str">
        <f ca="1">VLOOKUP(D345,Routes!$A$2:$D$31,3,FALSE)</f>
        <v>Bengaluru</v>
      </c>
      <c r="S345" s="3">
        <f ca="1">VLOOKUP(D345,Routes!$A$2:$D$31,4,FALSE)</f>
        <v>550</v>
      </c>
      <c r="T345" s="3" t="str">
        <f ca="1">VLOOKUP(E345,Vehicles!$A$2:$D$21,2,FALSE)</f>
        <v>Truck</v>
      </c>
      <c r="U345" s="3">
        <f ca="1">VLOOKUP(E345,Vehicles!$A$2:$D$21,3,FALSE)</f>
        <v>18</v>
      </c>
      <c r="V345" s="3" t="str">
        <f ca="1">VLOOKUP(E345,Vehicles!$A$2:$D$21,4,FALSE)</f>
        <v>CNG</v>
      </c>
      <c r="W345" s="3">
        <f ca="1">VLOOKUP(V345,Fuel_Rates!$A$2:$B$3,2,FALSE)</f>
        <v>78</v>
      </c>
      <c r="X345" s="3">
        <f t="shared" ca="1" si="97"/>
        <v>88.81</v>
      </c>
      <c r="Y345" s="3">
        <f t="shared" ca="1" si="98"/>
        <v>65129</v>
      </c>
      <c r="Z345" s="3" t="str">
        <f t="shared" ca="1" si="99"/>
        <v>Mar</v>
      </c>
      <c r="AA345" s="3" t="str">
        <f t="shared" ca="1" si="100"/>
        <v>Q1</v>
      </c>
      <c r="AB345" s="4" t="str">
        <f t="shared" ca="1" si="101"/>
        <v>Medium Haul</v>
      </c>
    </row>
    <row r="346" spans="1:28" x14ac:dyDescent="0.3">
      <c r="A346" s="8" t="str">
        <f t="shared" si="96"/>
        <v>S0345</v>
      </c>
      <c r="B346" s="3">
        <f t="shared" ca="1" si="85"/>
        <v>45665</v>
      </c>
      <c r="C346" s="3" t="str">
        <f ca="1">INDEX(Customers!$A$2:$A$21,RANDBETWEEN(1,20))</f>
        <v>C001</v>
      </c>
      <c r="D346" s="3" t="str">
        <f ca="1">INDEX(Routes!$A$2:$A$31,RANDBETWEEN(1,30))</f>
        <v>R011</v>
      </c>
      <c r="E346" s="3" t="str">
        <f ca="1">INDEX(Vehicles!$A$2:$A$21,RANDBETWEEN(1,20))</f>
        <v>V007</v>
      </c>
      <c r="F346" s="3" t="str">
        <f ca="1">INDEX(Drivers!$A$2:$A$31,RANDBETWEEN(1,30))</f>
        <v>D017</v>
      </c>
      <c r="G346" s="3">
        <f t="shared" ca="1" si="86"/>
        <v>14.2</v>
      </c>
      <c r="H346" s="3">
        <f t="shared" ca="1" si="87"/>
        <v>34907</v>
      </c>
      <c r="I346" s="3">
        <f t="shared" ca="1" si="88"/>
        <v>9774</v>
      </c>
      <c r="J346" s="3">
        <f t="shared" ca="1" si="89"/>
        <v>2808</v>
      </c>
      <c r="K346" s="3">
        <f t="shared" ca="1" si="90"/>
        <v>6</v>
      </c>
      <c r="L346" s="3">
        <f t="shared" ca="1" si="91"/>
        <v>14</v>
      </c>
      <c r="M346" s="3">
        <f t="shared" ca="1" si="92"/>
        <v>8</v>
      </c>
      <c r="N346" s="3" t="str">
        <f t="shared" ca="1" si="93"/>
        <v>Delayed</v>
      </c>
      <c r="O346" s="3" t="str">
        <f t="shared" ca="1" si="94"/>
        <v>Medium</v>
      </c>
      <c r="P346" s="3">
        <f t="shared" ca="1" si="95"/>
        <v>47.3</v>
      </c>
      <c r="Q346" s="1" t="str">
        <f ca="1">VLOOKUP(D346,Routes!$A$2:$D$31,2,FALSE)</f>
        <v>Bengaluru</v>
      </c>
      <c r="R346" s="1" t="str">
        <f ca="1">VLOOKUP(D346,Routes!$A$2:$D$31,3,FALSE)</f>
        <v>Kochi</v>
      </c>
      <c r="S346" s="3">
        <f ca="1">VLOOKUP(D346,Routes!$A$2:$D$31,4,FALSE)</f>
        <v>550</v>
      </c>
      <c r="T346" s="3" t="str">
        <f ca="1">VLOOKUP(E346,Vehicles!$A$2:$D$21,2,FALSE)</f>
        <v>Container</v>
      </c>
      <c r="U346" s="3">
        <f ca="1">VLOOKUP(E346,Vehicles!$A$2:$D$21,3,FALSE)</f>
        <v>20</v>
      </c>
      <c r="V346" s="3" t="str">
        <f ca="1">VLOOKUP(E346,Vehicles!$A$2:$D$21,4,FALSE)</f>
        <v>Diesel</v>
      </c>
      <c r="W346" s="3">
        <f ca="1">VLOOKUP(V346,Fuel_Rates!$A$2:$B$3,2,FALSE)</f>
        <v>95</v>
      </c>
      <c r="X346" s="3">
        <f t="shared" ca="1" si="97"/>
        <v>63.47</v>
      </c>
      <c r="Y346" s="3">
        <f t="shared" ca="1" si="98"/>
        <v>47489</v>
      </c>
      <c r="Z346" s="3" t="str">
        <f t="shared" ca="1" si="99"/>
        <v>Jan</v>
      </c>
      <c r="AA346" s="3" t="str">
        <f t="shared" ca="1" si="100"/>
        <v>Q1</v>
      </c>
      <c r="AB346" s="4" t="str">
        <f t="shared" ca="1" si="101"/>
        <v>Medium Haul</v>
      </c>
    </row>
    <row r="347" spans="1:28" x14ac:dyDescent="0.3">
      <c r="A347" s="8" t="str">
        <f t="shared" si="96"/>
        <v>S0346</v>
      </c>
      <c r="B347" s="3">
        <f t="shared" ca="1" si="85"/>
        <v>45689</v>
      </c>
      <c r="C347" s="3" t="str">
        <f ca="1">INDEX(Customers!$A$2:$A$21,RANDBETWEEN(1,20))</f>
        <v>C011</v>
      </c>
      <c r="D347" s="3" t="str">
        <f ca="1">INDEX(Routes!$A$2:$A$31,RANDBETWEEN(1,30))</f>
        <v>R023</v>
      </c>
      <c r="E347" s="3" t="str">
        <f ca="1">INDEX(Vehicles!$A$2:$A$21,RANDBETWEEN(1,20))</f>
        <v>V017</v>
      </c>
      <c r="F347" s="3" t="str">
        <f ca="1">INDEX(Drivers!$A$2:$A$31,RANDBETWEEN(1,30))</f>
        <v>D023</v>
      </c>
      <c r="G347" s="3">
        <f t="shared" ca="1" si="86"/>
        <v>27.6</v>
      </c>
      <c r="H347" s="3">
        <f t="shared" ca="1" si="87"/>
        <v>61770</v>
      </c>
      <c r="I347" s="3">
        <f t="shared" ca="1" si="88"/>
        <v>17296</v>
      </c>
      <c r="J347" s="3">
        <f t="shared" ca="1" si="89"/>
        <v>1469</v>
      </c>
      <c r="K347" s="3">
        <f t="shared" ca="1" si="90"/>
        <v>35</v>
      </c>
      <c r="L347" s="3">
        <f t="shared" ca="1" si="91"/>
        <v>42</v>
      </c>
      <c r="M347" s="3">
        <f t="shared" ca="1" si="92"/>
        <v>7</v>
      </c>
      <c r="N347" s="3" t="str">
        <f t="shared" ca="1" si="93"/>
        <v>Delayed</v>
      </c>
      <c r="O347" s="3" t="str">
        <f t="shared" ca="1" si="94"/>
        <v>Medium</v>
      </c>
      <c r="P347" s="3">
        <f t="shared" ca="1" si="95"/>
        <v>92</v>
      </c>
      <c r="Q347" s="1" t="str">
        <f ca="1">VLOOKUP(D347,Routes!$A$2:$D$31,2,FALSE)</f>
        <v>Kochi</v>
      </c>
      <c r="R347" s="1" t="str">
        <f ca="1">VLOOKUP(D347,Routes!$A$2:$D$31,3,FALSE)</f>
        <v>Bengaluru</v>
      </c>
      <c r="S347" s="3">
        <f ca="1">VLOOKUP(D347,Routes!$A$2:$D$31,4,FALSE)</f>
        <v>550</v>
      </c>
      <c r="T347" s="3" t="str">
        <f ca="1">VLOOKUP(E347,Vehicles!$A$2:$D$21,2,FALSE)</f>
        <v>Truck</v>
      </c>
      <c r="U347" s="3">
        <f ca="1">VLOOKUP(E347,Vehicles!$A$2:$D$21,3,FALSE)</f>
        <v>24</v>
      </c>
      <c r="V347" s="3" t="str">
        <f ca="1">VLOOKUP(E347,Vehicles!$A$2:$D$21,4,FALSE)</f>
        <v>Diesel</v>
      </c>
      <c r="W347" s="3">
        <f ca="1">VLOOKUP(V347,Fuel_Rates!$A$2:$B$3,2,FALSE)</f>
        <v>95</v>
      </c>
      <c r="X347" s="3">
        <f t="shared" ca="1" si="97"/>
        <v>112.31</v>
      </c>
      <c r="Y347" s="3">
        <f t="shared" ca="1" si="98"/>
        <v>80535</v>
      </c>
      <c r="Z347" s="3" t="str">
        <f t="shared" ca="1" si="99"/>
        <v>Feb</v>
      </c>
      <c r="AA347" s="3" t="str">
        <f t="shared" ca="1" si="100"/>
        <v>Q1</v>
      </c>
      <c r="AB347" s="4" t="str">
        <f t="shared" ca="1" si="101"/>
        <v>Medium Haul</v>
      </c>
    </row>
    <row r="348" spans="1:28" x14ac:dyDescent="0.3">
      <c r="A348" s="8" t="str">
        <f t="shared" si="96"/>
        <v>S0347</v>
      </c>
      <c r="B348" s="3">
        <f t="shared" ca="1" si="85"/>
        <v>45863</v>
      </c>
      <c r="C348" s="3" t="str">
        <f ca="1">INDEX(Customers!$A$2:$A$21,RANDBETWEEN(1,20))</f>
        <v>C009</v>
      </c>
      <c r="D348" s="3" t="str">
        <f ca="1">INDEX(Routes!$A$2:$A$31,RANDBETWEEN(1,30))</f>
        <v>R008</v>
      </c>
      <c r="E348" s="3" t="str">
        <f ca="1">INDEX(Vehicles!$A$2:$A$21,RANDBETWEEN(1,20))</f>
        <v>V011</v>
      </c>
      <c r="F348" s="3" t="str">
        <f ca="1">INDEX(Drivers!$A$2:$A$31,RANDBETWEEN(1,30))</f>
        <v>D026</v>
      </c>
      <c r="G348" s="3">
        <f t="shared" ca="1" si="86"/>
        <v>26.9</v>
      </c>
      <c r="H348" s="3">
        <f t="shared" ca="1" si="87"/>
        <v>60445</v>
      </c>
      <c r="I348" s="3">
        <f t="shared" ca="1" si="88"/>
        <v>16925</v>
      </c>
      <c r="J348" s="3">
        <f t="shared" ca="1" si="89"/>
        <v>2852</v>
      </c>
      <c r="K348" s="3">
        <f t="shared" ca="1" si="90"/>
        <v>26</v>
      </c>
      <c r="L348" s="3">
        <f t="shared" ca="1" si="91"/>
        <v>34</v>
      </c>
      <c r="M348" s="3">
        <f t="shared" ca="1" si="92"/>
        <v>8</v>
      </c>
      <c r="N348" s="3" t="str">
        <f t="shared" ca="1" si="93"/>
        <v>Delayed</v>
      </c>
      <c r="O348" s="3" t="str">
        <f t="shared" ca="1" si="94"/>
        <v>Low</v>
      </c>
      <c r="P348" s="3">
        <f t="shared" ca="1" si="95"/>
        <v>89.7</v>
      </c>
      <c r="Q348" s="1" t="str">
        <f ca="1">VLOOKUP(D348,Routes!$A$2:$D$31,2,FALSE)</f>
        <v>Delhi</v>
      </c>
      <c r="R348" s="1" t="str">
        <f ca="1">VLOOKUP(D348,Routes!$A$2:$D$31,3,FALSE)</f>
        <v>Kolkata</v>
      </c>
      <c r="S348" s="3">
        <f ca="1">VLOOKUP(D348,Routes!$A$2:$D$31,4,FALSE)</f>
        <v>1500</v>
      </c>
      <c r="T348" s="3" t="str">
        <f ca="1">VLOOKUP(E348,Vehicles!$A$2:$D$21,2,FALSE)</f>
        <v>Truck</v>
      </c>
      <c r="U348" s="3">
        <f ca="1">VLOOKUP(E348,Vehicles!$A$2:$D$21,3,FALSE)</f>
        <v>18</v>
      </c>
      <c r="V348" s="3" t="str">
        <f ca="1">VLOOKUP(E348,Vehicles!$A$2:$D$21,4,FALSE)</f>
        <v>CNG</v>
      </c>
      <c r="W348" s="3">
        <f ca="1">VLOOKUP(V348,Fuel_Rates!$A$2:$B$3,2,FALSE)</f>
        <v>78</v>
      </c>
      <c r="X348" s="3">
        <f t="shared" ca="1" si="97"/>
        <v>40.299999999999997</v>
      </c>
      <c r="Y348" s="3">
        <f t="shared" ca="1" si="98"/>
        <v>80222</v>
      </c>
      <c r="Z348" s="3" t="str">
        <f t="shared" ca="1" si="99"/>
        <v>Jul</v>
      </c>
      <c r="AA348" s="3" t="str">
        <f t="shared" ca="1" si="100"/>
        <v>Q3</v>
      </c>
      <c r="AB348" s="4" t="str">
        <f t="shared" ca="1" si="101"/>
        <v>Long Haul</v>
      </c>
    </row>
    <row r="349" spans="1:28" x14ac:dyDescent="0.3">
      <c r="A349" s="8" t="str">
        <f t="shared" si="96"/>
        <v>S0348</v>
      </c>
      <c r="B349" s="3">
        <f t="shared" ca="1" si="85"/>
        <v>45793</v>
      </c>
      <c r="C349" s="3" t="str">
        <f ca="1">INDEX(Customers!$A$2:$A$21,RANDBETWEEN(1,20))</f>
        <v>C011</v>
      </c>
      <c r="D349" s="3" t="str">
        <f ca="1">INDEX(Routes!$A$2:$A$31,RANDBETWEEN(1,30))</f>
        <v>R006</v>
      </c>
      <c r="E349" s="3" t="str">
        <f ca="1">INDEX(Vehicles!$A$2:$A$21,RANDBETWEEN(1,20))</f>
        <v>V011</v>
      </c>
      <c r="F349" s="3" t="str">
        <f ca="1">INDEX(Drivers!$A$2:$A$31,RANDBETWEEN(1,30))</f>
        <v>D026</v>
      </c>
      <c r="G349" s="3">
        <f t="shared" ca="1" si="86"/>
        <v>5.3</v>
      </c>
      <c r="H349" s="3">
        <f t="shared" ca="1" si="87"/>
        <v>17478</v>
      </c>
      <c r="I349" s="3">
        <f t="shared" ca="1" si="88"/>
        <v>4894</v>
      </c>
      <c r="J349" s="3">
        <f t="shared" ca="1" si="89"/>
        <v>2304</v>
      </c>
      <c r="K349" s="3">
        <f t="shared" ca="1" si="90"/>
        <v>28</v>
      </c>
      <c r="L349" s="3">
        <f t="shared" ca="1" si="91"/>
        <v>36</v>
      </c>
      <c r="M349" s="3">
        <f t="shared" ca="1" si="92"/>
        <v>8</v>
      </c>
      <c r="N349" s="3" t="str">
        <f t="shared" ca="1" si="93"/>
        <v>Delayed</v>
      </c>
      <c r="O349" s="3" t="str">
        <f t="shared" ca="1" si="94"/>
        <v>Low</v>
      </c>
      <c r="P349" s="3">
        <f t="shared" ca="1" si="95"/>
        <v>17.7</v>
      </c>
      <c r="Q349" s="1" t="str">
        <f ca="1">VLOOKUP(D349,Routes!$A$2:$D$31,2,FALSE)</f>
        <v>Delhi</v>
      </c>
      <c r="R349" s="1" t="str">
        <f ca="1">VLOOKUP(D349,Routes!$A$2:$D$31,3,FALSE)</f>
        <v>Lucknow</v>
      </c>
      <c r="S349" s="3">
        <f ca="1">VLOOKUP(D349,Routes!$A$2:$D$31,4,FALSE)</f>
        <v>550</v>
      </c>
      <c r="T349" s="3" t="str">
        <f ca="1">VLOOKUP(E349,Vehicles!$A$2:$D$21,2,FALSE)</f>
        <v>Truck</v>
      </c>
      <c r="U349" s="3">
        <f ca="1">VLOOKUP(E349,Vehicles!$A$2:$D$21,3,FALSE)</f>
        <v>18</v>
      </c>
      <c r="V349" s="3" t="str">
        <f ca="1">VLOOKUP(E349,Vehicles!$A$2:$D$21,4,FALSE)</f>
        <v>CNG</v>
      </c>
      <c r="W349" s="3">
        <f ca="1">VLOOKUP(V349,Fuel_Rates!$A$2:$B$3,2,FALSE)</f>
        <v>78</v>
      </c>
      <c r="X349" s="3">
        <f t="shared" ca="1" si="97"/>
        <v>31.78</v>
      </c>
      <c r="Y349" s="3">
        <f t="shared" ca="1" si="98"/>
        <v>24676</v>
      </c>
      <c r="Z349" s="3" t="str">
        <f t="shared" ca="1" si="99"/>
        <v>May</v>
      </c>
      <c r="AA349" s="3" t="str">
        <f t="shared" ca="1" si="100"/>
        <v>Q2</v>
      </c>
      <c r="AB349" s="4" t="str">
        <f t="shared" ca="1" si="101"/>
        <v>Medium Haul</v>
      </c>
    </row>
    <row r="350" spans="1:28" x14ac:dyDescent="0.3">
      <c r="A350" s="8" t="str">
        <f t="shared" si="96"/>
        <v>S0349</v>
      </c>
      <c r="B350" s="3">
        <f t="shared" ca="1" si="85"/>
        <v>45915</v>
      </c>
      <c r="C350" s="3" t="str">
        <f ca="1">INDEX(Customers!$A$2:$A$21,RANDBETWEEN(1,20))</f>
        <v>C014</v>
      </c>
      <c r="D350" s="3" t="str">
        <f ca="1">INDEX(Routes!$A$2:$A$31,RANDBETWEEN(1,30))</f>
        <v>R004</v>
      </c>
      <c r="E350" s="3" t="str">
        <f ca="1">INDEX(Vehicles!$A$2:$A$21,RANDBETWEEN(1,20))</f>
        <v>V017</v>
      </c>
      <c r="F350" s="3" t="str">
        <f ca="1">INDEX(Drivers!$A$2:$A$31,RANDBETWEEN(1,30))</f>
        <v>D009</v>
      </c>
      <c r="G350" s="3">
        <f t="shared" ca="1" si="86"/>
        <v>3.2</v>
      </c>
      <c r="H350" s="3">
        <f t="shared" ca="1" si="87"/>
        <v>18897</v>
      </c>
      <c r="I350" s="3">
        <f t="shared" ca="1" si="88"/>
        <v>5291</v>
      </c>
      <c r="J350" s="3">
        <f t="shared" ca="1" si="89"/>
        <v>2776</v>
      </c>
      <c r="K350" s="3">
        <f t="shared" ca="1" si="90"/>
        <v>38</v>
      </c>
      <c r="L350" s="3">
        <f t="shared" ca="1" si="91"/>
        <v>44</v>
      </c>
      <c r="M350" s="3">
        <f t="shared" ca="1" si="92"/>
        <v>6</v>
      </c>
      <c r="N350" s="3" t="str">
        <f t="shared" ca="1" si="93"/>
        <v>Delayed</v>
      </c>
      <c r="O350" s="3" t="str">
        <f t="shared" ca="1" si="94"/>
        <v>Medium</v>
      </c>
      <c r="P350" s="3">
        <f t="shared" ca="1" si="95"/>
        <v>10.7</v>
      </c>
      <c r="Q350" s="1" t="str">
        <f ca="1">VLOOKUP(D350,Routes!$A$2:$D$31,2,FALSE)</f>
        <v>Mumbai</v>
      </c>
      <c r="R350" s="1" t="str">
        <f ca="1">VLOOKUP(D350,Routes!$A$2:$D$31,3,FALSE)</f>
        <v>Bengaluru</v>
      </c>
      <c r="S350" s="3">
        <f ca="1">VLOOKUP(D350,Routes!$A$2:$D$31,4,FALSE)</f>
        <v>980</v>
      </c>
      <c r="T350" s="3" t="str">
        <f ca="1">VLOOKUP(E350,Vehicles!$A$2:$D$21,2,FALSE)</f>
        <v>Truck</v>
      </c>
      <c r="U350" s="3">
        <f ca="1">VLOOKUP(E350,Vehicles!$A$2:$D$21,3,FALSE)</f>
        <v>24</v>
      </c>
      <c r="V350" s="3" t="str">
        <f ca="1">VLOOKUP(E350,Vehicles!$A$2:$D$21,4,FALSE)</f>
        <v>Diesel</v>
      </c>
      <c r="W350" s="3">
        <f ca="1">VLOOKUP(V350,Fuel_Rates!$A$2:$B$3,2,FALSE)</f>
        <v>95</v>
      </c>
      <c r="X350" s="3">
        <f t="shared" ca="1" si="97"/>
        <v>19.28</v>
      </c>
      <c r="Y350" s="3">
        <f t="shared" ca="1" si="98"/>
        <v>26964</v>
      </c>
      <c r="Z350" s="3" t="str">
        <f t="shared" ca="1" si="99"/>
        <v>Sep</v>
      </c>
      <c r="AA350" s="3" t="str">
        <f t="shared" ca="1" si="100"/>
        <v>Q3</v>
      </c>
      <c r="AB350" s="4" t="str">
        <f t="shared" ca="1" si="101"/>
        <v>Long Haul</v>
      </c>
    </row>
    <row r="351" spans="1:28" x14ac:dyDescent="0.3">
      <c r="A351" s="8" t="str">
        <f t="shared" si="96"/>
        <v>S0350</v>
      </c>
      <c r="B351" s="3">
        <f t="shared" ca="1" si="85"/>
        <v>46010</v>
      </c>
      <c r="C351" s="3" t="str">
        <f ca="1">INDEX(Customers!$A$2:$A$21,RANDBETWEEN(1,20))</f>
        <v>C013</v>
      </c>
      <c r="D351" s="3" t="str">
        <f ca="1">INDEX(Routes!$A$2:$A$31,RANDBETWEEN(1,30))</f>
        <v>R017</v>
      </c>
      <c r="E351" s="3" t="str">
        <f ca="1">INDEX(Vehicles!$A$2:$A$21,RANDBETWEEN(1,20))</f>
        <v>V002</v>
      </c>
      <c r="F351" s="3" t="str">
        <f ca="1">INDEX(Drivers!$A$2:$A$31,RANDBETWEEN(1,30))</f>
        <v>D008</v>
      </c>
      <c r="G351" s="3">
        <f t="shared" ca="1" si="86"/>
        <v>27.6</v>
      </c>
      <c r="H351" s="3">
        <f t="shared" ca="1" si="87"/>
        <v>62614</v>
      </c>
      <c r="I351" s="3">
        <f t="shared" ca="1" si="88"/>
        <v>17532</v>
      </c>
      <c r="J351" s="3">
        <f t="shared" ca="1" si="89"/>
        <v>2432</v>
      </c>
      <c r="K351" s="3">
        <f t="shared" ca="1" si="90"/>
        <v>27</v>
      </c>
      <c r="L351" s="3">
        <f t="shared" ca="1" si="91"/>
        <v>34</v>
      </c>
      <c r="M351" s="3">
        <f t="shared" ca="1" si="92"/>
        <v>7</v>
      </c>
      <c r="N351" s="3" t="str">
        <f t="shared" ca="1" si="93"/>
        <v>Delayed</v>
      </c>
      <c r="O351" s="3" t="str">
        <f t="shared" ca="1" si="94"/>
        <v>High</v>
      </c>
      <c r="P351" s="3">
        <f t="shared" ca="1" si="95"/>
        <v>92</v>
      </c>
      <c r="Q351" s="1" t="str">
        <f ca="1">VLOOKUP(D351,Routes!$A$2:$D$31,2,FALSE)</f>
        <v>Kolkata</v>
      </c>
      <c r="R351" s="1" t="str">
        <f ca="1">VLOOKUP(D351,Routes!$A$2:$D$31,3,FALSE)</f>
        <v>Patna</v>
      </c>
      <c r="S351" s="3">
        <f ca="1">VLOOKUP(D351,Routes!$A$2:$D$31,4,FALSE)</f>
        <v>620</v>
      </c>
      <c r="T351" s="3" t="str">
        <f ca="1">VLOOKUP(E351,Vehicles!$A$2:$D$21,2,FALSE)</f>
        <v>Truck</v>
      </c>
      <c r="U351" s="3">
        <f ca="1">VLOOKUP(E351,Vehicles!$A$2:$D$21,3,FALSE)</f>
        <v>20</v>
      </c>
      <c r="V351" s="3" t="str">
        <f ca="1">VLOOKUP(E351,Vehicles!$A$2:$D$21,4,FALSE)</f>
        <v>Diesel</v>
      </c>
      <c r="W351" s="3">
        <f ca="1">VLOOKUP(V351,Fuel_Rates!$A$2:$B$3,2,FALSE)</f>
        <v>95</v>
      </c>
      <c r="X351" s="3">
        <f t="shared" ca="1" si="97"/>
        <v>100.99</v>
      </c>
      <c r="Y351" s="3">
        <f t="shared" ca="1" si="98"/>
        <v>82578</v>
      </c>
      <c r="Z351" s="3" t="str">
        <f t="shared" ca="1" si="99"/>
        <v>Dec</v>
      </c>
      <c r="AA351" s="3" t="str">
        <f t="shared" ca="1" si="100"/>
        <v>Q4</v>
      </c>
      <c r="AB351" s="4" t="str">
        <f t="shared" ca="1" si="101"/>
        <v>Medium Haul</v>
      </c>
    </row>
    <row r="352" spans="1:28" x14ac:dyDescent="0.3">
      <c r="A352" s="8" t="str">
        <f t="shared" si="96"/>
        <v>S0351</v>
      </c>
      <c r="B352" s="3">
        <f t="shared" ca="1" si="85"/>
        <v>45661</v>
      </c>
      <c r="C352" s="3" t="str">
        <f ca="1">INDEX(Customers!$A$2:$A$21,RANDBETWEEN(1,20))</f>
        <v>C009</v>
      </c>
      <c r="D352" s="3" t="str">
        <f ca="1">INDEX(Routes!$A$2:$A$31,RANDBETWEEN(1,30))</f>
        <v>R001</v>
      </c>
      <c r="E352" s="3" t="str">
        <f ca="1">INDEX(Vehicles!$A$2:$A$21,RANDBETWEEN(1,20))</f>
        <v>V003</v>
      </c>
      <c r="F352" s="3" t="str">
        <f ca="1">INDEX(Drivers!$A$2:$A$31,RANDBETWEEN(1,30))</f>
        <v>D024</v>
      </c>
      <c r="G352" s="3">
        <f t="shared" ca="1" si="86"/>
        <v>19.399999999999999</v>
      </c>
      <c r="H352" s="3">
        <f t="shared" ca="1" si="87"/>
        <v>48192</v>
      </c>
      <c r="I352" s="3">
        <f t="shared" ca="1" si="88"/>
        <v>13494</v>
      </c>
      <c r="J352" s="3">
        <f t="shared" ca="1" si="89"/>
        <v>3465</v>
      </c>
      <c r="K352" s="3">
        <f t="shared" ca="1" si="90"/>
        <v>47</v>
      </c>
      <c r="L352" s="3">
        <f t="shared" ca="1" si="91"/>
        <v>51</v>
      </c>
      <c r="M352" s="3">
        <f t="shared" ca="1" si="92"/>
        <v>4</v>
      </c>
      <c r="N352" s="3" t="str">
        <f t="shared" ca="1" si="93"/>
        <v>Delayed</v>
      </c>
      <c r="O352" s="3" t="str">
        <f t="shared" ca="1" si="94"/>
        <v>Low</v>
      </c>
      <c r="P352" s="3">
        <f t="shared" ca="1" si="95"/>
        <v>64.7</v>
      </c>
      <c r="Q352" s="1" t="str">
        <f ca="1">VLOOKUP(D352,Routes!$A$2:$D$31,2,FALSE)</f>
        <v>Mumbai</v>
      </c>
      <c r="R352" s="1" t="str">
        <f ca="1">VLOOKUP(D352,Routes!$A$2:$D$31,3,FALSE)</f>
        <v>Pune</v>
      </c>
      <c r="S352" s="3">
        <f ca="1">VLOOKUP(D352,Routes!$A$2:$D$31,4,FALSE)</f>
        <v>150</v>
      </c>
      <c r="T352" s="3" t="str">
        <f ca="1">VLOOKUP(E352,Vehicles!$A$2:$D$21,2,FALSE)</f>
        <v>Truck</v>
      </c>
      <c r="U352" s="3">
        <f ca="1">VLOOKUP(E352,Vehicles!$A$2:$D$21,3,FALSE)</f>
        <v>25</v>
      </c>
      <c r="V352" s="3" t="str">
        <f ca="1">VLOOKUP(E352,Vehicles!$A$2:$D$21,4,FALSE)</f>
        <v>Diesel</v>
      </c>
      <c r="W352" s="3">
        <f ca="1">VLOOKUP(V352,Fuel_Rates!$A$2:$B$3,2,FALSE)</f>
        <v>95</v>
      </c>
      <c r="X352" s="3">
        <f t="shared" ca="1" si="97"/>
        <v>321.27999999999997</v>
      </c>
      <c r="Y352" s="3">
        <f t="shared" ca="1" si="98"/>
        <v>65151</v>
      </c>
      <c r="Z352" s="3" t="str">
        <f t="shared" ca="1" si="99"/>
        <v>Jan</v>
      </c>
      <c r="AA352" s="3" t="str">
        <f t="shared" ca="1" si="100"/>
        <v>Q1</v>
      </c>
      <c r="AB352" s="4" t="str">
        <f t="shared" ca="1" si="101"/>
        <v>Short Haul</v>
      </c>
    </row>
    <row r="353" spans="1:28" x14ac:dyDescent="0.3">
      <c r="A353" s="8" t="str">
        <f t="shared" si="96"/>
        <v>S0352</v>
      </c>
      <c r="B353" s="3">
        <f t="shared" ca="1" si="85"/>
        <v>45978</v>
      </c>
      <c r="C353" s="3" t="str">
        <f ca="1">INDEX(Customers!$A$2:$A$21,RANDBETWEEN(1,20))</f>
        <v>C002</v>
      </c>
      <c r="D353" s="3" t="str">
        <f ca="1">INDEX(Routes!$A$2:$A$31,RANDBETWEEN(1,30))</f>
        <v>R026</v>
      </c>
      <c r="E353" s="3" t="str">
        <f ca="1">INDEX(Vehicles!$A$2:$A$21,RANDBETWEEN(1,20))</f>
        <v>V010</v>
      </c>
      <c r="F353" s="3" t="str">
        <f ca="1">INDEX(Drivers!$A$2:$A$31,RANDBETWEEN(1,30))</f>
        <v>D007</v>
      </c>
      <c r="G353" s="3">
        <f t="shared" ca="1" si="86"/>
        <v>5.3</v>
      </c>
      <c r="H353" s="3">
        <f t="shared" ca="1" si="87"/>
        <v>20510</v>
      </c>
      <c r="I353" s="3">
        <f t="shared" ca="1" si="88"/>
        <v>5743</v>
      </c>
      <c r="J353" s="3">
        <f t="shared" ca="1" si="89"/>
        <v>1113</v>
      </c>
      <c r="K353" s="3">
        <f t="shared" ca="1" si="90"/>
        <v>27</v>
      </c>
      <c r="L353" s="3">
        <f t="shared" ca="1" si="91"/>
        <v>28</v>
      </c>
      <c r="M353" s="3">
        <f t="shared" ca="1" si="92"/>
        <v>1</v>
      </c>
      <c r="N353" s="3" t="str">
        <f t="shared" ca="1" si="93"/>
        <v>On Time</v>
      </c>
      <c r="O353" s="3" t="str">
        <f t="shared" ca="1" si="94"/>
        <v>Low</v>
      </c>
      <c r="P353" s="3">
        <f t="shared" ca="1" si="95"/>
        <v>17.7</v>
      </c>
      <c r="Q353" s="1" t="str">
        <f ca="1">VLOOKUP(D353,Routes!$A$2:$D$31,2,FALSE)</f>
        <v>Nagpur</v>
      </c>
      <c r="R353" s="1" t="str">
        <f ca="1">VLOOKUP(D353,Routes!$A$2:$D$31,3,FALSE)</f>
        <v>Bhopal</v>
      </c>
      <c r="S353" s="3">
        <f ca="1">VLOOKUP(D353,Routes!$A$2:$D$31,4,FALSE)</f>
        <v>350</v>
      </c>
      <c r="T353" s="3" t="str">
        <f ca="1">VLOOKUP(E353,Vehicles!$A$2:$D$21,2,FALSE)</f>
        <v>LCV</v>
      </c>
      <c r="U353" s="3">
        <f ca="1">VLOOKUP(E353,Vehicles!$A$2:$D$21,3,FALSE)</f>
        <v>7</v>
      </c>
      <c r="V353" s="3" t="str">
        <f ca="1">VLOOKUP(E353,Vehicles!$A$2:$D$21,4,FALSE)</f>
        <v>Diesel</v>
      </c>
      <c r="W353" s="3">
        <f ca="1">VLOOKUP(V353,Fuel_Rates!$A$2:$B$3,2,FALSE)</f>
        <v>95</v>
      </c>
      <c r="X353" s="3">
        <f t="shared" ca="1" si="97"/>
        <v>58.6</v>
      </c>
      <c r="Y353" s="3">
        <f t="shared" ca="1" si="98"/>
        <v>27366</v>
      </c>
      <c r="Z353" s="3" t="str">
        <f t="shared" ca="1" si="99"/>
        <v>Nov</v>
      </c>
      <c r="AA353" s="3" t="str">
        <f t="shared" ca="1" si="100"/>
        <v>Q4</v>
      </c>
      <c r="AB353" s="4" t="str">
        <f t="shared" ca="1" si="101"/>
        <v>Medium Haul</v>
      </c>
    </row>
    <row r="354" spans="1:28" x14ac:dyDescent="0.3">
      <c r="A354" s="8" t="str">
        <f t="shared" si="96"/>
        <v>S0353</v>
      </c>
      <c r="B354" s="3">
        <f t="shared" ca="1" si="85"/>
        <v>45711</v>
      </c>
      <c r="C354" s="3" t="str">
        <f ca="1">INDEX(Customers!$A$2:$A$21,RANDBETWEEN(1,20))</f>
        <v>C005</v>
      </c>
      <c r="D354" s="3" t="str">
        <f ca="1">INDEX(Routes!$A$2:$A$31,RANDBETWEEN(1,30))</f>
        <v>R014</v>
      </c>
      <c r="E354" s="3" t="str">
        <f ca="1">INDEX(Vehicles!$A$2:$A$21,RANDBETWEEN(1,20))</f>
        <v>V009</v>
      </c>
      <c r="F354" s="3" t="str">
        <f ca="1">INDEX(Drivers!$A$2:$A$31,RANDBETWEEN(1,30))</f>
        <v>D003</v>
      </c>
      <c r="G354" s="3">
        <f t="shared" ca="1" si="86"/>
        <v>18.600000000000001</v>
      </c>
      <c r="H354" s="3">
        <f t="shared" ca="1" si="87"/>
        <v>37390</v>
      </c>
      <c r="I354" s="3">
        <f t="shared" ca="1" si="88"/>
        <v>10469</v>
      </c>
      <c r="J354" s="3">
        <f t="shared" ca="1" si="89"/>
        <v>2403</v>
      </c>
      <c r="K354" s="3">
        <f t="shared" ca="1" si="90"/>
        <v>36</v>
      </c>
      <c r="L354" s="3">
        <f t="shared" ca="1" si="91"/>
        <v>38</v>
      </c>
      <c r="M354" s="3">
        <f t="shared" ca="1" si="92"/>
        <v>2</v>
      </c>
      <c r="N354" s="3" t="str">
        <f t="shared" ca="1" si="93"/>
        <v>On Time</v>
      </c>
      <c r="O354" s="3" t="str">
        <f t="shared" ca="1" si="94"/>
        <v>Medium</v>
      </c>
      <c r="P354" s="3">
        <f t="shared" ca="1" si="95"/>
        <v>62</v>
      </c>
      <c r="Q354" s="1" t="str">
        <f ca="1">VLOOKUP(D354,Routes!$A$2:$D$31,2,FALSE)</f>
        <v>Hyderabad</v>
      </c>
      <c r="R354" s="1" t="str">
        <f ca="1">VLOOKUP(D354,Routes!$A$2:$D$31,3,FALSE)</f>
        <v>Nagpur</v>
      </c>
      <c r="S354" s="3">
        <f ca="1">VLOOKUP(D354,Routes!$A$2:$D$31,4,FALSE)</f>
        <v>500</v>
      </c>
      <c r="T354" s="3" t="str">
        <f ca="1">VLOOKUP(E354,Vehicles!$A$2:$D$21,2,FALSE)</f>
        <v>LCV</v>
      </c>
      <c r="U354" s="3">
        <f ca="1">VLOOKUP(E354,Vehicles!$A$2:$D$21,3,FALSE)</f>
        <v>5</v>
      </c>
      <c r="V354" s="3" t="str">
        <f ca="1">VLOOKUP(E354,Vehicles!$A$2:$D$21,4,FALSE)</f>
        <v>Diesel</v>
      </c>
      <c r="W354" s="3">
        <f ca="1">VLOOKUP(V354,Fuel_Rates!$A$2:$B$3,2,FALSE)</f>
        <v>95</v>
      </c>
      <c r="X354" s="3">
        <f t="shared" ca="1" si="97"/>
        <v>74.78</v>
      </c>
      <c r="Y354" s="3">
        <f t="shared" ca="1" si="98"/>
        <v>50262</v>
      </c>
      <c r="Z354" s="3" t="str">
        <f t="shared" ca="1" si="99"/>
        <v>Feb</v>
      </c>
      <c r="AA354" s="3" t="str">
        <f t="shared" ca="1" si="100"/>
        <v>Q1</v>
      </c>
      <c r="AB354" s="4" t="str">
        <f t="shared" ca="1" si="101"/>
        <v>Medium Haul</v>
      </c>
    </row>
    <row r="355" spans="1:28" x14ac:dyDescent="0.3">
      <c r="A355" s="8" t="str">
        <f t="shared" si="96"/>
        <v>S0354</v>
      </c>
      <c r="B355" s="3">
        <f t="shared" ca="1" si="85"/>
        <v>45984</v>
      </c>
      <c r="C355" s="3" t="str">
        <f ca="1">INDEX(Customers!$A$2:$A$21,RANDBETWEEN(1,20))</f>
        <v>C001</v>
      </c>
      <c r="D355" s="3" t="str">
        <f ca="1">INDEX(Routes!$A$2:$A$31,RANDBETWEEN(1,30))</f>
        <v>R002</v>
      </c>
      <c r="E355" s="3" t="str">
        <f ca="1">INDEX(Vehicles!$A$2:$A$21,RANDBETWEEN(1,20))</f>
        <v>V019</v>
      </c>
      <c r="F355" s="3" t="str">
        <f ca="1">INDEX(Drivers!$A$2:$A$31,RANDBETWEEN(1,30))</f>
        <v>D004</v>
      </c>
      <c r="G355" s="3">
        <f t="shared" ca="1" si="86"/>
        <v>13</v>
      </c>
      <c r="H355" s="3">
        <f t="shared" ca="1" si="87"/>
        <v>32727</v>
      </c>
      <c r="I355" s="3">
        <f t="shared" ca="1" si="88"/>
        <v>9164</v>
      </c>
      <c r="J355" s="3">
        <f t="shared" ca="1" si="89"/>
        <v>3755</v>
      </c>
      <c r="K355" s="3">
        <f t="shared" ca="1" si="90"/>
        <v>12</v>
      </c>
      <c r="L355" s="3">
        <f t="shared" ca="1" si="91"/>
        <v>15</v>
      </c>
      <c r="M355" s="3">
        <f t="shared" ca="1" si="92"/>
        <v>3</v>
      </c>
      <c r="N355" s="3" t="str">
        <f t="shared" ca="1" si="93"/>
        <v>Delayed</v>
      </c>
      <c r="O355" s="3" t="str">
        <f t="shared" ca="1" si="94"/>
        <v>High</v>
      </c>
      <c r="P355" s="3">
        <f t="shared" ca="1" si="95"/>
        <v>43.3</v>
      </c>
      <c r="Q355" s="1" t="str">
        <f ca="1">VLOOKUP(D355,Routes!$A$2:$D$31,2,FALSE)</f>
        <v>Mumbai</v>
      </c>
      <c r="R355" s="1" t="str">
        <f ca="1">VLOOKUP(D355,Routes!$A$2:$D$31,3,FALSE)</f>
        <v>Ahmedabad</v>
      </c>
      <c r="S355" s="3">
        <f ca="1">VLOOKUP(D355,Routes!$A$2:$D$31,4,FALSE)</f>
        <v>530</v>
      </c>
      <c r="T355" s="3" t="str">
        <f ca="1">VLOOKUP(E355,Vehicles!$A$2:$D$21,2,FALSE)</f>
        <v>Trailer</v>
      </c>
      <c r="U355" s="3">
        <f ca="1">VLOOKUP(E355,Vehicles!$A$2:$D$21,3,FALSE)</f>
        <v>35</v>
      </c>
      <c r="V355" s="3" t="str">
        <f ca="1">VLOOKUP(E355,Vehicles!$A$2:$D$21,4,FALSE)</f>
        <v>Diesel</v>
      </c>
      <c r="W355" s="3">
        <f ca="1">VLOOKUP(V355,Fuel_Rates!$A$2:$B$3,2,FALSE)</f>
        <v>95</v>
      </c>
      <c r="X355" s="3">
        <f t="shared" ca="1" si="97"/>
        <v>61.75</v>
      </c>
      <c r="Y355" s="3">
        <f t="shared" ca="1" si="98"/>
        <v>45646</v>
      </c>
      <c r="Z355" s="3" t="str">
        <f t="shared" ca="1" si="99"/>
        <v>Nov</v>
      </c>
      <c r="AA355" s="3" t="str">
        <f t="shared" ca="1" si="100"/>
        <v>Q4</v>
      </c>
      <c r="AB355" s="4" t="str">
        <f t="shared" ca="1" si="101"/>
        <v>Medium Haul</v>
      </c>
    </row>
    <row r="356" spans="1:28" x14ac:dyDescent="0.3">
      <c r="A356" s="8" t="str">
        <f t="shared" si="96"/>
        <v>S0355</v>
      </c>
      <c r="B356" s="3">
        <f t="shared" ca="1" si="85"/>
        <v>46009</v>
      </c>
      <c r="C356" s="3" t="str">
        <f ca="1">INDEX(Customers!$A$2:$A$21,RANDBETWEEN(1,20))</f>
        <v>C009</v>
      </c>
      <c r="D356" s="3" t="str">
        <f ca="1">INDEX(Routes!$A$2:$A$31,RANDBETWEEN(1,30))</f>
        <v>R024</v>
      </c>
      <c r="E356" s="3" t="str">
        <f ca="1">INDEX(Vehicles!$A$2:$A$21,RANDBETWEEN(1,20))</f>
        <v>V019</v>
      </c>
      <c r="F356" s="3" t="str">
        <f ca="1">INDEX(Drivers!$A$2:$A$31,RANDBETWEEN(1,30))</f>
        <v>D006</v>
      </c>
      <c r="G356" s="3">
        <f t="shared" ca="1" si="86"/>
        <v>10.9</v>
      </c>
      <c r="H356" s="3">
        <f t="shared" ca="1" si="87"/>
        <v>23595</v>
      </c>
      <c r="I356" s="3">
        <f t="shared" ca="1" si="88"/>
        <v>6607</v>
      </c>
      <c r="J356" s="3">
        <f t="shared" ca="1" si="89"/>
        <v>595</v>
      </c>
      <c r="K356" s="3">
        <f t="shared" ca="1" si="90"/>
        <v>5</v>
      </c>
      <c r="L356" s="3">
        <f t="shared" ca="1" si="91"/>
        <v>8</v>
      </c>
      <c r="M356" s="3">
        <f t="shared" ca="1" si="92"/>
        <v>3</v>
      </c>
      <c r="N356" s="3" t="str">
        <f t="shared" ca="1" si="93"/>
        <v>Delayed</v>
      </c>
      <c r="O356" s="3" t="str">
        <f t="shared" ca="1" si="94"/>
        <v>Medium</v>
      </c>
      <c r="P356" s="3">
        <f t="shared" ca="1" si="95"/>
        <v>36.299999999999997</v>
      </c>
      <c r="Q356" s="1" t="str">
        <f ca="1">VLOOKUP(D356,Routes!$A$2:$D$31,2,FALSE)</f>
        <v>Surat</v>
      </c>
      <c r="R356" s="1" t="str">
        <f ca="1">VLOOKUP(D356,Routes!$A$2:$D$31,3,FALSE)</f>
        <v>Mumbai</v>
      </c>
      <c r="S356" s="3">
        <f ca="1">VLOOKUP(D356,Routes!$A$2:$D$31,4,FALSE)</f>
        <v>280</v>
      </c>
      <c r="T356" s="3" t="str">
        <f ca="1">VLOOKUP(E356,Vehicles!$A$2:$D$21,2,FALSE)</f>
        <v>Trailer</v>
      </c>
      <c r="U356" s="3">
        <f ca="1">VLOOKUP(E356,Vehicles!$A$2:$D$21,3,FALSE)</f>
        <v>35</v>
      </c>
      <c r="V356" s="3" t="str">
        <f ca="1">VLOOKUP(E356,Vehicles!$A$2:$D$21,4,FALSE)</f>
        <v>Diesel</v>
      </c>
      <c r="W356" s="3">
        <f ca="1">VLOOKUP(V356,Fuel_Rates!$A$2:$B$3,2,FALSE)</f>
        <v>95</v>
      </c>
      <c r="X356" s="3">
        <f t="shared" ca="1" si="97"/>
        <v>84.27</v>
      </c>
      <c r="Y356" s="3">
        <f t="shared" ca="1" si="98"/>
        <v>30797</v>
      </c>
      <c r="Z356" s="3" t="str">
        <f t="shared" ca="1" si="99"/>
        <v>Dec</v>
      </c>
      <c r="AA356" s="3" t="str">
        <f t="shared" ca="1" si="100"/>
        <v>Q4</v>
      </c>
      <c r="AB356" s="4" t="str">
        <f t="shared" ca="1" si="101"/>
        <v>Short Haul</v>
      </c>
    </row>
    <row r="357" spans="1:28" x14ac:dyDescent="0.3">
      <c r="A357" s="8" t="str">
        <f t="shared" si="96"/>
        <v>S0356</v>
      </c>
      <c r="B357" s="3">
        <f t="shared" ca="1" si="85"/>
        <v>45697</v>
      </c>
      <c r="C357" s="3" t="str">
        <f ca="1">INDEX(Customers!$A$2:$A$21,RANDBETWEEN(1,20))</f>
        <v>C012</v>
      </c>
      <c r="D357" s="3" t="str">
        <f ca="1">INDEX(Routes!$A$2:$A$31,RANDBETWEEN(1,30))</f>
        <v>R006</v>
      </c>
      <c r="E357" s="3" t="str">
        <f ca="1">INDEX(Vehicles!$A$2:$A$21,RANDBETWEEN(1,20))</f>
        <v>V009</v>
      </c>
      <c r="F357" s="3" t="str">
        <f ca="1">INDEX(Drivers!$A$2:$A$31,RANDBETWEEN(1,30))</f>
        <v>D004</v>
      </c>
      <c r="G357" s="3">
        <f t="shared" ca="1" si="86"/>
        <v>6.7</v>
      </c>
      <c r="H357" s="3">
        <f t="shared" ca="1" si="87"/>
        <v>18454</v>
      </c>
      <c r="I357" s="3">
        <f t="shared" ca="1" si="88"/>
        <v>5167</v>
      </c>
      <c r="J357" s="3">
        <f t="shared" ca="1" si="89"/>
        <v>1840</v>
      </c>
      <c r="K357" s="3">
        <f t="shared" ca="1" si="90"/>
        <v>22</v>
      </c>
      <c r="L357" s="3">
        <f t="shared" ca="1" si="91"/>
        <v>22</v>
      </c>
      <c r="M357" s="3">
        <f t="shared" ca="1" si="92"/>
        <v>0</v>
      </c>
      <c r="N357" s="3" t="str">
        <f t="shared" ca="1" si="93"/>
        <v>On Time</v>
      </c>
      <c r="O357" s="3" t="str">
        <f t="shared" ca="1" si="94"/>
        <v>Low</v>
      </c>
      <c r="P357" s="3">
        <f t="shared" ca="1" si="95"/>
        <v>22.3</v>
      </c>
      <c r="Q357" s="1" t="str">
        <f ca="1">VLOOKUP(D357,Routes!$A$2:$D$31,2,FALSE)</f>
        <v>Delhi</v>
      </c>
      <c r="R357" s="1" t="str">
        <f ca="1">VLOOKUP(D357,Routes!$A$2:$D$31,3,FALSE)</f>
        <v>Lucknow</v>
      </c>
      <c r="S357" s="3">
        <f ca="1">VLOOKUP(D357,Routes!$A$2:$D$31,4,FALSE)</f>
        <v>550</v>
      </c>
      <c r="T357" s="3" t="str">
        <f ca="1">VLOOKUP(E357,Vehicles!$A$2:$D$21,2,FALSE)</f>
        <v>LCV</v>
      </c>
      <c r="U357" s="3">
        <f ca="1">VLOOKUP(E357,Vehicles!$A$2:$D$21,3,FALSE)</f>
        <v>5</v>
      </c>
      <c r="V357" s="3" t="str">
        <f ca="1">VLOOKUP(E357,Vehicles!$A$2:$D$21,4,FALSE)</f>
        <v>Diesel</v>
      </c>
      <c r="W357" s="3">
        <f ca="1">VLOOKUP(V357,Fuel_Rates!$A$2:$B$3,2,FALSE)</f>
        <v>95</v>
      </c>
      <c r="X357" s="3">
        <f t="shared" ca="1" si="97"/>
        <v>33.549999999999997</v>
      </c>
      <c r="Y357" s="3">
        <f t="shared" ca="1" si="98"/>
        <v>25461</v>
      </c>
      <c r="Z357" s="3" t="str">
        <f t="shared" ca="1" si="99"/>
        <v>Feb</v>
      </c>
      <c r="AA357" s="3" t="str">
        <f t="shared" ca="1" si="100"/>
        <v>Q1</v>
      </c>
      <c r="AB357" s="4" t="str">
        <f t="shared" ca="1" si="101"/>
        <v>Medium Haul</v>
      </c>
    </row>
    <row r="358" spans="1:28" x14ac:dyDescent="0.3">
      <c r="A358" s="8" t="str">
        <f t="shared" si="96"/>
        <v>S0357</v>
      </c>
      <c r="B358" s="3">
        <f t="shared" ca="1" si="85"/>
        <v>45871</v>
      </c>
      <c r="C358" s="3" t="str">
        <f ca="1">INDEX(Customers!$A$2:$A$21,RANDBETWEEN(1,20))</f>
        <v>C018</v>
      </c>
      <c r="D358" s="3" t="str">
        <f ca="1">INDEX(Routes!$A$2:$A$31,RANDBETWEEN(1,30))</f>
        <v>R025</v>
      </c>
      <c r="E358" s="3" t="str">
        <f ca="1">INDEX(Vehicles!$A$2:$A$21,RANDBETWEEN(1,20))</f>
        <v>V016</v>
      </c>
      <c r="F358" s="3" t="str">
        <f ca="1">INDEX(Drivers!$A$2:$A$31,RANDBETWEEN(1,30))</f>
        <v>D024</v>
      </c>
      <c r="G358" s="3">
        <f t="shared" ca="1" si="86"/>
        <v>3.6</v>
      </c>
      <c r="H358" s="3">
        <f t="shared" ca="1" si="87"/>
        <v>16838</v>
      </c>
      <c r="I358" s="3">
        <f t="shared" ca="1" si="88"/>
        <v>4715</v>
      </c>
      <c r="J358" s="3">
        <f t="shared" ca="1" si="89"/>
        <v>2110</v>
      </c>
      <c r="K358" s="3">
        <f t="shared" ca="1" si="90"/>
        <v>36</v>
      </c>
      <c r="L358" s="3">
        <f t="shared" ca="1" si="91"/>
        <v>40</v>
      </c>
      <c r="M358" s="3">
        <f t="shared" ca="1" si="92"/>
        <v>4</v>
      </c>
      <c r="N358" s="3" t="str">
        <f t="shared" ca="1" si="93"/>
        <v>Delayed</v>
      </c>
      <c r="O358" s="3" t="str">
        <f t="shared" ca="1" si="94"/>
        <v>Medium</v>
      </c>
      <c r="P358" s="3">
        <f t="shared" ca="1" si="95"/>
        <v>12</v>
      </c>
      <c r="Q358" s="1" t="str">
        <f ca="1">VLOOKUP(D358,Routes!$A$2:$D$31,2,FALSE)</f>
        <v>Visakhapatnam</v>
      </c>
      <c r="R358" s="1" t="str">
        <f ca="1">VLOOKUP(D358,Routes!$A$2:$D$31,3,FALSE)</f>
        <v>Hyderabad</v>
      </c>
      <c r="S358" s="3">
        <f ca="1">VLOOKUP(D358,Routes!$A$2:$D$31,4,FALSE)</f>
        <v>620</v>
      </c>
      <c r="T358" s="3" t="str">
        <f ca="1">VLOOKUP(E358,Vehicles!$A$2:$D$21,2,FALSE)</f>
        <v>Container</v>
      </c>
      <c r="U358" s="3">
        <f ca="1">VLOOKUP(E358,Vehicles!$A$2:$D$21,3,FALSE)</f>
        <v>22</v>
      </c>
      <c r="V358" s="3" t="str">
        <f ca="1">VLOOKUP(E358,Vehicles!$A$2:$D$21,4,FALSE)</f>
        <v>Diesel</v>
      </c>
      <c r="W358" s="3">
        <f ca="1">VLOOKUP(V358,Fuel_Rates!$A$2:$B$3,2,FALSE)</f>
        <v>95</v>
      </c>
      <c r="X358" s="3">
        <f t="shared" ca="1" si="97"/>
        <v>27.16</v>
      </c>
      <c r="Y358" s="3">
        <f t="shared" ca="1" si="98"/>
        <v>23663</v>
      </c>
      <c r="Z358" s="3" t="str">
        <f t="shared" ca="1" si="99"/>
        <v>Aug</v>
      </c>
      <c r="AA358" s="3" t="str">
        <f t="shared" ca="1" si="100"/>
        <v>Q3</v>
      </c>
      <c r="AB358" s="4" t="str">
        <f t="shared" ca="1" si="101"/>
        <v>Medium Haul</v>
      </c>
    </row>
    <row r="359" spans="1:28" x14ac:dyDescent="0.3">
      <c r="A359" s="8" t="str">
        <f t="shared" si="96"/>
        <v>S0358</v>
      </c>
      <c r="B359" s="3">
        <f t="shared" ca="1" si="85"/>
        <v>45952</v>
      </c>
      <c r="C359" s="3" t="str">
        <f ca="1">INDEX(Customers!$A$2:$A$21,RANDBETWEEN(1,20))</f>
        <v>C011</v>
      </c>
      <c r="D359" s="3" t="str">
        <f ca="1">INDEX(Routes!$A$2:$A$31,RANDBETWEEN(1,30))</f>
        <v>R027</v>
      </c>
      <c r="E359" s="3" t="str">
        <f ca="1">INDEX(Vehicles!$A$2:$A$21,RANDBETWEEN(1,20))</f>
        <v>V011</v>
      </c>
      <c r="F359" s="3" t="str">
        <f ca="1">INDEX(Drivers!$A$2:$A$31,RANDBETWEEN(1,30))</f>
        <v>D027</v>
      </c>
      <c r="G359" s="3">
        <f t="shared" ca="1" si="86"/>
        <v>21.8</v>
      </c>
      <c r="H359" s="3">
        <f t="shared" ca="1" si="87"/>
        <v>48309</v>
      </c>
      <c r="I359" s="3">
        <f t="shared" ca="1" si="88"/>
        <v>13527</v>
      </c>
      <c r="J359" s="3">
        <f t="shared" ca="1" si="89"/>
        <v>3356</v>
      </c>
      <c r="K359" s="3">
        <f t="shared" ca="1" si="90"/>
        <v>35</v>
      </c>
      <c r="L359" s="3">
        <f t="shared" ca="1" si="91"/>
        <v>40</v>
      </c>
      <c r="M359" s="3">
        <f t="shared" ca="1" si="92"/>
        <v>5</v>
      </c>
      <c r="N359" s="3" t="str">
        <f t="shared" ca="1" si="93"/>
        <v>Delayed</v>
      </c>
      <c r="O359" s="3" t="str">
        <f t="shared" ca="1" si="94"/>
        <v>Low</v>
      </c>
      <c r="P359" s="3">
        <f t="shared" ca="1" si="95"/>
        <v>72.7</v>
      </c>
      <c r="Q359" s="1" t="str">
        <f ca="1">VLOOKUP(D359,Routes!$A$2:$D$31,2,FALSE)</f>
        <v>Patna</v>
      </c>
      <c r="R359" s="1" t="str">
        <f ca="1">VLOOKUP(D359,Routes!$A$2:$D$31,3,FALSE)</f>
        <v>Ranchi</v>
      </c>
      <c r="S359" s="3">
        <f ca="1">VLOOKUP(D359,Routes!$A$2:$D$31,4,FALSE)</f>
        <v>330</v>
      </c>
      <c r="T359" s="3" t="str">
        <f ca="1">VLOOKUP(E359,Vehicles!$A$2:$D$21,2,FALSE)</f>
        <v>Truck</v>
      </c>
      <c r="U359" s="3">
        <f ca="1">VLOOKUP(E359,Vehicles!$A$2:$D$21,3,FALSE)</f>
        <v>18</v>
      </c>
      <c r="V359" s="3" t="str">
        <f ca="1">VLOOKUP(E359,Vehicles!$A$2:$D$21,4,FALSE)</f>
        <v>CNG</v>
      </c>
      <c r="W359" s="3">
        <f ca="1">VLOOKUP(V359,Fuel_Rates!$A$2:$B$3,2,FALSE)</f>
        <v>78</v>
      </c>
      <c r="X359" s="3">
        <f t="shared" ca="1" si="97"/>
        <v>146.38999999999999</v>
      </c>
      <c r="Y359" s="3">
        <f t="shared" ca="1" si="98"/>
        <v>65192</v>
      </c>
      <c r="Z359" s="3" t="str">
        <f t="shared" ca="1" si="99"/>
        <v>Oct</v>
      </c>
      <c r="AA359" s="3" t="str">
        <f t="shared" ca="1" si="100"/>
        <v>Q4</v>
      </c>
      <c r="AB359" s="4" t="str">
        <f t="shared" ca="1" si="101"/>
        <v>Medium Haul</v>
      </c>
    </row>
    <row r="360" spans="1:28" x14ac:dyDescent="0.3">
      <c r="A360" s="8" t="str">
        <f t="shared" si="96"/>
        <v>S0359</v>
      </c>
      <c r="B360" s="3">
        <f t="shared" ca="1" si="85"/>
        <v>45896</v>
      </c>
      <c r="C360" s="3" t="str">
        <f ca="1">INDEX(Customers!$A$2:$A$21,RANDBETWEEN(1,20))</f>
        <v>C004</v>
      </c>
      <c r="D360" s="3" t="str">
        <f ca="1">INDEX(Routes!$A$2:$A$31,RANDBETWEEN(1,30))</f>
        <v>R019</v>
      </c>
      <c r="E360" s="3" t="str">
        <f ca="1">INDEX(Vehicles!$A$2:$A$21,RANDBETWEEN(1,20))</f>
        <v>V016</v>
      </c>
      <c r="F360" s="3" t="str">
        <f ca="1">INDEX(Drivers!$A$2:$A$31,RANDBETWEEN(1,30))</f>
        <v>D020</v>
      </c>
      <c r="G360" s="3">
        <f t="shared" ca="1" si="86"/>
        <v>14.9</v>
      </c>
      <c r="H360" s="3">
        <f t="shared" ca="1" si="87"/>
        <v>33890</v>
      </c>
      <c r="I360" s="3">
        <f t="shared" ca="1" si="88"/>
        <v>9489</v>
      </c>
      <c r="J360" s="3">
        <f t="shared" ca="1" si="89"/>
        <v>2624</v>
      </c>
      <c r="K360" s="3">
        <f t="shared" ca="1" si="90"/>
        <v>45</v>
      </c>
      <c r="L360" s="3">
        <f t="shared" ca="1" si="91"/>
        <v>46</v>
      </c>
      <c r="M360" s="3">
        <f t="shared" ca="1" si="92"/>
        <v>1</v>
      </c>
      <c r="N360" s="3" t="str">
        <f t="shared" ca="1" si="93"/>
        <v>On Time</v>
      </c>
      <c r="O360" s="3" t="str">
        <f t="shared" ca="1" si="94"/>
        <v>High</v>
      </c>
      <c r="P360" s="3">
        <f t="shared" ca="1" si="95"/>
        <v>49.7</v>
      </c>
      <c r="Q360" s="1" t="str">
        <f ca="1">VLOOKUP(D360,Routes!$A$2:$D$31,2,FALSE)</f>
        <v>Ahmedabad</v>
      </c>
      <c r="R360" s="1" t="str">
        <f ca="1">VLOOKUP(D360,Routes!$A$2:$D$31,3,FALSE)</f>
        <v>Indore</v>
      </c>
      <c r="S360" s="3">
        <f ca="1">VLOOKUP(D360,Routes!$A$2:$D$31,4,FALSE)</f>
        <v>390</v>
      </c>
      <c r="T360" s="3" t="str">
        <f ca="1">VLOOKUP(E360,Vehicles!$A$2:$D$21,2,FALSE)</f>
        <v>Container</v>
      </c>
      <c r="U360" s="3">
        <f ca="1">VLOOKUP(E360,Vehicles!$A$2:$D$21,3,FALSE)</f>
        <v>22</v>
      </c>
      <c r="V360" s="3" t="str">
        <f ca="1">VLOOKUP(E360,Vehicles!$A$2:$D$21,4,FALSE)</f>
        <v>Diesel</v>
      </c>
      <c r="W360" s="3">
        <f ca="1">VLOOKUP(V360,Fuel_Rates!$A$2:$B$3,2,FALSE)</f>
        <v>95</v>
      </c>
      <c r="X360" s="3">
        <f t="shared" ca="1" si="97"/>
        <v>86.9</v>
      </c>
      <c r="Y360" s="3">
        <f t="shared" ca="1" si="98"/>
        <v>46003</v>
      </c>
      <c r="Z360" s="3" t="str">
        <f t="shared" ca="1" si="99"/>
        <v>Aug</v>
      </c>
      <c r="AA360" s="3" t="str">
        <f t="shared" ca="1" si="100"/>
        <v>Q3</v>
      </c>
      <c r="AB360" s="4" t="str">
        <f t="shared" ca="1" si="101"/>
        <v>Medium Haul</v>
      </c>
    </row>
    <row r="361" spans="1:28" x14ac:dyDescent="0.3">
      <c r="A361" s="8" t="str">
        <f t="shared" si="96"/>
        <v>S0360</v>
      </c>
      <c r="B361" s="3">
        <f t="shared" ca="1" si="85"/>
        <v>45740</v>
      </c>
      <c r="C361" s="3" t="str">
        <f ca="1">INDEX(Customers!$A$2:$A$21,RANDBETWEEN(1,20))</f>
        <v>C012</v>
      </c>
      <c r="D361" s="3" t="str">
        <f ca="1">INDEX(Routes!$A$2:$A$31,RANDBETWEEN(1,30))</f>
        <v>R008</v>
      </c>
      <c r="E361" s="3" t="str">
        <f ca="1">INDEX(Vehicles!$A$2:$A$21,RANDBETWEEN(1,20))</f>
        <v>V017</v>
      </c>
      <c r="F361" s="3" t="str">
        <f ca="1">INDEX(Drivers!$A$2:$A$31,RANDBETWEEN(1,30))</f>
        <v>D028</v>
      </c>
      <c r="G361" s="3">
        <f t="shared" ca="1" si="86"/>
        <v>7.3</v>
      </c>
      <c r="H361" s="3">
        <f t="shared" ca="1" si="87"/>
        <v>18452</v>
      </c>
      <c r="I361" s="3">
        <f t="shared" ca="1" si="88"/>
        <v>5167</v>
      </c>
      <c r="J361" s="3">
        <f t="shared" ca="1" si="89"/>
        <v>826</v>
      </c>
      <c r="K361" s="3">
        <f t="shared" ca="1" si="90"/>
        <v>31</v>
      </c>
      <c r="L361" s="3">
        <f t="shared" ca="1" si="91"/>
        <v>34</v>
      </c>
      <c r="M361" s="3">
        <f t="shared" ca="1" si="92"/>
        <v>3</v>
      </c>
      <c r="N361" s="3" t="str">
        <f t="shared" ca="1" si="93"/>
        <v>Delayed</v>
      </c>
      <c r="O361" s="3" t="str">
        <f t="shared" ca="1" si="94"/>
        <v>High</v>
      </c>
      <c r="P361" s="3">
        <f t="shared" ca="1" si="95"/>
        <v>24.3</v>
      </c>
      <c r="Q361" s="1" t="str">
        <f ca="1">VLOOKUP(D361,Routes!$A$2:$D$31,2,FALSE)</f>
        <v>Delhi</v>
      </c>
      <c r="R361" s="1" t="str">
        <f ca="1">VLOOKUP(D361,Routes!$A$2:$D$31,3,FALSE)</f>
        <v>Kolkata</v>
      </c>
      <c r="S361" s="3">
        <f ca="1">VLOOKUP(D361,Routes!$A$2:$D$31,4,FALSE)</f>
        <v>1500</v>
      </c>
      <c r="T361" s="3" t="str">
        <f ca="1">VLOOKUP(E361,Vehicles!$A$2:$D$21,2,FALSE)</f>
        <v>Truck</v>
      </c>
      <c r="U361" s="3">
        <f ca="1">VLOOKUP(E361,Vehicles!$A$2:$D$21,3,FALSE)</f>
        <v>24</v>
      </c>
      <c r="V361" s="3" t="str">
        <f ca="1">VLOOKUP(E361,Vehicles!$A$2:$D$21,4,FALSE)</f>
        <v>Diesel</v>
      </c>
      <c r="W361" s="3">
        <f ca="1">VLOOKUP(V361,Fuel_Rates!$A$2:$B$3,2,FALSE)</f>
        <v>95</v>
      </c>
      <c r="X361" s="3">
        <f t="shared" ca="1" si="97"/>
        <v>12.3</v>
      </c>
      <c r="Y361" s="3">
        <f t="shared" ca="1" si="98"/>
        <v>24445</v>
      </c>
      <c r="Z361" s="3" t="str">
        <f t="shared" ca="1" si="99"/>
        <v>Mar</v>
      </c>
      <c r="AA361" s="3" t="str">
        <f t="shared" ca="1" si="100"/>
        <v>Q1</v>
      </c>
      <c r="AB361" s="4" t="str">
        <f t="shared" ca="1" si="101"/>
        <v>Long Haul</v>
      </c>
    </row>
    <row r="362" spans="1:28" x14ac:dyDescent="0.3">
      <c r="A362" s="8" t="str">
        <f t="shared" si="96"/>
        <v>S0361</v>
      </c>
      <c r="B362" s="3">
        <f t="shared" ca="1" si="85"/>
        <v>45849</v>
      </c>
      <c r="C362" s="3" t="str">
        <f ca="1">INDEX(Customers!$A$2:$A$21,RANDBETWEEN(1,20))</f>
        <v>C004</v>
      </c>
      <c r="D362" s="3" t="str">
        <f ca="1">INDEX(Routes!$A$2:$A$31,RANDBETWEEN(1,30))</f>
        <v>R022</v>
      </c>
      <c r="E362" s="3" t="str">
        <f ca="1">INDEX(Vehicles!$A$2:$A$21,RANDBETWEEN(1,20))</f>
        <v>V017</v>
      </c>
      <c r="F362" s="3" t="str">
        <f ca="1">INDEX(Drivers!$A$2:$A$31,RANDBETWEEN(1,30))</f>
        <v>D008</v>
      </c>
      <c r="G362" s="3">
        <f t="shared" ca="1" si="86"/>
        <v>8.6</v>
      </c>
      <c r="H362" s="3">
        <f t="shared" ca="1" si="87"/>
        <v>29652</v>
      </c>
      <c r="I362" s="3">
        <f t="shared" ca="1" si="88"/>
        <v>8303</v>
      </c>
      <c r="J362" s="3">
        <f t="shared" ca="1" si="89"/>
        <v>3325</v>
      </c>
      <c r="K362" s="3">
        <f t="shared" ca="1" si="90"/>
        <v>35</v>
      </c>
      <c r="L362" s="3">
        <f t="shared" ca="1" si="91"/>
        <v>42</v>
      </c>
      <c r="M362" s="3">
        <f t="shared" ca="1" si="92"/>
        <v>7</v>
      </c>
      <c r="N362" s="3" t="str">
        <f t="shared" ca="1" si="93"/>
        <v>Delayed</v>
      </c>
      <c r="O362" s="3" t="str">
        <f t="shared" ca="1" si="94"/>
        <v>Medium</v>
      </c>
      <c r="P362" s="3">
        <f t="shared" ca="1" si="95"/>
        <v>28.7</v>
      </c>
      <c r="Q362" s="1" t="str">
        <f ca="1">VLOOKUP(D362,Routes!$A$2:$D$31,2,FALSE)</f>
        <v>Jaipur</v>
      </c>
      <c r="R362" s="1" t="str">
        <f ca="1">VLOOKUP(D362,Routes!$A$2:$D$31,3,FALSE)</f>
        <v>Indore</v>
      </c>
      <c r="S362" s="3">
        <f ca="1">VLOOKUP(D362,Routes!$A$2:$D$31,4,FALSE)</f>
        <v>600</v>
      </c>
      <c r="T362" s="3" t="str">
        <f ca="1">VLOOKUP(E362,Vehicles!$A$2:$D$21,2,FALSE)</f>
        <v>Truck</v>
      </c>
      <c r="U362" s="3">
        <f ca="1">VLOOKUP(E362,Vehicles!$A$2:$D$21,3,FALSE)</f>
        <v>24</v>
      </c>
      <c r="V362" s="3" t="str">
        <f ca="1">VLOOKUP(E362,Vehicles!$A$2:$D$21,4,FALSE)</f>
        <v>Diesel</v>
      </c>
      <c r="W362" s="3">
        <f ca="1">VLOOKUP(V362,Fuel_Rates!$A$2:$B$3,2,FALSE)</f>
        <v>95</v>
      </c>
      <c r="X362" s="3">
        <f t="shared" ca="1" si="97"/>
        <v>49.42</v>
      </c>
      <c r="Y362" s="3">
        <f t="shared" ca="1" si="98"/>
        <v>41280</v>
      </c>
      <c r="Z362" s="3" t="str">
        <f t="shared" ca="1" si="99"/>
        <v>Jul</v>
      </c>
      <c r="AA362" s="3" t="str">
        <f t="shared" ca="1" si="100"/>
        <v>Q3</v>
      </c>
      <c r="AB362" s="4" t="str">
        <f t="shared" ca="1" si="101"/>
        <v>Medium Haul</v>
      </c>
    </row>
    <row r="363" spans="1:28" x14ac:dyDescent="0.3">
      <c r="A363" s="8" t="str">
        <f t="shared" si="96"/>
        <v>S0362</v>
      </c>
      <c r="B363" s="3">
        <f t="shared" ca="1" si="85"/>
        <v>45860</v>
      </c>
      <c r="C363" s="3" t="str">
        <f ca="1">INDEX(Customers!$A$2:$A$21,RANDBETWEEN(1,20))</f>
        <v>C003</v>
      </c>
      <c r="D363" s="3" t="str">
        <f ca="1">INDEX(Routes!$A$2:$A$31,RANDBETWEEN(1,30))</f>
        <v>R012</v>
      </c>
      <c r="E363" s="3" t="str">
        <f ca="1">INDEX(Vehicles!$A$2:$A$21,RANDBETWEEN(1,20))</f>
        <v>V017</v>
      </c>
      <c r="F363" s="3" t="str">
        <f ca="1">INDEX(Drivers!$A$2:$A$31,RANDBETWEEN(1,30))</f>
        <v>D020</v>
      </c>
      <c r="G363" s="3">
        <f t="shared" ca="1" si="86"/>
        <v>18.600000000000001</v>
      </c>
      <c r="H363" s="3">
        <f t="shared" ca="1" si="87"/>
        <v>41422</v>
      </c>
      <c r="I363" s="3">
        <f t="shared" ca="1" si="88"/>
        <v>11598</v>
      </c>
      <c r="J363" s="3">
        <f t="shared" ca="1" si="89"/>
        <v>3533</v>
      </c>
      <c r="K363" s="3">
        <f t="shared" ca="1" si="90"/>
        <v>9</v>
      </c>
      <c r="L363" s="3">
        <f t="shared" ca="1" si="91"/>
        <v>14</v>
      </c>
      <c r="M363" s="3">
        <f t="shared" ca="1" si="92"/>
        <v>5</v>
      </c>
      <c r="N363" s="3" t="str">
        <f t="shared" ca="1" si="93"/>
        <v>Delayed</v>
      </c>
      <c r="O363" s="3" t="str">
        <f t="shared" ca="1" si="94"/>
        <v>Low</v>
      </c>
      <c r="P363" s="3">
        <f t="shared" ca="1" si="95"/>
        <v>62</v>
      </c>
      <c r="Q363" s="1" t="str">
        <f ca="1">VLOOKUP(D363,Routes!$A$2:$D$31,2,FALSE)</f>
        <v>Chennai</v>
      </c>
      <c r="R363" s="1" t="str">
        <f ca="1">VLOOKUP(D363,Routes!$A$2:$D$31,3,FALSE)</f>
        <v>Coimbatore</v>
      </c>
      <c r="S363" s="3">
        <f ca="1">VLOOKUP(D363,Routes!$A$2:$D$31,4,FALSE)</f>
        <v>500</v>
      </c>
      <c r="T363" s="3" t="str">
        <f ca="1">VLOOKUP(E363,Vehicles!$A$2:$D$21,2,FALSE)</f>
        <v>Truck</v>
      </c>
      <c r="U363" s="3">
        <f ca="1">VLOOKUP(E363,Vehicles!$A$2:$D$21,3,FALSE)</f>
        <v>24</v>
      </c>
      <c r="V363" s="3" t="str">
        <f ca="1">VLOOKUP(E363,Vehicles!$A$2:$D$21,4,FALSE)</f>
        <v>Diesel</v>
      </c>
      <c r="W363" s="3">
        <f ca="1">VLOOKUP(V363,Fuel_Rates!$A$2:$B$3,2,FALSE)</f>
        <v>95</v>
      </c>
      <c r="X363" s="3">
        <f t="shared" ca="1" si="97"/>
        <v>82.84</v>
      </c>
      <c r="Y363" s="3">
        <f t="shared" ca="1" si="98"/>
        <v>56553</v>
      </c>
      <c r="Z363" s="3" t="str">
        <f t="shared" ca="1" si="99"/>
        <v>Jul</v>
      </c>
      <c r="AA363" s="3" t="str">
        <f t="shared" ca="1" si="100"/>
        <v>Q3</v>
      </c>
      <c r="AB363" s="4" t="str">
        <f t="shared" ca="1" si="101"/>
        <v>Medium Haul</v>
      </c>
    </row>
    <row r="364" spans="1:28" x14ac:dyDescent="0.3">
      <c r="A364" s="8" t="str">
        <f t="shared" si="96"/>
        <v>S0363</v>
      </c>
      <c r="B364" s="3">
        <f t="shared" ca="1" si="85"/>
        <v>45883</v>
      </c>
      <c r="C364" s="3" t="str">
        <f ca="1">INDEX(Customers!$A$2:$A$21,RANDBETWEEN(1,20))</f>
        <v>C016</v>
      </c>
      <c r="D364" s="3" t="str">
        <f ca="1">INDEX(Routes!$A$2:$A$31,RANDBETWEEN(1,30))</f>
        <v>R008</v>
      </c>
      <c r="E364" s="3" t="str">
        <f ca="1">INDEX(Vehicles!$A$2:$A$21,RANDBETWEEN(1,20))</f>
        <v>V002</v>
      </c>
      <c r="F364" s="3" t="str">
        <f ca="1">INDEX(Drivers!$A$2:$A$31,RANDBETWEEN(1,30))</f>
        <v>D002</v>
      </c>
      <c r="G364" s="3">
        <f t="shared" ca="1" si="86"/>
        <v>8.5</v>
      </c>
      <c r="H364" s="3">
        <f t="shared" ca="1" si="87"/>
        <v>21227</v>
      </c>
      <c r="I364" s="3">
        <f t="shared" ca="1" si="88"/>
        <v>5944</v>
      </c>
      <c r="J364" s="3">
        <f t="shared" ca="1" si="89"/>
        <v>1289</v>
      </c>
      <c r="K364" s="3">
        <f t="shared" ca="1" si="90"/>
        <v>28</v>
      </c>
      <c r="L364" s="3">
        <f t="shared" ca="1" si="91"/>
        <v>32</v>
      </c>
      <c r="M364" s="3">
        <f t="shared" ca="1" si="92"/>
        <v>4</v>
      </c>
      <c r="N364" s="3" t="str">
        <f t="shared" ca="1" si="93"/>
        <v>Delayed</v>
      </c>
      <c r="O364" s="3" t="str">
        <f t="shared" ca="1" si="94"/>
        <v>High</v>
      </c>
      <c r="P364" s="3">
        <f t="shared" ca="1" si="95"/>
        <v>28.3</v>
      </c>
      <c r="Q364" s="1" t="str">
        <f ca="1">VLOOKUP(D364,Routes!$A$2:$D$31,2,FALSE)</f>
        <v>Delhi</v>
      </c>
      <c r="R364" s="1" t="str">
        <f ca="1">VLOOKUP(D364,Routes!$A$2:$D$31,3,FALSE)</f>
        <v>Kolkata</v>
      </c>
      <c r="S364" s="3">
        <f ca="1">VLOOKUP(D364,Routes!$A$2:$D$31,4,FALSE)</f>
        <v>1500</v>
      </c>
      <c r="T364" s="3" t="str">
        <f ca="1">VLOOKUP(E364,Vehicles!$A$2:$D$21,2,FALSE)</f>
        <v>Truck</v>
      </c>
      <c r="U364" s="3">
        <f ca="1">VLOOKUP(E364,Vehicles!$A$2:$D$21,3,FALSE)</f>
        <v>20</v>
      </c>
      <c r="V364" s="3" t="str">
        <f ca="1">VLOOKUP(E364,Vehicles!$A$2:$D$21,4,FALSE)</f>
        <v>Diesel</v>
      </c>
      <c r="W364" s="3">
        <f ca="1">VLOOKUP(V364,Fuel_Rates!$A$2:$B$3,2,FALSE)</f>
        <v>95</v>
      </c>
      <c r="X364" s="3">
        <f t="shared" ca="1" si="97"/>
        <v>14.15</v>
      </c>
      <c r="Y364" s="3">
        <f t="shared" ca="1" si="98"/>
        <v>28460</v>
      </c>
      <c r="Z364" s="3" t="str">
        <f t="shared" ca="1" si="99"/>
        <v>Aug</v>
      </c>
      <c r="AA364" s="3" t="str">
        <f t="shared" ca="1" si="100"/>
        <v>Q3</v>
      </c>
      <c r="AB364" s="4" t="str">
        <f t="shared" ca="1" si="101"/>
        <v>Long Haul</v>
      </c>
    </row>
    <row r="365" spans="1:28" x14ac:dyDescent="0.3">
      <c r="A365" s="8" t="str">
        <f t="shared" si="96"/>
        <v>S0364</v>
      </c>
      <c r="B365" s="3">
        <f t="shared" ca="1" si="85"/>
        <v>45740</v>
      </c>
      <c r="C365" s="3" t="str">
        <f ca="1">INDEX(Customers!$A$2:$A$21,RANDBETWEEN(1,20))</f>
        <v>C020</v>
      </c>
      <c r="D365" s="3" t="str">
        <f ca="1">INDEX(Routes!$A$2:$A$31,RANDBETWEEN(1,30))</f>
        <v>R028</v>
      </c>
      <c r="E365" s="3" t="str">
        <f ca="1">INDEX(Vehicles!$A$2:$A$21,RANDBETWEEN(1,20))</f>
        <v>V002</v>
      </c>
      <c r="F365" s="3" t="str">
        <f ca="1">INDEX(Drivers!$A$2:$A$31,RANDBETWEEN(1,30))</f>
        <v>D008</v>
      </c>
      <c r="G365" s="3">
        <f t="shared" ca="1" si="86"/>
        <v>18.2</v>
      </c>
      <c r="H365" s="3">
        <f t="shared" ca="1" si="87"/>
        <v>38094</v>
      </c>
      <c r="I365" s="3">
        <f t="shared" ca="1" si="88"/>
        <v>10666</v>
      </c>
      <c r="J365" s="3">
        <f t="shared" ca="1" si="89"/>
        <v>2195</v>
      </c>
      <c r="K365" s="3">
        <f t="shared" ca="1" si="90"/>
        <v>41</v>
      </c>
      <c r="L365" s="3">
        <f t="shared" ca="1" si="91"/>
        <v>41</v>
      </c>
      <c r="M365" s="3">
        <f t="shared" ca="1" si="92"/>
        <v>0</v>
      </c>
      <c r="N365" s="3" t="str">
        <f t="shared" ca="1" si="93"/>
        <v>On Time</v>
      </c>
      <c r="O365" s="3" t="str">
        <f t="shared" ca="1" si="94"/>
        <v>Low</v>
      </c>
      <c r="P365" s="3">
        <f t="shared" ca="1" si="95"/>
        <v>60.7</v>
      </c>
      <c r="Q365" s="1" t="str">
        <f ca="1">VLOOKUP(D365,Routes!$A$2:$D$31,2,FALSE)</f>
        <v>Indore</v>
      </c>
      <c r="R365" s="1" t="str">
        <f ca="1">VLOOKUP(D365,Routes!$A$2:$D$31,3,FALSE)</f>
        <v>Mumbai</v>
      </c>
      <c r="S365" s="3">
        <f ca="1">VLOOKUP(D365,Routes!$A$2:$D$31,4,FALSE)</f>
        <v>590</v>
      </c>
      <c r="T365" s="3" t="str">
        <f ca="1">VLOOKUP(E365,Vehicles!$A$2:$D$21,2,FALSE)</f>
        <v>Truck</v>
      </c>
      <c r="U365" s="3">
        <f ca="1">VLOOKUP(E365,Vehicles!$A$2:$D$21,3,FALSE)</f>
        <v>20</v>
      </c>
      <c r="V365" s="3" t="str">
        <f ca="1">VLOOKUP(E365,Vehicles!$A$2:$D$21,4,FALSE)</f>
        <v>Diesel</v>
      </c>
      <c r="W365" s="3">
        <f ca="1">VLOOKUP(V365,Fuel_Rates!$A$2:$B$3,2,FALSE)</f>
        <v>95</v>
      </c>
      <c r="X365" s="3">
        <f t="shared" ca="1" si="97"/>
        <v>64.569999999999993</v>
      </c>
      <c r="Y365" s="3">
        <f t="shared" ca="1" si="98"/>
        <v>50955</v>
      </c>
      <c r="Z365" s="3" t="str">
        <f t="shared" ca="1" si="99"/>
        <v>Mar</v>
      </c>
      <c r="AA365" s="3" t="str">
        <f t="shared" ca="1" si="100"/>
        <v>Q1</v>
      </c>
      <c r="AB365" s="4" t="str">
        <f t="shared" ca="1" si="101"/>
        <v>Medium Haul</v>
      </c>
    </row>
    <row r="366" spans="1:28" x14ac:dyDescent="0.3">
      <c r="A366" s="8" t="str">
        <f t="shared" si="96"/>
        <v>S0365</v>
      </c>
      <c r="B366" s="3">
        <f t="shared" ca="1" si="85"/>
        <v>45938</v>
      </c>
      <c r="C366" s="3" t="str">
        <f ca="1">INDEX(Customers!$A$2:$A$21,RANDBETWEEN(1,20))</f>
        <v>C018</v>
      </c>
      <c r="D366" s="3" t="str">
        <f ca="1">INDEX(Routes!$A$2:$A$31,RANDBETWEEN(1,30))</f>
        <v>R002</v>
      </c>
      <c r="E366" s="3" t="str">
        <f ca="1">INDEX(Vehicles!$A$2:$A$21,RANDBETWEEN(1,20))</f>
        <v>V015</v>
      </c>
      <c r="F366" s="3" t="str">
        <f ca="1">INDEX(Drivers!$A$2:$A$31,RANDBETWEEN(1,30))</f>
        <v>D003</v>
      </c>
      <c r="G366" s="3">
        <f t="shared" ca="1" si="86"/>
        <v>9.6</v>
      </c>
      <c r="H366" s="3">
        <f t="shared" ca="1" si="87"/>
        <v>31124</v>
      </c>
      <c r="I366" s="3">
        <f t="shared" ca="1" si="88"/>
        <v>8715</v>
      </c>
      <c r="J366" s="3">
        <f t="shared" ca="1" si="89"/>
        <v>514</v>
      </c>
      <c r="K366" s="3">
        <f t="shared" ca="1" si="90"/>
        <v>13</v>
      </c>
      <c r="L366" s="3">
        <f t="shared" ca="1" si="91"/>
        <v>19</v>
      </c>
      <c r="M366" s="3">
        <f t="shared" ca="1" si="92"/>
        <v>6</v>
      </c>
      <c r="N366" s="3" t="str">
        <f t="shared" ca="1" si="93"/>
        <v>Delayed</v>
      </c>
      <c r="O366" s="3" t="str">
        <f t="shared" ca="1" si="94"/>
        <v>High</v>
      </c>
      <c r="P366" s="3">
        <f t="shared" ca="1" si="95"/>
        <v>32</v>
      </c>
      <c r="Q366" s="1" t="str">
        <f ca="1">VLOOKUP(D366,Routes!$A$2:$D$31,2,FALSE)</f>
        <v>Mumbai</v>
      </c>
      <c r="R366" s="1" t="str">
        <f ca="1">VLOOKUP(D366,Routes!$A$2:$D$31,3,FALSE)</f>
        <v>Ahmedabad</v>
      </c>
      <c r="S366" s="3">
        <f ca="1">VLOOKUP(D366,Routes!$A$2:$D$31,4,FALSE)</f>
        <v>530</v>
      </c>
      <c r="T366" s="3" t="str">
        <f ca="1">VLOOKUP(E366,Vehicles!$A$2:$D$21,2,FALSE)</f>
        <v>Trailer</v>
      </c>
      <c r="U366" s="3">
        <f ca="1">VLOOKUP(E366,Vehicles!$A$2:$D$21,3,FALSE)</f>
        <v>30</v>
      </c>
      <c r="V366" s="3" t="str">
        <f ca="1">VLOOKUP(E366,Vehicles!$A$2:$D$21,4,FALSE)</f>
        <v>Diesel</v>
      </c>
      <c r="W366" s="3">
        <f ca="1">VLOOKUP(V366,Fuel_Rates!$A$2:$B$3,2,FALSE)</f>
        <v>95</v>
      </c>
      <c r="X366" s="3">
        <f t="shared" ca="1" si="97"/>
        <v>58.72</v>
      </c>
      <c r="Y366" s="3">
        <f t="shared" ca="1" si="98"/>
        <v>40353</v>
      </c>
      <c r="Z366" s="3" t="str">
        <f t="shared" ca="1" si="99"/>
        <v>Oct</v>
      </c>
      <c r="AA366" s="3" t="str">
        <f t="shared" ca="1" si="100"/>
        <v>Q4</v>
      </c>
      <c r="AB366" s="4" t="str">
        <f t="shared" ca="1" si="101"/>
        <v>Medium Haul</v>
      </c>
    </row>
    <row r="367" spans="1:28" x14ac:dyDescent="0.3">
      <c r="A367" s="8" t="str">
        <f t="shared" si="96"/>
        <v>S0366</v>
      </c>
      <c r="B367" s="3">
        <f t="shared" ca="1" si="85"/>
        <v>45760</v>
      </c>
      <c r="C367" s="3" t="str">
        <f ca="1">INDEX(Customers!$A$2:$A$21,RANDBETWEEN(1,20))</f>
        <v>C005</v>
      </c>
      <c r="D367" s="3" t="str">
        <f ca="1">INDEX(Routes!$A$2:$A$31,RANDBETWEEN(1,30))</f>
        <v>R012</v>
      </c>
      <c r="E367" s="3" t="str">
        <f ca="1">INDEX(Vehicles!$A$2:$A$21,RANDBETWEEN(1,20))</f>
        <v>V008</v>
      </c>
      <c r="F367" s="3" t="str">
        <f ca="1">INDEX(Drivers!$A$2:$A$31,RANDBETWEEN(1,30))</f>
        <v>D014</v>
      </c>
      <c r="G367" s="3">
        <f t="shared" ca="1" si="86"/>
        <v>29.5</v>
      </c>
      <c r="H367" s="3">
        <f t="shared" ca="1" si="87"/>
        <v>64313</v>
      </c>
      <c r="I367" s="3">
        <f t="shared" ca="1" si="88"/>
        <v>18008</v>
      </c>
      <c r="J367" s="3">
        <f t="shared" ca="1" si="89"/>
        <v>1295</v>
      </c>
      <c r="K367" s="3">
        <f t="shared" ca="1" si="90"/>
        <v>6</v>
      </c>
      <c r="L367" s="3">
        <f t="shared" ca="1" si="91"/>
        <v>7</v>
      </c>
      <c r="M367" s="3">
        <f t="shared" ca="1" si="92"/>
        <v>1</v>
      </c>
      <c r="N367" s="3" t="str">
        <f t="shared" ca="1" si="93"/>
        <v>On Time</v>
      </c>
      <c r="O367" s="3" t="str">
        <f t="shared" ca="1" si="94"/>
        <v>High</v>
      </c>
      <c r="P367" s="3">
        <f t="shared" ca="1" si="95"/>
        <v>98.3</v>
      </c>
      <c r="Q367" s="1" t="str">
        <f ca="1">VLOOKUP(D367,Routes!$A$2:$D$31,2,FALSE)</f>
        <v>Chennai</v>
      </c>
      <c r="R367" s="1" t="str">
        <f ca="1">VLOOKUP(D367,Routes!$A$2:$D$31,3,FALSE)</f>
        <v>Coimbatore</v>
      </c>
      <c r="S367" s="3">
        <f ca="1">VLOOKUP(D367,Routes!$A$2:$D$31,4,FALSE)</f>
        <v>500</v>
      </c>
      <c r="T367" s="3" t="str">
        <f ca="1">VLOOKUP(E367,Vehicles!$A$2:$D$21,2,FALSE)</f>
        <v>Container</v>
      </c>
      <c r="U367" s="3">
        <f ca="1">VLOOKUP(E367,Vehicles!$A$2:$D$21,3,FALSE)</f>
        <v>25</v>
      </c>
      <c r="V367" s="3" t="str">
        <f ca="1">VLOOKUP(E367,Vehicles!$A$2:$D$21,4,FALSE)</f>
        <v>Diesel</v>
      </c>
      <c r="W367" s="3">
        <f ca="1">VLOOKUP(V367,Fuel_Rates!$A$2:$B$3,2,FALSE)</f>
        <v>95</v>
      </c>
      <c r="X367" s="3">
        <f t="shared" ca="1" si="97"/>
        <v>128.63</v>
      </c>
      <c r="Y367" s="3">
        <f t="shared" ca="1" si="98"/>
        <v>83616</v>
      </c>
      <c r="Z367" s="3" t="str">
        <f t="shared" ca="1" si="99"/>
        <v>Apr</v>
      </c>
      <c r="AA367" s="3" t="str">
        <f t="shared" ca="1" si="100"/>
        <v>Q2</v>
      </c>
      <c r="AB367" s="4" t="str">
        <f t="shared" ca="1" si="101"/>
        <v>Medium Haul</v>
      </c>
    </row>
    <row r="368" spans="1:28" x14ac:dyDescent="0.3">
      <c r="A368" s="8" t="str">
        <f t="shared" si="96"/>
        <v>S0367</v>
      </c>
      <c r="B368" s="3">
        <f t="shared" ca="1" si="85"/>
        <v>45873</v>
      </c>
      <c r="C368" s="3" t="str">
        <f ca="1">INDEX(Customers!$A$2:$A$21,RANDBETWEEN(1,20))</f>
        <v>C001</v>
      </c>
      <c r="D368" s="3" t="str">
        <f ca="1">INDEX(Routes!$A$2:$A$31,RANDBETWEEN(1,30))</f>
        <v>R015</v>
      </c>
      <c r="E368" s="3" t="str">
        <f ca="1">INDEX(Vehicles!$A$2:$A$21,RANDBETWEEN(1,20))</f>
        <v>V008</v>
      </c>
      <c r="F368" s="3" t="str">
        <f ca="1">INDEX(Drivers!$A$2:$A$31,RANDBETWEEN(1,30))</f>
        <v>D012</v>
      </c>
      <c r="G368" s="3">
        <f t="shared" ca="1" si="86"/>
        <v>2</v>
      </c>
      <c r="H368" s="3">
        <f t="shared" ca="1" si="87"/>
        <v>8889</v>
      </c>
      <c r="I368" s="3">
        <f t="shared" ca="1" si="88"/>
        <v>2489</v>
      </c>
      <c r="J368" s="3">
        <f t="shared" ca="1" si="89"/>
        <v>3006</v>
      </c>
      <c r="K368" s="3">
        <f t="shared" ca="1" si="90"/>
        <v>4</v>
      </c>
      <c r="L368" s="3">
        <f t="shared" ca="1" si="91"/>
        <v>10</v>
      </c>
      <c r="M368" s="3">
        <f t="shared" ca="1" si="92"/>
        <v>6</v>
      </c>
      <c r="N368" s="3" t="str">
        <f t="shared" ca="1" si="93"/>
        <v>Delayed</v>
      </c>
      <c r="O368" s="3" t="str">
        <f t="shared" ca="1" si="94"/>
        <v>Medium</v>
      </c>
      <c r="P368" s="3">
        <f t="shared" ca="1" si="95"/>
        <v>6.7</v>
      </c>
      <c r="Q368" s="1" t="str">
        <f ca="1">VLOOKUP(D368,Routes!$A$2:$D$31,2,FALSE)</f>
        <v>Hyderabad</v>
      </c>
      <c r="R368" s="1" t="str">
        <f ca="1">VLOOKUP(D368,Routes!$A$2:$D$31,3,FALSE)</f>
        <v>Pune</v>
      </c>
      <c r="S368" s="3">
        <f ca="1">VLOOKUP(D368,Routes!$A$2:$D$31,4,FALSE)</f>
        <v>560</v>
      </c>
      <c r="T368" s="3" t="str">
        <f ca="1">VLOOKUP(E368,Vehicles!$A$2:$D$21,2,FALSE)</f>
        <v>Container</v>
      </c>
      <c r="U368" s="3">
        <f ca="1">VLOOKUP(E368,Vehicles!$A$2:$D$21,3,FALSE)</f>
        <v>25</v>
      </c>
      <c r="V368" s="3" t="str">
        <f ca="1">VLOOKUP(E368,Vehicles!$A$2:$D$21,4,FALSE)</f>
        <v>Diesel</v>
      </c>
      <c r="W368" s="3">
        <f ca="1">VLOOKUP(V368,Fuel_Rates!$A$2:$B$3,2,FALSE)</f>
        <v>95</v>
      </c>
      <c r="X368" s="3">
        <f t="shared" ca="1" si="97"/>
        <v>15.87</v>
      </c>
      <c r="Y368" s="3">
        <f t="shared" ca="1" si="98"/>
        <v>14384</v>
      </c>
      <c r="Z368" s="3" t="str">
        <f t="shared" ca="1" si="99"/>
        <v>Aug</v>
      </c>
      <c r="AA368" s="3" t="str">
        <f t="shared" ca="1" si="100"/>
        <v>Q3</v>
      </c>
      <c r="AB368" s="4" t="str">
        <f t="shared" ca="1" si="101"/>
        <v>Medium Haul</v>
      </c>
    </row>
    <row r="369" spans="1:28" x14ac:dyDescent="0.3">
      <c r="A369" s="8" t="str">
        <f t="shared" si="96"/>
        <v>S0368</v>
      </c>
      <c r="B369" s="3">
        <f t="shared" ca="1" si="85"/>
        <v>45832</v>
      </c>
      <c r="C369" s="3" t="str">
        <f ca="1">INDEX(Customers!$A$2:$A$21,RANDBETWEEN(1,20))</f>
        <v>C018</v>
      </c>
      <c r="D369" s="3" t="str">
        <f ca="1">INDEX(Routes!$A$2:$A$31,RANDBETWEEN(1,30))</f>
        <v>R021</v>
      </c>
      <c r="E369" s="3" t="str">
        <f ca="1">INDEX(Vehicles!$A$2:$A$21,RANDBETWEEN(1,20))</f>
        <v>V016</v>
      </c>
      <c r="F369" s="3" t="str">
        <f ca="1">INDEX(Drivers!$A$2:$A$31,RANDBETWEEN(1,30))</f>
        <v>D005</v>
      </c>
      <c r="G369" s="3">
        <f t="shared" ca="1" si="86"/>
        <v>5.3</v>
      </c>
      <c r="H369" s="3">
        <f t="shared" ca="1" si="87"/>
        <v>19271</v>
      </c>
      <c r="I369" s="3">
        <f t="shared" ca="1" si="88"/>
        <v>5396</v>
      </c>
      <c r="J369" s="3">
        <f t="shared" ca="1" si="89"/>
        <v>756</v>
      </c>
      <c r="K369" s="3">
        <f t="shared" ca="1" si="90"/>
        <v>41</v>
      </c>
      <c r="L369" s="3">
        <f t="shared" ca="1" si="91"/>
        <v>41</v>
      </c>
      <c r="M369" s="3">
        <f t="shared" ca="1" si="92"/>
        <v>0</v>
      </c>
      <c r="N369" s="3" t="str">
        <f t="shared" ca="1" si="93"/>
        <v>On Time</v>
      </c>
      <c r="O369" s="3" t="str">
        <f t="shared" ca="1" si="94"/>
        <v>Medium</v>
      </c>
      <c r="P369" s="3">
        <f t="shared" ca="1" si="95"/>
        <v>17.7</v>
      </c>
      <c r="Q369" s="1" t="str">
        <f ca="1">VLOOKUP(D369,Routes!$A$2:$D$31,2,FALSE)</f>
        <v>Lucknow</v>
      </c>
      <c r="R369" s="1" t="str">
        <f ca="1">VLOOKUP(D369,Routes!$A$2:$D$31,3,FALSE)</f>
        <v>Kanpur</v>
      </c>
      <c r="S369" s="3">
        <f ca="1">VLOOKUP(D369,Routes!$A$2:$D$31,4,FALSE)</f>
        <v>90</v>
      </c>
      <c r="T369" s="3" t="str">
        <f ca="1">VLOOKUP(E369,Vehicles!$A$2:$D$21,2,FALSE)</f>
        <v>Container</v>
      </c>
      <c r="U369" s="3">
        <f ca="1">VLOOKUP(E369,Vehicles!$A$2:$D$21,3,FALSE)</f>
        <v>22</v>
      </c>
      <c r="V369" s="3" t="str">
        <f ca="1">VLOOKUP(E369,Vehicles!$A$2:$D$21,4,FALSE)</f>
        <v>Diesel</v>
      </c>
      <c r="W369" s="3">
        <f ca="1">VLOOKUP(V369,Fuel_Rates!$A$2:$B$3,2,FALSE)</f>
        <v>95</v>
      </c>
      <c r="X369" s="3">
        <f t="shared" ca="1" si="97"/>
        <v>214.12</v>
      </c>
      <c r="Y369" s="3">
        <f t="shared" ca="1" si="98"/>
        <v>25423</v>
      </c>
      <c r="Z369" s="3" t="str">
        <f t="shared" ca="1" si="99"/>
        <v>Jun</v>
      </c>
      <c r="AA369" s="3" t="str">
        <f t="shared" ca="1" si="100"/>
        <v>Q2</v>
      </c>
      <c r="AB369" s="4" t="str">
        <f t="shared" ca="1" si="101"/>
        <v>Short Haul</v>
      </c>
    </row>
    <row r="370" spans="1:28" x14ac:dyDescent="0.3">
      <c r="A370" s="8" t="str">
        <f t="shared" si="96"/>
        <v>S0369</v>
      </c>
      <c r="B370" s="3">
        <f t="shared" ca="1" si="85"/>
        <v>45844</v>
      </c>
      <c r="C370" s="3" t="str">
        <f ca="1">INDEX(Customers!$A$2:$A$21,RANDBETWEEN(1,20))</f>
        <v>C009</v>
      </c>
      <c r="D370" s="3" t="str">
        <f ca="1">INDEX(Routes!$A$2:$A$31,RANDBETWEEN(1,30))</f>
        <v>R019</v>
      </c>
      <c r="E370" s="3" t="str">
        <f ca="1">INDEX(Vehicles!$A$2:$A$21,RANDBETWEEN(1,20))</f>
        <v>V009</v>
      </c>
      <c r="F370" s="3" t="str">
        <f ca="1">INDEX(Drivers!$A$2:$A$31,RANDBETWEEN(1,30))</f>
        <v>D016</v>
      </c>
      <c r="G370" s="3">
        <f t="shared" ca="1" si="86"/>
        <v>6.4</v>
      </c>
      <c r="H370" s="3">
        <f t="shared" ca="1" si="87"/>
        <v>22947</v>
      </c>
      <c r="I370" s="3">
        <f t="shared" ca="1" si="88"/>
        <v>6425</v>
      </c>
      <c r="J370" s="3">
        <f t="shared" ca="1" si="89"/>
        <v>660</v>
      </c>
      <c r="K370" s="3">
        <f t="shared" ca="1" si="90"/>
        <v>19</v>
      </c>
      <c r="L370" s="3">
        <f t="shared" ca="1" si="91"/>
        <v>19</v>
      </c>
      <c r="M370" s="3">
        <f t="shared" ca="1" si="92"/>
        <v>0</v>
      </c>
      <c r="N370" s="3" t="str">
        <f t="shared" ca="1" si="93"/>
        <v>On Time</v>
      </c>
      <c r="O370" s="3" t="str">
        <f t="shared" ca="1" si="94"/>
        <v>Low</v>
      </c>
      <c r="P370" s="3">
        <f t="shared" ca="1" si="95"/>
        <v>21.3</v>
      </c>
      <c r="Q370" s="1" t="str">
        <f ca="1">VLOOKUP(D370,Routes!$A$2:$D$31,2,FALSE)</f>
        <v>Ahmedabad</v>
      </c>
      <c r="R370" s="1" t="str">
        <f ca="1">VLOOKUP(D370,Routes!$A$2:$D$31,3,FALSE)</f>
        <v>Indore</v>
      </c>
      <c r="S370" s="3">
        <f ca="1">VLOOKUP(D370,Routes!$A$2:$D$31,4,FALSE)</f>
        <v>390</v>
      </c>
      <c r="T370" s="3" t="str">
        <f ca="1">VLOOKUP(E370,Vehicles!$A$2:$D$21,2,FALSE)</f>
        <v>LCV</v>
      </c>
      <c r="U370" s="3">
        <f ca="1">VLOOKUP(E370,Vehicles!$A$2:$D$21,3,FALSE)</f>
        <v>5</v>
      </c>
      <c r="V370" s="3" t="str">
        <f ca="1">VLOOKUP(E370,Vehicles!$A$2:$D$21,4,FALSE)</f>
        <v>Diesel</v>
      </c>
      <c r="W370" s="3">
        <f ca="1">VLOOKUP(V370,Fuel_Rates!$A$2:$B$3,2,FALSE)</f>
        <v>95</v>
      </c>
      <c r="X370" s="3">
        <f t="shared" ca="1" si="97"/>
        <v>58.84</v>
      </c>
      <c r="Y370" s="3">
        <f t="shared" ca="1" si="98"/>
        <v>30032</v>
      </c>
      <c r="Z370" s="3" t="str">
        <f t="shared" ca="1" si="99"/>
        <v>Jul</v>
      </c>
      <c r="AA370" s="3" t="str">
        <f t="shared" ca="1" si="100"/>
        <v>Q3</v>
      </c>
      <c r="AB370" s="4" t="str">
        <f t="shared" ca="1" si="101"/>
        <v>Medium Haul</v>
      </c>
    </row>
    <row r="371" spans="1:28" x14ac:dyDescent="0.3">
      <c r="A371" s="8" t="str">
        <f t="shared" si="96"/>
        <v>S0370</v>
      </c>
      <c r="B371" s="3">
        <f t="shared" ca="1" si="85"/>
        <v>45799</v>
      </c>
      <c r="C371" s="3" t="str">
        <f ca="1">INDEX(Customers!$A$2:$A$21,RANDBETWEEN(1,20))</f>
        <v>C016</v>
      </c>
      <c r="D371" s="3" t="str">
        <f ca="1">INDEX(Routes!$A$2:$A$31,RANDBETWEEN(1,30))</f>
        <v>R020</v>
      </c>
      <c r="E371" s="3" t="str">
        <f ca="1">INDEX(Vehicles!$A$2:$A$21,RANDBETWEEN(1,20))</f>
        <v>V020</v>
      </c>
      <c r="F371" s="3" t="str">
        <f ca="1">INDEX(Drivers!$A$2:$A$31,RANDBETWEEN(1,30))</f>
        <v>D004</v>
      </c>
      <c r="G371" s="3">
        <f t="shared" ca="1" si="86"/>
        <v>26.5</v>
      </c>
      <c r="H371" s="3">
        <f t="shared" ca="1" si="87"/>
        <v>51548</v>
      </c>
      <c r="I371" s="3">
        <f t="shared" ca="1" si="88"/>
        <v>14433</v>
      </c>
      <c r="J371" s="3">
        <f t="shared" ca="1" si="89"/>
        <v>959</v>
      </c>
      <c r="K371" s="3">
        <f t="shared" ca="1" si="90"/>
        <v>47</v>
      </c>
      <c r="L371" s="3">
        <f t="shared" ca="1" si="91"/>
        <v>52</v>
      </c>
      <c r="M371" s="3">
        <f t="shared" ca="1" si="92"/>
        <v>5</v>
      </c>
      <c r="N371" s="3" t="str">
        <f t="shared" ca="1" si="93"/>
        <v>Delayed</v>
      </c>
      <c r="O371" s="3" t="str">
        <f t="shared" ca="1" si="94"/>
        <v>Medium</v>
      </c>
      <c r="P371" s="3">
        <f t="shared" ca="1" si="95"/>
        <v>88.3</v>
      </c>
      <c r="Q371" s="1" t="str">
        <f ca="1">VLOOKUP(D371,Routes!$A$2:$D$31,2,FALSE)</f>
        <v>Pune</v>
      </c>
      <c r="R371" s="1" t="str">
        <f ca="1">VLOOKUP(D371,Routes!$A$2:$D$31,3,FALSE)</f>
        <v>Nagpur</v>
      </c>
      <c r="S371" s="3">
        <f ca="1">VLOOKUP(D371,Routes!$A$2:$D$31,4,FALSE)</f>
        <v>720</v>
      </c>
      <c r="T371" s="3" t="str">
        <f ca="1">VLOOKUP(E371,Vehicles!$A$2:$D$21,2,FALSE)</f>
        <v>Container</v>
      </c>
      <c r="U371" s="3">
        <f ca="1">VLOOKUP(E371,Vehicles!$A$2:$D$21,3,FALSE)</f>
        <v>28</v>
      </c>
      <c r="V371" s="3" t="str">
        <f ca="1">VLOOKUP(E371,Vehicles!$A$2:$D$21,4,FALSE)</f>
        <v>Diesel</v>
      </c>
      <c r="W371" s="3">
        <f ca="1">VLOOKUP(V371,Fuel_Rates!$A$2:$B$3,2,FALSE)</f>
        <v>95</v>
      </c>
      <c r="X371" s="3">
        <f t="shared" ca="1" si="97"/>
        <v>71.59</v>
      </c>
      <c r="Y371" s="3">
        <f t="shared" ca="1" si="98"/>
        <v>66940</v>
      </c>
      <c r="Z371" s="3" t="str">
        <f t="shared" ca="1" si="99"/>
        <v>May</v>
      </c>
      <c r="AA371" s="3" t="str">
        <f t="shared" ca="1" si="100"/>
        <v>Q2</v>
      </c>
      <c r="AB371" s="4" t="str">
        <f t="shared" ca="1" si="101"/>
        <v>Medium Haul</v>
      </c>
    </row>
    <row r="372" spans="1:28" x14ac:dyDescent="0.3">
      <c r="A372" s="8" t="str">
        <f t="shared" si="96"/>
        <v>S0371</v>
      </c>
      <c r="B372" s="3">
        <f t="shared" ca="1" si="85"/>
        <v>45797</v>
      </c>
      <c r="C372" s="3" t="str">
        <f ca="1">INDEX(Customers!$A$2:$A$21,RANDBETWEEN(1,20))</f>
        <v>C001</v>
      </c>
      <c r="D372" s="3" t="str">
        <f ca="1">INDEX(Routes!$A$2:$A$31,RANDBETWEEN(1,30))</f>
        <v>R016</v>
      </c>
      <c r="E372" s="3" t="str">
        <f ca="1">INDEX(Vehicles!$A$2:$A$21,RANDBETWEEN(1,20))</f>
        <v>V008</v>
      </c>
      <c r="F372" s="3" t="str">
        <f ca="1">INDEX(Drivers!$A$2:$A$31,RANDBETWEEN(1,30))</f>
        <v>D016</v>
      </c>
      <c r="G372" s="3">
        <f t="shared" ca="1" si="86"/>
        <v>4.2</v>
      </c>
      <c r="H372" s="3">
        <f t="shared" ca="1" si="87"/>
        <v>15724</v>
      </c>
      <c r="I372" s="3">
        <f t="shared" ca="1" si="88"/>
        <v>4403</v>
      </c>
      <c r="J372" s="3">
        <f t="shared" ca="1" si="89"/>
        <v>2864</v>
      </c>
      <c r="K372" s="3">
        <f t="shared" ca="1" si="90"/>
        <v>7</v>
      </c>
      <c r="L372" s="3">
        <f t="shared" ca="1" si="91"/>
        <v>9</v>
      </c>
      <c r="M372" s="3">
        <f t="shared" ca="1" si="92"/>
        <v>2</v>
      </c>
      <c r="N372" s="3" t="str">
        <f t="shared" ca="1" si="93"/>
        <v>On Time</v>
      </c>
      <c r="O372" s="3" t="str">
        <f t="shared" ca="1" si="94"/>
        <v>Medium</v>
      </c>
      <c r="P372" s="3">
        <f t="shared" ca="1" si="95"/>
        <v>14</v>
      </c>
      <c r="Q372" s="1" t="str">
        <f ca="1">VLOOKUP(D372,Routes!$A$2:$D$31,2,FALSE)</f>
        <v>Kolkata</v>
      </c>
      <c r="R372" s="1" t="str">
        <f ca="1">VLOOKUP(D372,Routes!$A$2:$D$31,3,FALSE)</f>
        <v>Bhubaneswar</v>
      </c>
      <c r="S372" s="3">
        <f ca="1">VLOOKUP(D372,Routes!$A$2:$D$31,4,FALSE)</f>
        <v>440</v>
      </c>
      <c r="T372" s="3" t="str">
        <f ca="1">VLOOKUP(E372,Vehicles!$A$2:$D$21,2,FALSE)</f>
        <v>Container</v>
      </c>
      <c r="U372" s="3">
        <f ca="1">VLOOKUP(E372,Vehicles!$A$2:$D$21,3,FALSE)</f>
        <v>25</v>
      </c>
      <c r="V372" s="3" t="str">
        <f ca="1">VLOOKUP(E372,Vehicles!$A$2:$D$21,4,FALSE)</f>
        <v>Diesel</v>
      </c>
      <c r="W372" s="3">
        <f ca="1">VLOOKUP(V372,Fuel_Rates!$A$2:$B$3,2,FALSE)</f>
        <v>95</v>
      </c>
      <c r="X372" s="3">
        <f t="shared" ca="1" si="97"/>
        <v>35.74</v>
      </c>
      <c r="Y372" s="3">
        <f t="shared" ca="1" si="98"/>
        <v>22991</v>
      </c>
      <c r="Z372" s="3" t="str">
        <f t="shared" ca="1" si="99"/>
        <v>May</v>
      </c>
      <c r="AA372" s="3" t="str">
        <f t="shared" ca="1" si="100"/>
        <v>Q2</v>
      </c>
      <c r="AB372" s="4" t="str">
        <f t="shared" ca="1" si="101"/>
        <v>Medium Haul</v>
      </c>
    </row>
    <row r="373" spans="1:28" x14ac:dyDescent="0.3">
      <c r="A373" s="8" t="str">
        <f t="shared" si="96"/>
        <v>S0372</v>
      </c>
      <c r="B373" s="3">
        <f t="shared" ca="1" si="85"/>
        <v>45696</v>
      </c>
      <c r="C373" s="3" t="str">
        <f ca="1">INDEX(Customers!$A$2:$A$21,RANDBETWEEN(1,20))</f>
        <v>C005</v>
      </c>
      <c r="D373" s="3" t="str">
        <f ca="1">INDEX(Routes!$A$2:$A$31,RANDBETWEEN(1,30))</f>
        <v>R005</v>
      </c>
      <c r="E373" s="3" t="str">
        <f ca="1">INDEX(Vehicles!$A$2:$A$21,RANDBETWEEN(1,20))</f>
        <v>V018</v>
      </c>
      <c r="F373" s="3" t="str">
        <f ca="1">INDEX(Drivers!$A$2:$A$31,RANDBETWEEN(1,30))</f>
        <v>D028</v>
      </c>
      <c r="G373" s="3">
        <f t="shared" ca="1" si="86"/>
        <v>22</v>
      </c>
      <c r="H373" s="3">
        <f t="shared" ca="1" si="87"/>
        <v>48623</v>
      </c>
      <c r="I373" s="3">
        <f t="shared" ca="1" si="88"/>
        <v>13614</v>
      </c>
      <c r="J373" s="3">
        <f t="shared" ca="1" si="89"/>
        <v>2997</v>
      </c>
      <c r="K373" s="3">
        <f t="shared" ca="1" si="90"/>
        <v>47</v>
      </c>
      <c r="L373" s="3">
        <f t="shared" ca="1" si="91"/>
        <v>50</v>
      </c>
      <c r="M373" s="3">
        <f t="shared" ca="1" si="92"/>
        <v>3</v>
      </c>
      <c r="N373" s="3" t="str">
        <f t="shared" ca="1" si="93"/>
        <v>Delayed</v>
      </c>
      <c r="O373" s="3" t="str">
        <f t="shared" ca="1" si="94"/>
        <v>High</v>
      </c>
      <c r="P373" s="3">
        <f t="shared" ca="1" si="95"/>
        <v>73.3</v>
      </c>
      <c r="Q373" s="1" t="str">
        <f ca="1">VLOOKUP(D373,Routes!$A$2:$D$31,2,FALSE)</f>
        <v>Delhi</v>
      </c>
      <c r="R373" s="1" t="str">
        <f ca="1">VLOOKUP(D373,Routes!$A$2:$D$31,3,FALSE)</f>
        <v>Jaipur</v>
      </c>
      <c r="S373" s="3">
        <f ca="1">VLOOKUP(D373,Routes!$A$2:$D$31,4,FALSE)</f>
        <v>280</v>
      </c>
      <c r="T373" s="3" t="str">
        <f ca="1">VLOOKUP(E373,Vehicles!$A$2:$D$21,2,FALSE)</f>
        <v>Truck</v>
      </c>
      <c r="U373" s="3">
        <f ca="1">VLOOKUP(E373,Vehicles!$A$2:$D$21,3,FALSE)</f>
        <v>26</v>
      </c>
      <c r="V373" s="3" t="str">
        <f ca="1">VLOOKUP(E373,Vehicles!$A$2:$D$21,4,FALSE)</f>
        <v>Diesel</v>
      </c>
      <c r="W373" s="3">
        <f ca="1">VLOOKUP(V373,Fuel_Rates!$A$2:$B$3,2,FALSE)</f>
        <v>95</v>
      </c>
      <c r="X373" s="3">
        <f t="shared" ca="1" si="97"/>
        <v>173.65</v>
      </c>
      <c r="Y373" s="3">
        <f t="shared" ca="1" si="98"/>
        <v>65234</v>
      </c>
      <c r="Z373" s="3" t="str">
        <f t="shared" ca="1" si="99"/>
        <v>Feb</v>
      </c>
      <c r="AA373" s="3" t="str">
        <f t="shared" ca="1" si="100"/>
        <v>Q1</v>
      </c>
      <c r="AB373" s="4" t="str">
        <f t="shared" ca="1" si="101"/>
        <v>Short Haul</v>
      </c>
    </row>
    <row r="374" spans="1:28" x14ac:dyDescent="0.3">
      <c r="A374" s="8" t="str">
        <f t="shared" si="96"/>
        <v>S0373</v>
      </c>
      <c r="B374" s="3">
        <f t="shared" ca="1" si="85"/>
        <v>45958</v>
      </c>
      <c r="C374" s="3" t="str">
        <f ca="1">INDEX(Customers!$A$2:$A$21,RANDBETWEEN(1,20))</f>
        <v>C014</v>
      </c>
      <c r="D374" s="3" t="str">
        <f ca="1">INDEX(Routes!$A$2:$A$31,RANDBETWEEN(1,30))</f>
        <v>R015</v>
      </c>
      <c r="E374" s="3" t="str">
        <f ca="1">INDEX(Vehicles!$A$2:$A$21,RANDBETWEEN(1,20))</f>
        <v>V014</v>
      </c>
      <c r="F374" s="3" t="str">
        <f ca="1">INDEX(Drivers!$A$2:$A$31,RANDBETWEEN(1,30))</f>
        <v>D005</v>
      </c>
      <c r="G374" s="3">
        <f t="shared" ca="1" si="86"/>
        <v>10.199999999999999</v>
      </c>
      <c r="H374" s="3">
        <f t="shared" ca="1" si="87"/>
        <v>32035</v>
      </c>
      <c r="I374" s="3">
        <f t="shared" ca="1" si="88"/>
        <v>8970</v>
      </c>
      <c r="J374" s="3">
        <f t="shared" ca="1" si="89"/>
        <v>2936</v>
      </c>
      <c r="K374" s="3">
        <f t="shared" ca="1" si="90"/>
        <v>47</v>
      </c>
      <c r="L374" s="3">
        <f t="shared" ca="1" si="91"/>
        <v>55</v>
      </c>
      <c r="M374" s="3">
        <f t="shared" ca="1" si="92"/>
        <v>8</v>
      </c>
      <c r="N374" s="3" t="str">
        <f t="shared" ca="1" si="93"/>
        <v>Delayed</v>
      </c>
      <c r="O374" s="3" t="str">
        <f t="shared" ca="1" si="94"/>
        <v>High</v>
      </c>
      <c r="P374" s="3">
        <f t="shared" ca="1" si="95"/>
        <v>34</v>
      </c>
      <c r="Q374" s="1" t="str">
        <f ca="1">VLOOKUP(D374,Routes!$A$2:$D$31,2,FALSE)</f>
        <v>Hyderabad</v>
      </c>
      <c r="R374" s="1" t="str">
        <f ca="1">VLOOKUP(D374,Routes!$A$2:$D$31,3,FALSE)</f>
        <v>Pune</v>
      </c>
      <c r="S374" s="3">
        <f ca="1">VLOOKUP(D374,Routes!$A$2:$D$31,4,FALSE)</f>
        <v>560</v>
      </c>
      <c r="T374" s="3" t="str">
        <f ca="1">VLOOKUP(E374,Vehicles!$A$2:$D$21,2,FALSE)</f>
        <v>LCV</v>
      </c>
      <c r="U374" s="3">
        <f ca="1">VLOOKUP(E374,Vehicles!$A$2:$D$21,3,FALSE)</f>
        <v>6</v>
      </c>
      <c r="V374" s="3" t="str">
        <f ca="1">VLOOKUP(E374,Vehicles!$A$2:$D$21,4,FALSE)</f>
        <v>CNG</v>
      </c>
      <c r="W374" s="3">
        <f ca="1">VLOOKUP(V374,Fuel_Rates!$A$2:$B$3,2,FALSE)</f>
        <v>78</v>
      </c>
      <c r="X374" s="3">
        <f t="shared" ca="1" si="97"/>
        <v>57.21</v>
      </c>
      <c r="Y374" s="3">
        <f t="shared" ca="1" si="98"/>
        <v>43941</v>
      </c>
      <c r="Z374" s="3" t="str">
        <f t="shared" ca="1" si="99"/>
        <v>Oct</v>
      </c>
      <c r="AA374" s="3" t="str">
        <f t="shared" ca="1" si="100"/>
        <v>Q4</v>
      </c>
      <c r="AB374" s="4" t="str">
        <f t="shared" ca="1" si="101"/>
        <v>Medium Haul</v>
      </c>
    </row>
    <row r="375" spans="1:28" x14ac:dyDescent="0.3">
      <c r="A375" s="8" t="str">
        <f t="shared" si="96"/>
        <v>S0374</v>
      </c>
      <c r="B375" s="3">
        <f t="shared" ca="1" si="85"/>
        <v>45766</v>
      </c>
      <c r="C375" s="3" t="str">
        <f ca="1">INDEX(Customers!$A$2:$A$21,RANDBETWEEN(1,20))</f>
        <v>C002</v>
      </c>
      <c r="D375" s="3" t="str">
        <f ca="1">INDEX(Routes!$A$2:$A$31,RANDBETWEEN(1,30))</f>
        <v>R009</v>
      </c>
      <c r="E375" s="3" t="str">
        <f ca="1">INDEX(Vehicles!$A$2:$A$21,RANDBETWEEN(1,20))</f>
        <v>V019</v>
      </c>
      <c r="F375" s="3" t="str">
        <f ca="1">INDEX(Drivers!$A$2:$A$31,RANDBETWEEN(1,30))</f>
        <v>D014</v>
      </c>
      <c r="G375" s="3">
        <f t="shared" ca="1" si="86"/>
        <v>27.2</v>
      </c>
      <c r="H375" s="3">
        <f t="shared" ca="1" si="87"/>
        <v>59674</v>
      </c>
      <c r="I375" s="3">
        <f t="shared" ca="1" si="88"/>
        <v>16709</v>
      </c>
      <c r="J375" s="3">
        <f t="shared" ca="1" si="89"/>
        <v>2370</v>
      </c>
      <c r="K375" s="3">
        <f t="shared" ca="1" si="90"/>
        <v>12</v>
      </c>
      <c r="L375" s="3">
        <f t="shared" ca="1" si="91"/>
        <v>16</v>
      </c>
      <c r="M375" s="3">
        <f t="shared" ca="1" si="92"/>
        <v>4</v>
      </c>
      <c r="N375" s="3" t="str">
        <f t="shared" ca="1" si="93"/>
        <v>Delayed</v>
      </c>
      <c r="O375" s="3" t="str">
        <f t="shared" ca="1" si="94"/>
        <v>Medium</v>
      </c>
      <c r="P375" s="3">
        <f t="shared" ca="1" si="95"/>
        <v>90.7</v>
      </c>
      <c r="Q375" s="1" t="str">
        <f ca="1">VLOOKUP(D375,Routes!$A$2:$D$31,2,FALSE)</f>
        <v>Bengaluru</v>
      </c>
      <c r="R375" s="1" t="str">
        <f ca="1">VLOOKUP(D375,Routes!$A$2:$D$31,3,FALSE)</f>
        <v>Chennai</v>
      </c>
      <c r="S375" s="3">
        <f ca="1">VLOOKUP(D375,Routes!$A$2:$D$31,4,FALSE)</f>
        <v>350</v>
      </c>
      <c r="T375" s="3" t="str">
        <f ca="1">VLOOKUP(E375,Vehicles!$A$2:$D$21,2,FALSE)</f>
        <v>Trailer</v>
      </c>
      <c r="U375" s="3">
        <f ca="1">VLOOKUP(E375,Vehicles!$A$2:$D$21,3,FALSE)</f>
        <v>35</v>
      </c>
      <c r="V375" s="3" t="str">
        <f ca="1">VLOOKUP(E375,Vehicles!$A$2:$D$21,4,FALSE)</f>
        <v>Diesel</v>
      </c>
      <c r="W375" s="3">
        <f ca="1">VLOOKUP(V375,Fuel_Rates!$A$2:$B$3,2,FALSE)</f>
        <v>95</v>
      </c>
      <c r="X375" s="3">
        <f t="shared" ca="1" si="97"/>
        <v>170.5</v>
      </c>
      <c r="Y375" s="3">
        <f t="shared" ca="1" si="98"/>
        <v>78753</v>
      </c>
      <c r="Z375" s="3" t="str">
        <f t="shared" ca="1" si="99"/>
        <v>Apr</v>
      </c>
      <c r="AA375" s="3" t="str">
        <f t="shared" ca="1" si="100"/>
        <v>Q2</v>
      </c>
      <c r="AB375" s="4" t="str">
        <f t="shared" ca="1" si="101"/>
        <v>Medium Haul</v>
      </c>
    </row>
    <row r="376" spans="1:28" x14ac:dyDescent="0.3">
      <c r="A376" s="8" t="str">
        <f t="shared" si="96"/>
        <v>S0375</v>
      </c>
      <c r="B376" s="3">
        <f t="shared" ca="1" si="85"/>
        <v>45679</v>
      </c>
      <c r="C376" s="3" t="str">
        <f ca="1">INDEX(Customers!$A$2:$A$21,RANDBETWEEN(1,20))</f>
        <v>C001</v>
      </c>
      <c r="D376" s="3" t="str">
        <f ca="1">INDEX(Routes!$A$2:$A$31,RANDBETWEEN(1,30))</f>
        <v>R024</v>
      </c>
      <c r="E376" s="3" t="str">
        <f ca="1">INDEX(Vehicles!$A$2:$A$21,RANDBETWEEN(1,20))</f>
        <v>V009</v>
      </c>
      <c r="F376" s="3" t="str">
        <f ca="1">INDEX(Drivers!$A$2:$A$31,RANDBETWEEN(1,30))</f>
        <v>D007</v>
      </c>
      <c r="G376" s="3">
        <f t="shared" ca="1" si="86"/>
        <v>20.2</v>
      </c>
      <c r="H376" s="3">
        <f t="shared" ca="1" si="87"/>
        <v>48338</v>
      </c>
      <c r="I376" s="3">
        <f t="shared" ca="1" si="88"/>
        <v>13535</v>
      </c>
      <c r="J376" s="3">
        <f t="shared" ca="1" si="89"/>
        <v>607</v>
      </c>
      <c r="K376" s="3">
        <f t="shared" ca="1" si="90"/>
        <v>22</v>
      </c>
      <c r="L376" s="3">
        <f t="shared" ca="1" si="91"/>
        <v>23</v>
      </c>
      <c r="M376" s="3">
        <f t="shared" ca="1" si="92"/>
        <v>1</v>
      </c>
      <c r="N376" s="3" t="str">
        <f t="shared" ca="1" si="93"/>
        <v>On Time</v>
      </c>
      <c r="O376" s="3" t="str">
        <f t="shared" ca="1" si="94"/>
        <v>Low</v>
      </c>
      <c r="P376" s="3">
        <f t="shared" ca="1" si="95"/>
        <v>67.3</v>
      </c>
      <c r="Q376" s="1" t="str">
        <f ca="1">VLOOKUP(D376,Routes!$A$2:$D$31,2,FALSE)</f>
        <v>Surat</v>
      </c>
      <c r="R376" s="1" t="str">
        <f ca="1">VLOOKUP(D376,Routes!$A$2:$D$31,3,FALSE)</f>
        <v>Mumbai</v>
      </c>
      <c r="S376" s="3">
        <f ca="1">VLOOKUP(D376,Routes!$A$2:$D$31,4,FALSE)</f>
        <v>280</v>
      </c>
      <c r="T376" s="3" t="str">
        <f ca="1">VLOOKUP(E376,Vehicles!$A$2:$D$21,2,FALSE)</f>
        <v>LCV</v>
      </c>
      <c r="U376" s="3">
        <f ca="1">VLOOKUP(E376,Vehicles!$A$2:$D$21,3,FALSE)</f>
        <v>5</v>
      </c>
      <c r="V376" s="3" t="str">
        <f ca="1">VLOOKUP(E376,Vehicles!$A$2:$D$21,4,FALSE)</f>
        <v>Diesel</v>
      </c>
      <c r="W376" s="3">
        <f ca="1">VLOOKUP(V376,Fuel_Rates!$A$2:$B$3,2,FALSE)</f>
        <v>95</v>
      </c>
      <c r="X376" s="3">
        <f t="shared" ca="1" si="97"/>
        <v>172.64</v>
      </c>
      <c r="Y376" s="3">
        <f t="shared" ca="1" si="98"/>
        <v>62480</v>
      </c>
      <c r="Z376" s="3" t="str">
        <f t="shared" ca="1" si="99"/>
        <v>Jan</v>
      </c>
      <c r="AA376" s="3" t="str">
        <f t="shared" ca="1" si="100"/>
        <v>Q1</v>
      </c>
      <c r="AB376" s="4" t="str">
        <f t="shared" ca="1" si="101"/>
        <v>Short Haul</v>
      </c>
    </row>
    <row r="377" spans="1:28" x14ac:dyDescent="0.3">
      <c r="A377" s="8" t="str">
        <f t="shared" si="96"/>
        <v>S0376</v>
      </c>
      <c r="B377" s="3">
        <f t="shared" ca="1" si="85"/>
        <v>45729</v>
      </c>
      <c r="C377" s="3" t="str">
        <f ca="1">INDEX(Customers!$A$2:$A$21,RANDBETWEEN(1,20))</f>
        <v>C013</v>
      </c>
      <c r="D377" s="3" t="str">
        <f ca="1">INDEX(Routes!$A$2:$A$31,RANDBETWEEN(1,30))</f>
        <v>R001</v>
      </c>
      <c r="E377" s="3" t="str">
        <f ca="1">INDEX(Vehicles!$A$2:$A$21,RANDBETWEEN(1,20))</f>
        <v>V019</v>
      </c>
      <c r="F377" s="3" t="str">
        <f ca="1">INDEX(Drivers!$A$2:$A$31,RANDBETWEEN(1,30))</f>
        <v>D014</v>
      </c>
      <c r="G377" s="3">
        <f t="shared" ca="1" si="86"/>
        <v>28.4</v>
      </c>
      <c r="H377" s="3">
        <f t="shared" ca="1" si="87"/>
        <v>54475</v>
      </c>
      <c r="I377" s="3">
        <f t="shared" ca="1" si="88"/>
        <v>15253</v>
      </c>
      <c r="J377" s="3">
        <f t="shared" ca="1" si="89"/>
        <v>932</v>
      </c>
      <c r="K377" s="3">
        <f t="shared" ca="1" si="90"/>
        <v>23</v>
      </c>
      <c r="L377" s="3">
        <f t="shared" ca="1" si="91"/>
        <v>26</v>
      </c>
      <c r="M377" s="3">
        <f t="shared" ca="1" si="92"/>
        <v>3</v>
      </c>
      <c r="N377" s="3" t="str">
        <f t="shared" ca="1" si="93"/>
        <v>Delayed</v>
      </c>
      <c r="O377" s="3" t="str">
        <f t="shared" ca="1" si="94"/>
        <v>Low</v>
      </c>
      <c r="P377" s="3">
        <f t="shared" ca="1" si="95"/>
        <v>94.7</v>
      </c>
      <c r="Q377" s="1" t="str">
        <f ca="1">VLOOKUP(D377,Routes!$A$2:$D$31,2,FALSE)</f>
        <v>Mumbai</v>
      </c>
      <c r="R377" s="1" t="str">
        <f ca="1">VLOOKUP(D377,Routes!$A$2:$D$31,3,FALSE)</f>
        <v>Pune</v>
      </c>
      <c r="S377" s="3">
        <f ca="1">VLOOKUP(D377,Routes!$A$2:$D$31,4,FALSE)</f>
        <v>150</v>
      </c>
      <c r="T377" s="3" t="str">
        <f ca="1">VLOOKUP(E377,Vehicles!$A$2:$D$21,2,FALSE)</f>
        <v>Trailer</v>
      </c>
      <c r="U377" s="3">
        <f ca="1">VLOOKUP(E377,Vehicles!$A$2:$D$21,3,FALSE)</f>
        <v>35</v>
      </c>
      <c r="V377" s="3" t="str">
        <f ca="1">VLOOKUP(E377,Vehicles!$A$2:$D$21,4,FALSE)</f>
        <v>Diesel</v>
      </c>
      <c r="W377" s="3">
        <f ca="1">VLOOKUP(V377,Fuel_Rates!$A$2:$B$3,2,FALSE)</f>
        <v>95</v>
      </c>
      <c r="X377" s="3">
        <f t="shared" ca="1" si="97"/>
        <v>363.17</v>
      </c>
      <c r="Y377" s="3">
        <f t="shared" ca="1" si="98"/>
        <v>70660</v>
      </c>
      <c r="Z377" s="3" t="str">
        <f t="shared" ca="1" si="99"/>
        <v>Mar</v>
      </c>
      <c r="AA377" s="3" t="str">
        <f t="shared" ca="1" si="100"/>
        <v>Q1</v>
      </c>
      <c r="AB377" s="4" t="str">
        <f t="shared" ca="1" si="101"/>
        <v>Short Haul</v>
      </c>
    </row>
    <row r="378" spans="1:28" x14ac:dyDescent="0.3">
      <c r="A378" s="8" t="str">
        <f t="shared" si="96"/>
        <v>S0377</v>
      </c>
      <c r="B378" s="3">
        <f t="shared" ca="1" si="85"/>
        <v>45755</v>
      </c>
      <c r="C378" s="3" t="str">
        <f ca="1">INDEX(Customers!$A$2:$A$21,RANDBETWEEN(1,20))</f>
        <v>C004</v>
      </c>
      <c r="D378" s="3" t="str">
        <f ca="1">INDEX(Routes!$A$2:$A$31,RANDBETWEEN(1,30))</f>
        <v>R026</v>
      </c>
      <c r="E378" s="3" t="str">
        <f ca="1">INDEX(Vehicles!$A$2:$A$21,RANDBETWEEN(1,20))</f>
        <v>V006</v>
      </c>
      <c r="F378" s="3" t="str">
        <f ca="1">INDEX(Drivers!$A$2:$A$31,RANDBETWEEN(1,30))</f>
        <v>D027</v>
      </c>
      <c r="G378" s="3">
        <f t="shared" ca="1" si="86"/>
        <v>19.3</v>
      </c>
      <c r="H378" s="3">
        <f t="shared" ca="1" si="87"/>
        <v>42142</v>
      </c>
      <c r="I378" s="3">
        <f t="shared" ca="1" si="88"/>
        <v>11800</v>
      </c>
      <c r="J378" s="3">
        <f t="shared" ca="1" si="89"/>
        <v>2111</v>
      </c>
      <c r="K378" s="3">
        <f t="shared" ca="1" si="90"/>
        <v>27</v>
      </c>
      <c r="L378" s="3">
        <f t="shared" ca="1" si="91"/>
        <v>27</v>
      </c>
      <c r="M378" s="3">
        <f t="shared" ca="1" si="92"/>
        <v>0</v>
      </c>
      <c r="N378" s="3" t="str">
        <f t="shared" ca="1" si="93"/>
        <v>On Time</v>
      </c>
      <c r="O378" s="3" t="str">
        <f t="shared" ca="1" si="94"/>
        <v>Low</v>
      </c>
      <c r="P378" s="3">
        <f t="shared" ca="1" si="95"/>
        <v>64.3</v>
      </c>
      <c r="Q378" s="1" t="str">
        <f ca="1">VLOOKUP(D378,Routes!$A$2:$D$31,2,FALSE)</f>
        <v>Nagpur</v>
      </c>
      <c r="R378" s="1" t="str">
        <f ca="1">VLOOKUP(D378,Routes!$A$2:$D$31,3,FALSE)</f>
        <v>Bhopal</v>
      </c>
      <c r="S378" s="3">
        <f ca="1">VLOOKUP(D378,Routes!$A$2:$D$31,4,FALSE)</f>
        <v>350</v>
      </c>
      <c r="T378" s="3" t="str">
        <f ca="1">VLOOKUP(E378,Vehicles!$A$2:$D$21,2,FALSE)</f>
        <v>Container</v>
      </c>
      <c r="U378" s="3">
        <f ca="1">VLOOKUP(E378,Vehicles!$A$2:$D$21,3,FALSE)</f>
        <v>18</v>
      </c>
      <c r="V378" s="3" t="str">
        <f ca="1">VLOOKUP(E378,Vehicles!$A$2:$D$21,4,FALSE)</f>
        <v>Diesel</v>
      </c>
      <c r="W378" s="3">
        <f ca="1">VLOOKUP(V378,Fuel_Rates!$A$2:$B$3,2,FALSE)</f>
        <v>95</v>
      </c>
      <c r="X378" s="3">
        <f t="shared" ca="1" si="97"/>
        <v>120.41</v>
      </c>
      <c r="Y378" s="3">
        <f t="shared" ca="1" si="98"/>
        <v>56053</v>
      </c>
      <c r="Z378" s="3" t="str">
        <f t="shared" ca="1" si="99"/>
        <v>Apr</v>
      </c>
      <c r="AA378" s="3" t="str">
        <f t="shared" ca="1" si="100"/>
        <v>Q2</v>
      </c>
      <c r="AB378" s="4" t="str">
        <f t="shared" ca="1" si="101"/>
        <v>Medium Haul</v>
      </c>
    </row>
    <row r="379" spans="1:28" x14ac:dyDescent="0.3">
      <c r="A379" s="8" t="str">
        <f t="shared" si="96"/>
        <v>S0378</v>
      </c>
      <c r="B379" s="3">
        <f t="shared" ca="1" si="85"/>
        <v>45909</v>
      </c>
      <c r="C379" s="3" t="str">
        <f ca="1">INDEX(Customers!$A$2:$A$21,RANDBETWEEN(1,20))</f>
        <v>C017</v>
      </c>
      <c r="D379" s="3" t="str">
        <f ca="1">INDEX(Routes!$A$2:$A$31,RANDBETWEEN(1,30))</f>
        <v>R005</v>
      </c>
      <c r="E379" s="3" t="str">
        <f ca="1">INDEX(Vehicles!$A$2:$A$21,RANDBETWEEN(1,20))</f>
        <v>V015</v>
      </c>
      <c r="F379" s="3" t="str">
        <f ca="1">INDEX(Drivers!$A$2:$A$31,RANDBETWEEN(1,30))</f>
        <v>D018</v>
      </c>
      <c r="G379" s="3">
        <f t="shared" ca="1" si="86"/>
        <v>4.7</v>
      </c>
      <c r="H379" s="3">
        <f t="shared" ca="1" si="87"/>
        <v>14032</v>
      </c>
      <c r="I379" s="3">
        <f t="shared" ca="1" si="88"/>
        <v>3929</v>
      </c>
      <c r="J379" s="3">
        <f t="shared" ca="1" si="89"/>
        <v>1532</v>
      </c>
      <c r="K379" s="3">
        <f t="shared" ca="1" si="90"/>
        <v>39</v>
      </c>
      <c r="L379" s="3">
        <f t="shared" ca="1" si="91"/>
        <v>43</v>
      </c>
      <c r="M379" s="3">
        <f t="shared" ca="1" si="92"/>
        <v>4</v>
      </c>
      <c r="N379" s="3" t="str">
        <f t="shared" ca="1" si="93"/>
        <v>Delayed</v>
      </c>
      <c r="O379" s="3" t="str">
        <f t="shared" ca="1" si="94"/>
        <v>High</v>
      </c>
      <c r="P379" s="3">
        <f t="shared" ca="1" si="95"/>
        <v>15.7</v>
      </c>
      <c r="Q379" s="1" t="str">
        <f ca="1">VLOOKUP(D379,Routes!$A$2:$D$31,2,FALSE)</f>
        <v>Delhi</v>
      </c>
      <c r="R379" s="1" t="str">
        <f ca="1">VLOOKUP(D379,Routes!$A$2:$D$31,3,FALSE)</f>
        <v>Jaipur</v>
      </c>
      <c r="S379" s="3">
        <f ca="1">VLOOKUP(D379,Routes!$A$2:$D$31,4,FALSE)</f>
        <v>280</v>
      </c>
      <c r="T379" s="3" t="str">
        <f ca="1">VLOOKUP(E379,Vehicles!$A$2:$D$21,2,FALSE)</f>
        <v>Trailer</v>
      </c>
      <c r="U379" s="3">
        <f ca="1">VLOOKUP(E379,Vehicles!$A$2:$D$21,3,FALSE)</f>
        <v>30</v>
      </c>
      <c r="V379" s="3" t="str">
        <f ca="1">VLOOKUP(E379,Vehicles!$A$2:$D$21,4,FALSE)</f>
        <v>Diesel</v>
      </c>
      <c r="W379" s="3">
        <f ca="1">VLOOKUP(V379,Fuel_Rates!$A$2:$B$3,2,FALSE)</f>
        <v>95</v>
      </c>
      <c r="X379" s="3">
        <f t="shared" ca="1" si="97"/>
        <v>50.11</v>
      </c>
      <c r="Y379" s="3">
        <f t="shared" ca="1" si="98"/>
        <v>19493</v>
      </c>
      <c r="Z379" s="3" t="str">
        <f t="shared" ca="1" si="99"/>
        <v>Sep</v>
      </c>
      <c r="AA379" s="3" t="str">
        <f t="shared" ca="1" si="100"/>
        <v>Q3</v>
      </c>
      <c r="AB379" s="4" t="str">
        <f t="shared" ca="1" si="101"/>
        <v>Short Haul</v>
      </c>
    </row>
    <row r="380" spans="1:28" x14ac:dyDescent="0.3">
      <c r="A380" s="8" t="str">
        <f t="shared" si="96"/>
        <v>S0379</v>
      </c>
      <c r="B380" s="3">
        <f t="shared" ca="1" si="85"/>
        <v>45953</v>
      </c>
      <c r="C380" s="3" t="str">
        <f ca="1">INDEX(Customers!$A$2:$A$21,RANDBETWEEN(1,20))</f>
        <v>C018</v>
      </c>
      <c r="D380" s="3" t="str">
        <f ca="1">INDEX(Routes!$A$2:$A$31,RANDBETWEEN(1,30))</f>
        <v>R026</v>
      </c>
      <c r="E380" s="3" t="str">
        <f ca="1">INDEX(Vehicles!$A$2:$A$21,RANDBETWEEN(1,20))</f>
        <v>V020</v>
      </c>
      <c r="F380" s="3" t="str">
        <f ca="1">INDEX(Drivers!$A$2:$A$31,RANDBETWEEN(1,30))</f>
        <v>D010</v>
      </c>
      <c r="G380" s="3">
        <f t="shared" ca="1" si="86"/>
        <v>12.7</v>
      </c>
      <c r="H380" s="3">
        <f t="shared" ca="1" si="87"/>
        <v>33491</v>
      </c>
      <c r="I380" s="3">
        <f t="shared" ca="1" si="88"/>
        <v>9377</v>
      </c>
      <c r="J380" s="3">
        <f t="shared" ca="1" si="89"/>
        <v>1176</v>
      </c>
      <c r="K380" s="3">
        <f t="shared" ca="1" si="90"/>
        <v>11</v>
      </c>
      <c r="L380" s="3">
        <f t="shared" ca="1" si="91"/>
        <v>12</v>
      </c>
      <c r="M380" s="3">
        <f t="shared" ca="1" si="92"/>
        <v>1</v>
      </c>
      <c r="N380" s="3" t="str">
        <f t="shared" ca="1" si="93"/>
        <v>On Time</v>
      </c>
      <c r="O380" s="3" t="str">
        <f t="shared" ca="1" si="94"/>
        <v>High</v>
      </c>
      <c r="P380" s="3">
        <f t="shared" ca="1" si="95"/>
        <v>42.3</v>
      </c>
      <c r="Q380" s="1" t="str">
        <f ca="1">VLOOKUP(D380,Routes!$A$2:$D$31,2,FALSE)</f>
        <v>Nagpur</v>
      </c>
      <c r="R380" s="1" t="str">
        <f ca="1">VLOOKUP(D380,Routes!$A$2:$D$31,3,FALSE)</f>
        <v>Bhopal</v>
      </c>
      <c r="S380" s="3">
        <f ca="1">VLOOKUP(D380,Routes!$A$2:$D$31,4,FALSE)</f>
        <v>350</v>
      </c>
      <c r="T380" s="3" t="str">
        <f ca="1">VLOOKUP(E380,Vehicles!$A$2:$D$21,2,FALSE)</f>
        <v>Container</v>
      </c>
      <c r="U380" s="3">
        <f ca="1">VLOOKUP(E380,Vehicles!$A$2:$D$21,3,FALSE)</f>
        <v>28</v>
      </c>
      <c r="V380" s="3" t="str">
        <f ca="1">VLOOKUP(E380,Vehicles!$A$2:$D$21,4,FALSE)</f>
        <v>Diesel</v>
      </c>
      <c r="W380" s="3">
        <f ca="1">VLOOKUP(V380,Fuel_Rates!$A$2:$B$3,2,FALSE)</f>
        <v>95</v>
      </c>
      <c r="X380" s="3">
        <f t="shared" ca="1" si="97"/>
        <v>95.69</v>
      </c>
      <c r="Y380" s="3">
        <f t="shared" ca="1" si="98"/>
        <v>44044</v>
      </c>
      <c r="Z380" s="3" t="str">
        <f t="shared" ca="1" si="99"/>
        <v>Oct</v>
      </c>
      <c r="AA380" s="3" t="str">
        <f t="shared" ca="1" si="100"/>
        <v>Q4</v>
      </c>
      <c r="AB380" s="4" t="str">
        <f t="shared" ca="1" si="101"/>
        <v>Medium Haul</v>
      </c>
    </row>
    <row r="381" spans="1:28" x14ac:dyDescent="0.3">
      <c r="A381" s="8" t="str">
        <f t="shared" si="96"/>
        <v>S0380</v>
      </c>
      <c r="B381" s="3">
        <f t="shared" ca="1" si="85"/>
        <v>46004</v>
      </c>
      <c r="C381" s="3" t="str">
        <f ca="1">INDEX(Customers!$A$2:$A$21,RANDBETWEEN(1,20))</f>
        <v>C014</v>
      </c>
      <c r="D381" s="3" t="str">
        <f ca="1">INDEX(Routes!$A$2:$A$31,RANDBETWEEN(1,30))</f>
        <v>R030</v>
      </c>
      <c r="E381" s="3" t="str">
        <f ca="1">INDEX(Vehicles!$A$2:$A$21,RANDBETWEEN(1,20))</f>
        <v>V011</v>
      </c>
      <c r="F381" s="3" t="str">
        <f ca="1">INDEX(Drivers!$A$2:$A$31,RANDBETWEEN(1,30))</f>
        <v>D013</v>
      </c>
      <c r="G381" s="3">
        <f t="shared" ca="1" si="86"/>
        <v>8.4</v>
      </c>
      <c r="H381" s="3">
        <f t="shared" ca="1" si="87"/>
        <v>28155</v>
      </c>
      <c r="I381" s="3">
        <f t="shared" ca="1" si="88"/>
        <v>7883</v>
      </c>
      <c r="J381" s="3">
        <f t="shared" ca="1" si="89"/>
        <v>3542</v>
      </c>
      <c r="K381" s="3">
        <f t="shared" ca="1" si="90"/>
        <v>25</v>
      </c>
      <c r="L381" s="3">
        <f t="shared" ca="1" si="91"/>
        <v>32</v>
      </c>
      <c r="M381" s="3">
        <f t="shared" ca="1" si="92"/>
        <v>7</v>
      </c>
      <c r="N381" s="3" t="str">
        <f t="shared" ca="1" si="93"/>
        <v>Delayed</v>
      </c>
      <c r="O381" s="3" t="str">
        <f t="shared" ca="1" si="94"/>
        <v>Low</v>
      </c>
      <c r="P381" s="3">
        <f t="shared" ca="1" si="95"/>
        <v>28</v>
      </c>
      <c r="Q381" s="1" t="str">
        <f ca="1">VLOOKUP(D381,Routes!$A$2:$D$31,2,FALSE)</f>
        <v>Bhubaneswar</v>
      </c>
      <c r="R381" s="1" t="str">
        <f ca="1">VLOOKUP(D381,Routes!$A$2:$D$31,3,FALSE)</f>
        <v>Kolkata</v>
      </c>
      <c r="S381" s="3">
        <f ca="1">VLOOKUP(D381,Routes!$A$2:$D$31,4,FALSE)</f>
        <v>440</v>
      </c>
      <c r="T381" s="3" t="str">
        <f ca="1">VLOOKUP(E381,Vehicles!$A$2:$D$21,2,FALSE)</f>
        <v>Truck</v>
      </c>
      <c r="U381" s="3">
        <f ca="1">VLOOKUP(E381,Vehicles!$A$2:$D$21,3,FALSE)</f>
        <v>18</v>
      </c>
      <c r="V381" s="3" t="str">
        <f ca="1">VLOOKUP(E381,Vehicles!$A$2:$D$21,4,FALSE)</f>
        <v>CNG</v>
      </c>
      <c r="W381" s="3">
        <f ca="1">VLOOKUP(V381,Fuel_Rates!$A$2:$B$3,2,FALSE)</f>
        <v>78</v>
      </c>
      <c r="X381" s="3">
        <f t="shared" ca="1" si="97"/>
        <v>63.99</v>
      </c>
      <c r="Y381" s="3">
        <f t="shared" ca="1" si="98"/>
        <v>39580</v>
      </c>
      <c r="Z381" s="3" t="str">
        <f t="shared" ca="1" si="99"/>
        <v>Dec</v>
      </c>
      <c r="AA381" s="3" t="str">
        <f t="shared" ca="1" si="100"/>
        <v>Q4</v>
      </c>
      <c r="AB381" s="4" t="str">
        <f t="shared" ca="1" si="101"/>
        <v>Medium Haul</v>
      </c>
    </row>
    <row r="382" spans="1:28" x14ac:dyDescent="0.3">
      <c r="A382" s="8" t="str">
        <f t="shared" si="96"/>
        <v>S0381</v>
      </c>
      <c r="B382" s="3">
        <f t="shared" ca="1" si="85"/>
        <v>45721</v>
      </c>
      <c r="C382" s="3" t="str">
        <f ca="1">INDEX(Customers!$A$2:$A$21,RANDBETWEEN(1,20))</f>
        <v>C012</v>
      </c>
      <c r="D382" s="3" t="str">
        <f ca="1">INDEX(Routes!$A$2:$A$31,RANDBETWEEN(1,30))</f>
        <v>R015</v>
      </c>
      <c r="E382" s="3" t="str">
        <f ca="1">INDEX(Vehicles!$A$2:$A$21,RANDBETWEEN(1,20))</f>
        <v>V003</v>
      </c>
      <c r="F382" s="3" t="str">
        <f ca="1">INDEX(Drivers!$A$2:$A$31,RANDBETWEEN(1,30))</f>
        <v>D012</v>
      </c>
      <c r="G382" s="3">
        <f t="shared" ca="1" si="86"/>
        <v>24</v>
      </c>
      <c r="H382" s="3">
        <f t="shared" ca="1" si="87"/>
        <v>55970</v>
      </c>
      <c r="I382" s="3">
        <f t="shared" ca="1" si="88"/>
        <v>15672</v>
      </c>
      <c r="J382" s="3">
        <f t="shared" ca="1" si="89"/>
        <v>3061</v>
      </c>
      <c r="K382" s="3">
        <f t="shared" ca="1" si="90"/>
        <v>31</v>
      </c>
      <c r="L382" s="3">
        <f t="shared" ca="1" si="91"/>
        <v>37</v>
      </c>
      <c r="M382" s="3">
        <f t="shared" ca="1" si="92"/>
        <v>6</v>
      </c>
      <c r="N382" s="3" t="str">
        <f t="shared" ca="1" si="93"/>
        <v>Delayed</v>
      </c>
      <c r="O382" s="3" t="str">
        <f t="shared" ca="1" si="94"/>
        <v>High</v>
      </c>
      <c r="P382" s="3">
        <f t="shared" ca="1" si="95"/>
        <v>80</v>
      </c>
      <c r="Q382" s="1" t="str">
        <f ca="1">VLOOKUP(D382,Routes!$A$2:$D$31,2,FALSE)</f>
        <v>Hyderabad</v>
      </c>
      <c r="R382" s="1" t="str">
        <f ca="1">VLOOKUP(D382,Routes!$A$2:$D$31,3,FALSE)</f>
        <v>Pune</v>
      </c>
      <c r="S382" s="3">
        <f ca="1">VLOOKUP(D382,Routes!$A$2:$D$31,4,FALSE)</f>
        <v>560</v>
      </c>
      <c r="T382" s="3" t="str">
        <f ca="1">VLOOKUP(E382,Vehicles!$A$2:$D$21,2,FALSE)</f>
        <v>Truck</v>
      </c>
      <c r="U382" s="3">
        <f ca="1">VLOOKUP(E382,Vehicles!$A$2:$D$21,3,FALSE)</f>
        <v>25</v>
      </c>
      <c r="V382" s="3" t="str">
        <f ca="1">VLOOKUP(E382,Vehicles!$A$2:$D$21,4,FALSE)</f>
        <v>Diesel</v>
      </c>
      <c r="W382" s="3">
        <f ca="1">VLOOKUP(V382,Fuel_Rates!$A$2:$B$3,2,FALSE)</f>
        <v>95</v>
      </c>
      <c r="X382" s="3">
        <f t="shared" ca="1" si="97"/>
        <v>99.95</v>
      </c>
      <c r="Y382" s="3">
        <f t="shared" ca="1" si="98"/>
        <v>74703</v>
      </c>
      <c r="Z382" s="3" t="str">
        <f t="shared" ca="1" si="99"/>
        <v>Mar</v>
      </c>
      <c r="AA382" s="3" t="str">
        <f t="shared" ca="1" si="100"/>
        <v>Q1</v>
      </c>
      <c r="AB382" s="4" t="str">
        <f t="shared" ca="1" si="101"/>
        <v>Medium Haul</v>
      </c>
    </row>
    <row r="383" spans="1:28" x14ac:dyDescent="0.3">
      <c r="A383" s="8" t="str">
        <f t="shared" si="96"/>
        <v>S0382</v>
      </c>
      <c r="B383" s="3">
        <f t="shared" ca="1" si="85"/>
        <v>46003</v>
      </c>
      <c r="C383" s="3" t="str">
        <f ca="1">INDEX(Customers!$A$2:$A$21,RANDBETWEEN(1,20))</f>
        <v>C011</v>
      </c>
      <c r="D383" s="3" t="str">
        <f ca="1">INDEX(Routes!$A$2:$A$31,RANDBETWEEN(1,30))</f>
        <v>R006</v>
      </c>
      <c r="E383" s="3" t="str">
        <f ca="1">INDEX(Vehicles!$A$2:$A$21,RANDBETWEEN(1,20))</f>
        <v>V018</v>
      </c>
      <c r="F383" s="3" t="str">
        <f ca="1">INDEX(Drivers!$A$2:$A$31,RANDBETWEEN(1,30))</f>
        <v>D007</v>
      </c>
      <c r="G383" s="3">
        <f t="shared" ca="1" si="86"/>
        <v>24.4</v>
      </c>
      <c r="H383" s="3">
        <f t="shared" ca="1" si="87"/>
        <v>50360</v>
      </c>
      <c r="I383" s="3">
        <f t="shared" ca="1" si="88"/>
        <v>14101</v>
      </c>
      <c r="J383" s="3">
        <f t="shared" ca="1" si="89"/>
        <v>2091</v>
      </c>
      <c r="K383" s="3">
        <f t="shared" ca="1" si="90"/>
        <v>23</v>
      </c>
      <c r="L383" s="3">
        <f t="shared" ca="1" si="91"/>
        <v>29</v>
      </c>
      <c r="M383" s="3">
        <f t="shared" ca="1" si="92"/>
        <v>6</v>
      </c>
      <c r="N383" s="3" t="str">
        <f t="shared" ca="1" si="93"/>
        <v>Delayed</v>
      </c>
      <c r="O383" s="3" t="str">
        <f t="shared" ca="1" si="94"/>
        <v>Medium</v>
      </c>
      <c r="P383" s="3">
        <f t="shared" ca="1" si="95"/>
        <v>81.3</v>
      </c>
      <c r="Q383" s="1" t="str">
        <f ca="1">VLOOKUP(D383,Routes!$A$2:$D$31,2,FALSE)</f>
        <v>Delhi</v>
      </c>
      <c r="R383" s="1" t="str">
        <f ca="1">VLOOKUP(D383,Routes!$A$2:$D$31,3,FALSE)</f>
        <v>Lucknow</v>
      </c>
      <c r="S383" s="3">
        <f ca="1">VLOOKUP(D383,Routes!$A$2:$D$31,4,FALSE)</f>
        <v>550</v>
      </c>
      <c r="T383" s="3" t="str">
        <f ca="1">VLOOKUP(E383,Vehicles!$A$2:$D$21,2,FALSE)</f>
        <v>Truck</v>
      </c>
      <c r="U383" s="3">
        <f ca="1">VLOOKUP(E383,Vehicles!$A$2:$D$21,3,FALSE)</f>
        <v>26</v>
      </c>
      <c r="V383" s="3" t="str">
        <f ca="1">VLOOKUP(E383,Vehicles!$A$2:$D$21,4,FALSE)</f>
        <v>Diesel</v>
      </c>
      <c r="W383" s="3">
        <f ca="1">VLOOKUP(V383,Fuel_Rates!$A$2:$B$3,2,FALSE)</f>
        <v>95</v>
      </c>
      <c r="X383" s="3">
        <f t="shared" ca="1" si="97"/>
        <v>91.56</v>
      </c>
      <c r="Y383" s="3">
        <f t="shared" ca="1" si="98"/>
        <v>66552</v>
      </c>
      <c r="Z383" s="3" t="str">
        <f t="shared" ca="1" si="99"/>
        <v>Dec</v>
      </c>
      <c r="AA383" s="3" t="str">
        <f t="shared" ca="1" si="100"/>
        <v>Q4</v>
      </c>
      <c r="AB383" s="4" t="str">
        <f t="shared" ca="1" si="101"/>
        <v>Medium Haul</v>
      </c>
    </row>
    <row r="384" spans="1:28" x14ac:dyDescent="0.3">
      <c r="A384" s="8" t="str">
        <f t="shared" si="96"/>
        <v>S0383</v>
      </c>
      <c r="B384" s="3">
        <f t="shared" ca="1" si="85"/>
        <v>45758</v>
      </c>
      <c r="C384" s="3" t="str">
        <f ca="1">INDEX(Customers!$A$2:$A$21,RANDBETWEEN(1,20))</f>
        <v>C007</v>
      </c>
      <c r="D384" s="3" t="str">
        <f ca="1">INDEX(Routes!$A$2:$A$31,RANDBETWEEN(1,30))</f>
        <v>R014</v>
      </c>
      <c r="E384" s="3" t="str">
        <f ca="1">INDEX(Vehicles!$A$2:$A$21,RANDBETWEEN(1,20))</f>
        <v>V002</v>
      </c>
      <c r="F384" s="3" t="str">
        <f ca="1">INDEX(Drivers!$A$2:$A$31,RANDBETWEEN(1,30))</f>
        <v>D016</v>
      </c>
      <c r="G384" s="3">
        <f t="shared" ca="1" si="86"/>
        <v>10.7</v>
      </c>
      <c r="H384" s="3">
        <f t="shared" ca="1" si="87"/>
        <v>27851</v>
      </c>
      <c r="I384" s="3">
        <f t="shared" ca="1" si="88"/>
        <v>7798</v>
      </c>
      <c r="J384" s="3">
        <f t="shared" ca="1" si="89"/>
        <v>1784</v>
      </c>
      <c r="K384" s="3">
        <f t="shared" ca="1" si="90"/>
        <v>19</v>
      </c>
      <c r="L384" s="3">
        <f t="shared" ca="1" si="91"/>
        <v>21</v>
      </c>
      <c r="M384" s="3">
        <f t="shared" ca="1" si="92"/>
        <v>2</v>
      </c>
      <c r="N384" s="3" t="str">
        <f t="shared" ca="1" si="93"/>
        <v>On Time</v>
      </c>
      <c r="O384" s="3" t="str">
        <f t="shared" ca="1" si="94"/>
        <v>Medium</v>
      </c>
      <c r="P384" s="3">
        <f t="shared" ca="1" si="95"/>
        <v>35.700000000000003</v>
      </c>
      <c r="Q384" s="1" t="str">
        <f ca="1">VLOOKUP(D384,Routes!$A$2:$D$31,2,FALSE)</f>
        <v>Hyderabad</v>
      </c>
      <c r="R384" s="1" t="str">
        <f ca="1">VLOOKUP(D384,Routes!$A$2:$D$31,3,FALSE)</f>
        <v>Nagpur</v>
      </c>
      <c r="S384" s="3">
        <f ca="1">VLOOKUP(D384,Routes!$A$2:$D$31,4,FALSE)</f>
        <v>500</v>
      </c>
      <c r="T384" s="3" t="str">
        <f ca="1">VLOOKUP(E384,Vehicles!$A$2:$D$21,2,FALSE)</f>
        <v>Truck</v>
      </c>
      <c r="U384" s="3">
        <f ca="1">VLOOKUP(E384,Vehicles!$A$2:$D$21,3,FALSE)</f>
        <v>20</v>
      </c>
      <c r="V384" s="3" t="str">
        <f ca="1">VLOOKUP(E384,Vehicles!$A$2:$D$21,4,FALSE)</f>
        <v>Diesel</v>
      </c>
      <c r="W384" s="3">
        <f ca="1">VLOOKUP(V384,Fuel_Rates!$A$2:$B$3,2,FALSE)</f>
        <v>95</v>
      </c>
      <c r="X384" s="3">
        <f t="shared" ca="1" si="97"/>
        <v>55.7</v>
      </c>
      <c r="Y384" s="3">
        <f t="shared" ca="1" si="98"/>
        <v>37433</v>
      </c>
      <c r="Z384" s="3" t="str">
        <f t="shared" ca="1" si="99"/>
        <v>Apr</v>
      </c>
      <c r="AA384" s="3" t="str">
        <f t="shared" ca="1" si="100"/>
        <v>Q2</v>
      </c>
      <c r="AB384" s="4" t="str">
        <f t="shared" ca="1" si="101"/>
        <v>Medium Haul</v>
      </c>
    </row>
    <row r="385" spans="1:28" x14ac:dyDescent="0.3">
      <c r="A385" s="8" t="str">
        <f t="shared" si="96"/>
        <v>S0384</v>
      </c>
      <c r="B385" s="3">
        <f t="shared" ca="1" si="85"/>
        <v>45751</v>
      </c>
      <c r="C385" s="3" t="str">
        <f ca="1">INDEX(Customers!$A$2:$A$21,RANDBETWEEN(1,20))</f>
        <v>C019</v>
      </c>
      <c r="D385" s="3" t="str">
        <f ca="1">INDEX(Routes!$A$2:$A$31,RANDBETWEEN(1,30))</f>
        <v>R012</v>
      </c>
      <c r="E385" s="3" t="str">
        <f ca="1">INDEX(Vehicles!$A$2:$A$21,RANDBETWEEN(1,20))</f>
        <v>V017</v>
      </c>
      <c r="F385" s="3" t="str">
        <f ca="1">INDEX(Drivers!$A$2:$A$31,RANDBETWEEN(1,30))</f>
        <v>D012</v>
      </c>
      <c r="G385" s="3">
        <f t="shared" ca="1" si="86"/>
        <v>3.7</v>
      </c>
      <c r="H385" s="3">
        <f t="shared" ca="1" si="87"/>
        <v>18435</v>
      </c>
      <c r="I385" s="3">
        <f t="shared" ca="1" si="88"/>
        <v>5162</v>
      </c>
      <c r="J385" s="3">
        <f t="shared" ca="1" si="89"/>
        <v>3247</v>
      </c>
      <c r="K385" s="3">
        <f t="shared" ca="1" si="90"/>
        <v>15</v>
      </c>
      <c r="L385" s="3">
        <f t="shared" ca="1" si="91"/>
        <v>18</v>
      </c>
      <c r="M385" s="3">
        <f t="shared" ca="1" si="92"/>
        <v>3</v>
      </c>
      <c r="N385" s="3" t="str">
        <f t="shared" ca="1" si="93"/>
        <v>Delayed</v>
      </c>
      <c r="O385" s="3" t="str">
        <f t="shared" ca="1" si="94"/>
        <v>High</v>
      </c>
      <c r="P385" s="3">
        <f t="shared" ca="1" si="95"/>
        <v>12.3</v>
      </c>
      <c r="Q385" s="1" t="str">
        <f ca="1">VLOOKUP(D385,Routes!$A$2:$D$31,2,FALSE)</f>
        <v>Chennai</v>
      </c>
      <c r="R385" s="1" t="str">
        <f ca="1">VLOOKUP(D385,Routes!$A$2:$D$31,3,FALSE)</f>
        <v>Coimbatore</v>
      </c>
      <c r="S385" s="3">
        <f ca="1">VLOOKUP(D385,Routes!$A$2:$D$31,4,FALSE)</f>
        <v>500</v>
      </c>
      <c r="T385" s="3" t="str">
        <f ca="1">VLOOKUP(E385,Vehicles!$A$2:$D$21,2,FALSE)</f>
        <v>Truck</v>
      </c>
      <c r="U385" s="3">
        <f ca="1">VLOOKUP(E385,Vehicles!$A$2:$D$21,3,FALSE)</f>
        <v>24</v>
      </c>
      <c r="V385" s="3" t="str">
        <f ca="1">VLOOKUP(E385,Vehicles!$A$2:$D$21,4,FALSE)</f>
        <v>Diesel</v>
      </c>
      <c r="W385" s="3">
        <f ca="1">VLOOKUP(V385,Fuel_Rates!$A$2:$B$3,2,FALSE)</f>
        <v>95</v>
      </c>
      <c r="X385" s="3">
        <f t="shared" ca="1" si="97"/>
        <v>36.869999999999997</v>
      </c>
      <c r="Y385" s="3">
        <f t="shared" ca="1" si="98"/>
        <v>26844</v>
      </c>
      <c r="Z385" s="3" t="str">
        <f t="shared" ca="1" si="99"/>
        <v>Apr</v>
      </c>
      <c r="AA385" s="3" t="str">
        <f t="shared" ca="1" si="100"/>
        <v>Q2</v>
      </c>
      <c r="AB385" s="4" t="str">
        <f t="shared" ca="1" si="101"/>
        <v>Medium Haul</v>
      </c>
    </row>
    <row r="386" spans="1:28" x14ac:dyDescent="0.3">
      <c r="A386" s="8" t="str">
        <f t="shared" si="96"/>
        <v>S0385</v>
      </c>
      <c r="B386" s="3">
        <f t="shared" ref="B386:B449" ca="1" si="102">DATE(2025,RANDBETWEEN(1,12),RANDBETWEEN(1,28))</f>
        <v>45758</v>
      </c>
      <c r="C386" s="3" t="str">
        <f ca="1">INDEX(Customers!$A$2:$A$21,RANDBETWEEN(1,20))</f>
        <v>C020</v>
      </c>
      <c r="D386" s="3" t="str">
        <f ca="1">INDEX(Routes!$A$2:$A$31,RANDBETWEEN(1,30))</f>
        <v>R024</v>
      </c>
      <c r="E386" s="3" t="str">
        <f ca="1">INDEX(Vehicles!$A$2:$A$21,RANDBETWEEN(1,20))</f>
        <v>V006</v>
      </c>
      <c r="F386" s="3" t="str">
        <f ca="1">INDEX(Drivers!$A$2:$A$31,RANDBETWEEN(1,30))</f>
        <v>D006</v>
      </c>
      <c r="G386" s="3">
        <f t="shared" ref="G386:G449" ca="1" si="103">ROUND(RANDBETWEEN(20,300)/10,1)</f>
        <v>17.899999999999999</v>
      </c>
      <c r="H386" s="3">
        <f t="shared" ref="H386:H449" ca="1" si="104">ROUND((G386*1800)+RANDBETWEEN(3000,15000),0)</f>
        <v>35734</v>
      </c>
      <c r="I386" s="3">
        <f t="shared" ref="I386:I449" ca="1" si="105">ROUND(H386*0.28,0)</f>
        <v>10006</v>
      </c>
      <c r="J386" s="3">
        <f t="shared" ref="J386:J449" ca="1" si="106">RANDBETWEEN(500,4000)</f>
        <v>1014</v>
      </c>
      <c r="K386" s="3">
        <f t="shared" ref="K386:K449" ca="1" si="107">RANDBETWEEN(4,48)</f>
        <v>17</v>
      </c>
      <c r="L386" s="3">
        <f t="shared" ref="L386:L449" ca="1" si="108">K386+RANDBETWEEN(0,8)</f>
        <v>25</v>
      </c>
      <c r="M386" s="3">
        <f t="shared" ref="M386:M449" ca="1" si="109">L386-K386</f>
        <v>8</v>
      </c>
      <c r="N386" s="3" t="str">
        <f t="shared" ref="N386:N449" ca="1" si="110">IF(M386&lt;=2,"On Time","Delayed")</f>
        <v>Delayed</v>
      </c>
      <c r="O386" s="3" t="str">
        <f t="shared" ref="O386:O449" ca="1" si="111">CHOOSE(RANDBETWEEN(1,3),"High","Medium","Low")</f>
        <v>Medium</v>
      </c>
      <c r="P386" s="3">
        <f t="shared" ref="P386:P449" ca="1" si="112">ROUND((G386/30)*100,1)</f>
        <v>59.7</v>
      </c>
      <c r="Q386" s="1" t="str">
        <f ca="1">VLOOKUP(D386,Routes!$A$2:$D$31,2,FALSE)</f>
        <v>Surat</v>
      </c>
      <c r="R386" s="1" t="str">
        <f ca="1">VLOOKUP(D386,Routes!$A$2:$D$31,3,FALSE)</f>
        <v>Mumbai</v>
      </c>
      <c r="S386" s="3">
        <f ca="1">VLOOKUP(D386,Routes!$A$2:$D$31,4,FALSE)</f>
        <v>280</v>
      </c>
      <c r="T386" s="3" t="str">
        <f ca="1">VLOOKUP(E386,Vehicles!$A$2:$D$21,2,FALSE)</f>
        <v>Container</v>
      </c>
      <c r="U386" s="3">
        <f ca="1">VLOOKUP(E386,Vehicles!$A$2:$D$21,3,FALSE)</f>
        <v>18</v>
      </c>
      <c r="V386" s="3" t="str">
        <f ca="1">VLOOKUP(E386,Vehicles!$A$2:$D$21,4,FALSE)</f>
        <v>Diesel</v>
      </c>
      <c r="W386" s="3">
        <f ca="1">VLOOKUP(V386,Fuel_Rates!$A$2:$B$3,2,FALSE)</f>
        <v>95</v>
      </c>
      <c r="X386" s="3">
        <f t="shared" ca="1" si="97"/>
        <v>127.62</v>
      </c>
      <c r="Y386" s="3">
        <f t="shared" ca="1" si="98"/>
        <v>46754</v>
      </c>
      <c r="Z386" s="3" t="str">
        <f t="shared" ca="1" si="99"/>
        <v>Apr</v>
      </c>
      <c r="AA386" s="3" t="str">
        <f t="shared" ca="1" si="100"/>
        <v>Q2</v>
      </c>
      <c r="AB386" s="4" t="str">
        <f t="shared" ca="1" si="101"/>
        <v>Short Haul</v>
      </c>
    </row>
    <row r="387" spans="1:28" x14ac:dyDescent="0.3">
      <c r="A387" s="8" t="str">
        <f t="shared" ref="A387:A450" si="113">"S"&amp;TEXT(ROW()-1,"0000")</f>
        <v>S0386</v>
      </c>
      <c r="B387" s="3">
        <f t="shared" ca="1" si="102"/>
        <v>45729</v>
      </c>
      <c r="C387" s="3" t="str">
        <f ca="1">INDEX(Customers!$A$2:$A$21,RANDBETWEEN(1,20))</f>
        <v>C015</v>
      </c>
      <c r="D387" s="3" t="str">
        <f ca="1">INDEX(Routes!$A$2:$A$31,RANDBETWEEN(1,30))</f>
        <v>R010</v>
      </c>
      <c r="E387" s="3" t="str">
        <f ca="1">INDEX(Vehicles!$A$2:$A$21,RANDBETWEEN(1,20))</f>
        <v>V007</v>
      </c>
      <c r="F387" s="3" t="str">
        <f ca="1">INDEX(Drivers!$A$2:$A$31,RANDBETWEEN(1,30))</f>
        <v>D010</v>
      </c>
      <c r="G387" s="3">
        <f t="shared" ca="1" si="103"/>
        <v>5.3</v>
      </c>
      <c r="H387" s="3">
        <f t="shared" ca="1" si="104"/>
        <v>24057</v>
      </c>
      <c r="I387" s="3">
        <f t="shared" ca="1" si="105"/>
        <v>6736</v>
      </c>
      <c r="J387" s="3">
        <f t="shared" ca="1" si="106"/>
        <v>3662</v>
      </c>
      <c r="K387" s="3">
        <f t="shared" ca="1" si="107"/>
        <v>31</v>
      </c>
      <c r="L387" s="3">
        <f t="shared" ca="1" si="108"/>
        <v>34</v>
      </c>
      <c r="M387" s="3">
        <f t="shared" ca="1" si="109"/>
        <v>3</v>
      </c>
      <c r="N387" s="3" t="str">
        <f t="shared" ca="1" si="110"/>
        <v>Delayed</v>
      </c>
      <c r="O387" s="3" t="str">
        <f t="shared" ca="1" si="111"/>
        <v>Low</v>
      </c>
      <c r="P387" s="3">
        <f t="shared" ca="1" si="112"/>
        <v>17.7</v>
      </c>
      <c r="Q387" s="1" t="str">
        <f ca="1">VLOOKUP(D387,Routes!$A$2:$D$31,2,FALSE)</f>
        <v>Bengaluru</v>
      </c>
      <c r="R387" s="1" t="str">
        <f ca="1">VLOOKUP(D387,Routes!$A$2:$D$31,3,FALSE)</f>
        <v>Hyderabad</v>
      </c>
      <c r="S387" s="3">
        <f ca="1">VLOOKUP(D387,Routes!$A$2:$D$31,4,FALSE)</f>
        <v>570</v>
      </c>
      <c r="T387" s="3" t="str">
        <f ca="1">VLOOKUP(E387,Vehicles!$A$2:$D$21,2,FALSE)</f>
        <v>Container</v>
      </c>
      <c r="U387" s="3">
        <f ca="1">VLOOKUP(E387,Vehicles!$A$2:$D$21,3,FALSE)</f>
        <v>20</v>
      </c>
      <c r="V387" s="3" t="str">
        <f ca="1">VLOOKUP(E387,Vehicles!$A$2:$D$21,4,FALSE)</f>
        <v>Diesel</v>
      </c>
      <c r="W387" s="3">
        <f ca="1">VLOOKUP(V387,Fuel_Rates!$A$2:$B$3,2,FALSE)</f>
        <v>95</v>
      </c>
      <c r="X387" s="3">
        <f t="shared" ref="X387:X450" ca="1" si="114">ROUND(H387/S387,2)</f>
        <v>42.21</v>
      </c>
      <c r="Y387" s="3">
        <f t="shared" ref="Y387:Y450" ca="1" si="115">H387+I387+J387</f>
        <v>34455</v>
      </c>
      <c r="Z387" s="3" t="str">
        <f t="shared" ref="Z387:Z450" ca="1" si="116">TEXT(B387,"mmm")</f>
        <v>Mar</v>
      </c>
      <c r="AA387" s="3" t="str">
        <f t="shared" ref="AA387:AA450" ca="1" si="117">"Q"&amp;ROUNDUP(MONTH(B387)/3,0)</f>
        <v>Q1</v>
      </c>
      <c r="AB387" s="4" t="str">
        <f t="shared" ref="AB387:AB450" ca="1" si="118">IF(S387&lt;300,"Short Haul",IF(S387&lt;800,"Medium Haul","Long Haul"))</f>
        <v>Medium Haul</v>
      </c>
    </row>
    <row r="388" spans="1:28" x14ac:dyDescent="0.3">
      <c r="A388" s="8" t="str">
        <f t="shared" si="113"/>
        <v>S0387</v>
      </c>
      <c r="B388" s="3">
        <f t="shared" ca="1" si="102"/>
        <v>45791</v>
      </c>
      <c r="C388" s="3" t="str">
        <f ca="1">INDEX(Customers!$A$2:$A$21,RANDBETWEEN(1,20))</f>
        <v>C018</v>
      </c>
      <c r="D388" s="3" t="str">
        <f ca="1">INDEX(Routes!$A$2:$A$31,RANDBETWEEN(1,30))</f>
        <v>R005</v>
      </c>
      <c r="E388" s="3" t="str">
        <f ca="1">INDEX(Vehicles!$A$2:$A$21,RANDBETWEEN(1,20))</f>
        <v>V009</v>
      </c>
      <c r="F388" s="3" t="str">
        <f ca="1">INDEX(Drivers!$A$2:$A$31,RANDBETWEEN(1,30))</f>
        <v>D021</v>
      </c>
      <c r="G388" s="3">
        <f t="shared" ca="1" si="103"/>
        <v>12.5</v>
      </c>
      <c r="H388" s="3">
        <f t="shared" ca="1" si="104"/>
        <v>26605</v>
      </c>
      <c r="I388" s="3">
        <f t="shared" ca="1" si="105"/>
        <v>7449</v>
      </c>
      <c r="J388" s="3">
        <f t="shared" ca="1" si="106"/>
        <v>1238</v>
      </c>
      <c r="K388" s="3">
        <f t="shared" ca="1" si="107"/>
        <v>5</v>
      </c>
      <c r="L388" s="3">
        <f t="shared" ca="1" si="108"/>
        <v>7</v>
      </c>
      <c r="M388" s="3">
        <f t="shared" ca="1" si="109"/>
        <v>2</v>
      </c>
      <c r="N388" s="3" t="str">
        <f t="shared" ca="1" si="110"/>
        <v>On Time</v>
      </c>
      <c r="O388" s="3" t="str">
        <f t="shared" ca="1" si="111"/>
        <v>Low</v>
      </c>
      <c r="P388" s="3">
        <f t="shared" ca="1" si="112"/>
        <v>41.7</v>
      </c>
      <c r="Q388" s="1" t="str">
        <f ca="1">VLOOKUP(D388,Routes!$A$2:$D$31,2,FALSE)</f>
        <v>Delhi</v>
      </c>
      <c r="R388" s="1" t="str">
        <f ca="1">VLOOKUP(D388,Routes!$A$2:$D$31,3,FALSE)</f>
        <v>Jaipur</v>
      </c>
      <c r="S388" s="3">
        <f ca="1">VLOOKUP(D388,Routes!$A$2:$D$31,4,FALSE)</f>
        <v>280</v>
      </c>
      <c r="T388" s="3" t="str">
        <f ca="1">VLOOKUP(E388,Vehicles!$A$2:$D$21,2,FALSE)</f>
        <v>LCV</v>
      </c>
      <c r="U388" s="3">
        <f ca="1">VLOOKUP(E388,Vehicles!$A$2:$D$21,3,FALSE)</f>
        <v>5</v>
      </c>
      <c r="V388" s="3" t="str">
        <f ca="1">VLOOKUP(E388,Vehicles!$A$2:$D$21,4,FALSE)</f>
        <v>Diesel</v>
      </c>
      <c r="W388" s="3">
        <f ca="1">VLOOKUP(V388,Fuel_Rates!$A$2:$B$3,2,FALSE)</f>
        <v>95</v>
      </c>
      <c r="X388" s="3">
        <f t="shared" ca="1" si="114"/>
        <v>95.02</v>
      </c>
      <c r="Y388" s="3">
        <f t="shared" ca="1" si="115"/>
        <v>35292</v>
      </c>
      <c r="Z388" s="3" t="str">
        <f t="shared" ca="1" si="116"/>
        <v>May</v>
      </c>
      <c r="AA388" s="3" t="str">
        <f t="shared" ca="1" si="117"/>
        <v>Q2</v>
      </c>
      <c r="AB388" s="4" t="str">
        <f t="shared" ca="1" si="118"/>
        <v>Short Haul</v>
      </c>
    </row>
    <row r="389" spans="1:28" x14ac:dyDescent="0.3">
      <c r="A389" s="8" t="str">
        <f t="shared" si="113"/>
        <v>S0388</v>
      </c>
      <c r="B389" s="3">
        <f t="shared" ca="1" si="102"/>
        <v>45894</v>
      </c>
      <c r="C389" s="3" t="str">
        <f ca="1">INDEX(Customers!$A$2:$A$21,RANDBETWEEN(1,20))</f>
        <v>C009</v>
      </c>
      <c r="D389" s="3" t="str">
        <f ca="1">INDEX(Routes!$A$2:$A$31,RANDBETWEEN(1,30))</f>
        <v>R012</v>
      </c>
      <c r="E389" s="3" t="str">
        <f ca="1">INDEX(Vehicles!$A$2:$A$21,RANDBETWEEN(1,20))</f>
        <v>V010</v>
      </c>
      <c r="F389" s="3" t="str">
        <f ca="1">INDEX(Drivers!$A$2:$A$31,RANDBETWEEN(1,30))</f>
        <v>D015</v>
      </c>
      <c r="G389" s="3">
        <f t="shared" ca="1" si="103"/>
        <v>17.100000000000001</v>
      </c>
      <c r="H389" s="3">
        <f t="shared" ca="1" si="104"/>
        <v>39151</v>
      </c>
      <c r="I389" s="3">
        <f t="shared" ca="1" si="105"/>
        <v>10962</v>
      </c>
      <c r="J389" s="3">
        <f t="shared" ca="1" si="106"/>
        <v>2279</v>
      </c>
      <c r="K389" s="3">
        <f t="shared" ca="1" si="107"/>
        <v>20</v>
      </c>
      <c r="L389" s="3">
        <f t="shared" ca="1" si="108"/>
        <v>23</v>
      </c>
      <c r="M389" s="3">
        <f t="shared" ca="1" si="109"/>
        <v>3</v>
      </c>
      <c r="N389" s="3" t="str">
        <f t="shared" ca="1" si="110"/>
        <v>Delayed</v>
      </c>
      <c r="O389" s="3" t="str">
        <f t="shared" ca="1" si="111"/>
        <v>High</v>
      </c>
      <c r="P389" s="3">
        <f t="shared" ca="1" si="112"/>
        <v>57</v>
      </c>
      <c r="Q389" s="1" t="str">
        <f ca="1">VLOOKUP(D389,Routes!$A$2:$D$31,2,FALSE)</f>
        <v>Chennai</v>
      </c>
      <c r="R389" s="1" t="str">
        <f ca="1">VLOOKUP(D389,Routes!$A$2:$D$31,3,FALSE)</f>
        <v>Coimbatore</v>
      </c>
      <c r="S389" s="3">
        <f ca="1">VLOOKUP(D389,Routes!$A$2:$D$31,4,FALSE)</f>
        <v>500</v>
      </c>
      <c r="T389" s="3" t="str">
        <f ca="1">VLOOKUP(E389,Vehicles!$A$2:$D$21,2,FALSE)</f>
        <v>LCV</v>
      </c>
      <c r="U389" s="3">
        <f ca="1">VLOOKUP(E389,Vehicles!$A$2:$D$21,3,FALSE)</f>
        <v>7</v>
      </c>
      <c r="V389" s="3" t="str">
        <f ca="1">VLOOKUP(E389,Vehicles!$A$2:$D$21,4,FALSE)</f>
        <v>Diesel</v>
      </c>
      <c r="W389" s="3">
        <f ca="1">VLOOKUP(V389,Fuel_Rates!$A$2:$B$3,2,FALSE)</f>
        <v>95</v>
      </c>
      <c r="X389" s="3">
        <f t="shared" ca="1" si="114"/>
        <v>78.3</v>
      </c>
      <c r="Y389" s="3">
        <f t="shared" ca="1" si="115"/>
        <v>52392</v>
      </c>
      <c r="Z389" s="3" t="str">
        <f t="shared" ca="1" si="116"/>
        <v>Aug</v>
      </c>
      <c r="AA389" s="3" t="str">
        <f t="shared" ca="1" si="117"/>
        <v>Q3</v>
      </c>
      <c r="AB389" s="4" t="str">
        <f t="shared" ca="1" si="118"/>
        <v>Medium Haul</v>
      </c>
    </row>
    <row r="390" spans="1:28" x14ac:dyDescent="0.3">
      <c r="A390" s="8" t="str">
        <f t="shared" si="113"/>
        <v>S0389</v>
      </c>
      <c r="B390" s="3">
        <f t="shared" ca="1" si="102"/>
        <v>45743</v>
      </c>
      <c r="C390" s="3" t="str">
        <f ca="1">INDEX(Customers!$A$2:$A$21,RANDBETWEEN(1,20))</f>
        <v>C016</v>
      </c>
      <c r="D390" s="3" t="str">
        <f ca="1">INDEX(Routes!$A$2:$A$31,RANDBETWEEN(1,30))</f>
        <v>R017</v>
      </c>
      <c r="E390" s="3" t="str">
        <f ca="1">INDEX(Vehicles!$A$2:$A$21,RANDBETWEEN(1,20))</f>
        <v>V012</v>
      </c>
      <c r="F390" s="3" t="str">
        <f ca="1">INDEX(Drivers!$A$2:$A$31,RANDBETWEEN(1,30))</f>
        <v>D028</v>
      </c>
      <c r="G390" s="3">
        <f t="shared" ca="1" si="103"/>
        <v>22.1</v>
      </c>
      <c r="H390" s="3">
        <f t="shared" ca="1" si="104"/>
        <v>47154</v>
      </c>
      <c r="I390" s="3">
        <f t="shared" ca="1" si="105"/>
        <v>13203</v>
      </c>
      <c r="J390" s="3">
        <f t="shared" ca="1" si="106"/>
        <v>1794</v>
      </c>
      <c r="K390" s="3">
        <f t="shared" ca="1" si="107"/>
        <v>38</v>
      </c>
      <c r="L390" s="3">
        <f t="shared" ca="1" si="108"/>
        <v>46</v>
      </c>
      <c r="M390" s="3">
        <f t="shared" ca="1" si="109"/>
        <v>8</v>
      </c>
      <c r="N390" s="3" t="str">
        <f t="shared" ca="1" si="110"/>
        <v>Delayed</v>
      </c>
      <c r="O390" s="3" t="str">
        <f t="shared" ca="1" si="111"/>
        <v>Medium</v>
      </c>
      <c r="P390" s="3">
        <f t="shared" ca="1" si="112"/>
        <v>73.7</v>
      </c>
      <c r="Q390" s="1" t="str">
        <f ca="1">VLOOKUP(D390,Routes!$A$2:$D$31,2,FALSE)</f>
        <v>Kolkata</v>
      </c>
      <c r="R390" s="1" t="str">
        <f ca="1">VLOOKUP(D390,Routes!$A$2:$D$31,3,FALSE)</f>
        <v>Patna</v>
      </c>
      <c r="S390" s="3">
        <f ca="1">VLOOKUP(D390,Routes!$A$2:$D$31,4,FALSE)</f>
        <v>620</v>
      </c>
      <c r="T390" s="3" t="str">
        <f ca="1">VLOOKUP(E390,Vehicles!$A$2:$D$21,2,FALSE)</f>
        <v>Truck</v>
      </c>
      <c r="U390" s="3">
        <f ca="1">VLOOKUP(E390,Vehicles!$A$2:$D$21,3,FALSE)</f>
        <v>20</v>
      </c>
      <c r="V390" s="3" t="str">
        <f ca="1">VLOOKUP(E390,Vehicles!$A$2:$D$21,4,FALSE)</f>
        <v>CNG</v>
      </c>
      <c r="W390" s="3">
        <f ca="1">VLOOKUP(V390,Fuel_Rates!$A$2:$B$3,2,FALSE)</f>
        <v>78</v>
      </c>
      <c r="X390" s="3">
        <f t="shared" ca="1" si="114"/>
        <v>76.05</v>
      </c>
      <c r="Y390" s="3">
        <f t="shared" ca="1" si="115"/>
        <v>62151</v>
      </c>
      <c r="Z390" s="3" t="str">
        <f t="shared" ca="1" si="116"/>
        <v>Mar</v>
      </c>
      <c r="AA390" s="3" t="str">
        <f t="shared" ca="1" si="117"/>
        <v>Q1</v>
      </c>
      <c r="AB390" s="4" t="str">
        <f t="shared" ca="1" si="118"/>
        <v>Medium Haul</v>
      </c>
    </row>
    <row r="391" spans="1:28" x14ac:dyDescent="0.3">
      <c r="A391" s="8" t="str">
        <f t="shared" si="113"/>
        <v>S0390</v>
      </c>
      <c r="B391" s="3">
        <f t="shared" ca="1" si="102"/>
        <v>45726</v>
      </c>
      <c r="C391" s="3" t="str">
        <f ca="1">INDEX(Customers!$A$2:$A$21,RANDBETWEEN(1,20))</f>
        <v>C014</v>
      </c>
      <c r="D391" s="3" t="str">
        <f ca="1">INDEX(Routes!$A$2:$A$31,RANDBETWEEN(1,30))</f>
        <v>R020</v>
      </c>
      <c r="E391" s="3" t="str">
        <f ca="1">INDEX(Vehicles!$A$2:$A$21,RANDBETWEEN(1,20))</f>
        <v>V003</v>
      </c>
      <c r="F391" s="3" t="str">
        <f ca="1">INDEX(Drivers!$A$2:$A$31,RANDBETWEEN(1,30))</f>
        <v>D030</v>
      </c>
      <c r="G391" s="3">
        <f t="shared" ca="1" si="103"/>
        <v>6.4</v>
      </c>
      <c r="H391" s="3">
        <f t="shared" ca="1" si="104"/>
        <v>22651</v>
      </c>
      <c r="I391" s="3">
        <f t="shared" ca="1" si="105"/>
        <v>6342</v>
      </c>
      <c r="J391" s="3">
        <f t="shared" ca="1" si="106"/>
        <v>520</v>
      </c>
      <c r="K391" s="3">
        <f t="shared" ca="1" si="107"/>
        <v>35</v>
      </c>
      <c r="L391" s="3">
        <f t="shared" ca="1" si="108"/>
        <v>43</v>
      </c>
      <c r="M391" s="3">
        <f t="shared" ca="1" si="109"/>
        <v>8</v>
      </c>
      <c r="N391" s="3" t="str">
        <f t="shared" ca="1" si="110"/>
        <v>Delayed</v>
      </c>
      <c r="O391" s="3" t="str">
        <f t="shared" ca="1" si="111"/>
        <v>High</v>
      </c>
      <c r="P391" s="3">
        <f t="shared" ca="1" si="112"/>
        <v>21.3</v>
      </c>
      <c r="Q391" s="1" t="str">
        <f ca="1">VLOOKUP(D391,Routes!$A$2:$D$31,2,FALSE)</f>
        <v>Pune</v>
      </c>
      <c r="R391" s="1" t="str">
        <f ca="1">VLOOKUP(D391,Routes!$A$2:$D$31,3,FALSE)</f>
        <v>Nagpur</v>
      </c>
      <c r="S391" s="3">
        <f ca="1">VLOOKUP(D391,Routes!$A$2:$D$31,4,FALSE)</f>
        <v>720</v>
      </c>
      <c r="T391" s="3" t="str">
        <f ca="1">VLOOKUP(E391,Vehicles!$A$2:$D$21,2,FALSE)</f>
        <v>Truck</v>
      </c>
      <c r="U391" s="3">
        <f ca="1">VLOOKUP(E391,Vehicles!$A$2:$D$21,3,FALSE)</f>
        <v>25</v>
      </c>
      <c r="V391" s="3" t="str">
        <f ca="1">VLOOKUP(E391,Vehicles!$A$2:$D$21,4,FALSE)</f>
        <v>Diesel</v>
      </c>
      <c r="W391" s="3">
        <f ca="1">VLOOKUP(V391,Fuel_Rates!$A$2:$B$3,2,FALSE)</f>
        <v>95</v>
      </c>
      <c r="X391" s="3">
        <f t="shared" ca="1" si="114"/>
        <v>31.46</v>
      </c>
      <c r="Y391" s="3">
        <f t="shared" ca="1" si="115"/>
        <v>29513</v>
      </c>
      <c r="Z391" s="3" t="str">
        <f t="shared" ca="1" si="116"/>
        <v>Mar</v>
      </c>
      <c r="AA391" s="3" t="str">
        <f t="shared" ca="1" si="117"/>
        <v>Q1</v>
      </c>
      <c r="AB391" s="4" t="str">
        <f t="shared" ca="1" si="118"/>
        <v>Medium Haul</v>
      </c>
    </row>
    <row r="392" spans="1:28" x14ac:dyDescent="0.3">
      <c r="A392" s="8" t="str">
        <f t="shared" si="113"/>
        <v>S0391</v>
      </c>
      <c r="B392" s="3">
        <f t="shared" ca="1" si="102"/>
        <v>45914</v>
      </c>
      <c r="C392" s="3" t="str">
        <f ca="1">INDEX(Customers!$A$2:$A$21,RANDBETWEEN(1,20))</f>
        <v>C019</v>
      </c>
      <c r="D392" s="3" t="str">
        <f ca="1">INDEX(Routes!$A$2:$A$31,RANDBETWEEN(1,30))</f>
        <v>R005</v>
      </c>
      <c r="E392" s="3" t="str">
        <f ca="1">INDEX(Vehicles!$A$2:$A$21,RANDBETWEEN(1,20))</f>
        <v>V005</v>
      </c>
      <c r="F392" s="3" t="str">
        <f ca="1">INDEX(Drivers!$A$2:$A$31,RANDBETWEEN(1,30))</f>
        <v>D018</v>
      </c>
      <c r="G392" s="3">
        <f t="shared" ca="1" si="103"/>
        <v>26.8</v>
      </c>
      <c r="H392" s="3">
        <f t="shared" ca="1" si="104"/>
        <v>58740</v>
      </c>
      <c r="I392" s="3">
        <f t="shared" ca="1" si="105"/>
        <v>16447</v>
      </c>
      <c r="J392" s="3">
        <f t="shared" ca="1" si="106"/>
        <v>1214</v>
      </c>
      <c r="K392" s="3">
        <f t="shared" ca="1" si="107"/>
        <v>30</v>
      </c>
      <c r="L392" s="3">
        <f t="shared" ca="1" si="108"/>
        <v>35</v>
      </c>
      <c r="M392" s="3">
        <f t="shared" ca="1" si="109"/>
        <v>5</v>
      </c>
      <c r="N392" s="3" t="str">
        <f t="shared" ca="1" si="110"/>
        <v>Delayed</v>
      </c>
      <c r="O392" s="3" t="str">
        <f t="shared" ca="1" si="111"/>
        <v>Low</v>
      </c>
      <c r="P392" s="3">
        <f t="shared" ca="1" si="112"/>
        <v>89.3</v>
      </c>
      <c r="Q392" s="1" t="str">
        <f ca="1">VLOOKUP(D392,Routes!$A$2:$D$31,2,FALSE)</f>
        <v>Delhi</v>
      </c>
      <c r="R392" s="1" t="str">
        <f ca="1">VLOOKUP(D392,Routes!$A$2:$D$31,3,FALSE)</f>
        <v>Jaipur</v>
      </c>
      <c r="S392" s="3">
        <f ca="1">VLOOKUP(D392,Routes!$A$2:$D$31,4,FALSE)</f>
        <v>280</v>
      </c>
      <c r="T392" s="3" t="str">
        <f ca="1">VLOOKUP(E392,Vehicles!$A$2:$D$21,2,FALSE)</f>
        <v>Trailer</v>
      </c>
      <c r="U392" s="3">
        <f ca="1">VLOOKUP(E392,Vehicles!$A$2:$D$21,3,FALSE)</f>
        <v>32</v>
      </c>
      <c r="V392" s="3" t="str">
        <f ca="1">VLOOKUP(E392,Vehicles!$A$2:$D$21,4,FALSE)</f>
        <v>Diesel</v>
      </c>
      <c r="W392" s="3">
        <f ca="1">VLOOKUP(V392,Fuel_Rates!$A$2:$B$3,2,FALSE)</f>
        <v>95</v>
      </c>
      <c r="X392" s="3">
        <f t="shared" ca="1" si="114"/>
        <v>209.79</v>
      </c>
      <c r="Y392" s="3">
        <f t="shared" ca="1" si="115"/>
        <v>76401</v>
      </c>
      <c r="Z392" s="3" t="str">
        <f t="shared" ca="1" si="116"/>
        <v>Sep</v>
      </c>
      <c r="AA392" s="3" t="str">
        <f t="shared" ca="1" si="117"/>
        <v>Q3</v>
      </c>
      <c r="AB392" s="4" t="str">
        <f t="shared" ca="1" si="118"/>
        <v>Short Haul</v>
      </c>
    </row>
    <row r="393" spans="1:28" x14ac:dyDescent="0.3">
      <c r="A393" s="8" t="str">
        <f t="shared" si="113"/>
        <v>S0392</v>
      </c>
      <c r="B393" s="3">
        <f t="shared" ca="1" si="102"/>
        <v>45772</v>
      </c>
      <c r="C393" s="3" t="str">
        <f ca="1">INDEX(Customers!$A$2:$A$21,RANDBETWEEN(1,20))</f>
        <v>C019</v>
      </c>
      <c r="D393" s="3" t="str">
        <f ca="1">INDEX(Routes!$A$2:$A$31,RANDBETWEEN(1,30))</f>
        <v>R009</v>
      </c>
      <c r="E393" s="3" t="str">
        <f ca="1">INDEX(Vehicles!$A$2:$A$21,RANDBETWEEN(1,20))</f>
        <v>V010</v>
      </c>
      <c r="F393" s="3" t="str">
        <f ca="1">INDEX(Drivers!$A$2:$A$31,RANDBETWEEN(1,30))</f>
        <v>D003</v>
      </c>
      <c r="G393" s="3">
        <f t="shared" ca="1" si="103"/>
        <v>26.9</v>
      </c>
      <c r="H393" s="3">
        <f t="shared" ca="1" si="104"/>
        <v>56656</v>
      </c>
      <c r="I393" s="3">
        <f t="shared" ca="1" si="105"/>
        <v>15864</v>
      </c>
      <c r="J393" s="3">
        <f t="shared" ca="1" si="106"/>
        <v>1703</v>
      </c>
      <c r="K393" s="3">
        <f t="shared" ca="1" si="107"/>
        <v>18</v>
      </c>
      <c r="L393" s="3">
        <f t="shared" ca="1" si="108"/>
        <v>25</v>
      </c>
      <c r="M393" s="3">
        <f t="shared" ca="1" si="109"/>
        <v>7</v>
      </c>
      <c r="N393" s="3" t="str">
        <f t="shared" ca="1" si="110"/>
        <v>Delayed</v>
      </c>
      <c r="O393" s="3" t="str">
        <f t="shared" ca="1" si="111"/>
        <v>High</v>
      </c>
      <c r="P393" s="3">
        <f t="shared" ca="1" si="112"/>
        <v>89.7</v>
      </c>
      <c r="Q393" s="1" t="str">
        <f ca="1">VLOOKUP(D393,Routes!$A$2:$D$31,2,FALSE)</f>
        <v>Bengaluru</v>
      </c>
      <c r="R393" s="1" t="str">
        <f ca="1">VLOOKUP(D393,Routes!$A$2:$D$31,3,FALSE)</f>
        <v>Chennai</v>
      </c>
      <c r="S393" s="3">
        <f ca="1">VLOOKUP(D393,Routes!$A$2:$D$31,4,FALSE)</f>
        <v>350</v>
      </c>
      <c r="T393" s="3" t="str">
        <f ca="1">VLOOKUP(E393,Vehicles!$A$2:$D$21,2,FALSE)</f>
        <v>LCV</v>
      </c>
      <c r="U393" s="3">
        <f ca="1">VLOOKUP(E393,Vehicles!$A$2:$D$21,3,FALSE)</f>
        <v>7</v>
      </c>
      <c r="V393" s="3" t="str">
        <f ca="1">VLOOKUP(E393,Vehicles!$A$2:$D$21,4,FALSE)</f>
        <v>Diesel</v>
      </c>
      <c r="W393" s="3">
        <f ca="1">VLOOKUP(V393,Fuel_Rates!$A$2:$B$3,2,FALSE)</f>
        <v>95</v>
      </c>
      <c r="X393" s="3">
        <f t="shared" ca="1" si="114"/>
        <v>161.87</v>
      </c>
      <c r="Y393" s="3">
        <f t="shared" ca="1" si="115"/>
        <v>74223</v>
      </c>
      <c r="Z393" s="3" t="str">
        <f t="shared" ca="1" si="116"/>
        <v>Apr</v>
      </c>
      <c r="AA393" s="3" t="str">
        <f t="shared" ca="1" si="117"/>
        <v>Q2</v>
      </c>
      <c r="AB393" s="4" t="str">
        <f t="shared" ca="1" si="118"/>
        <v>Medium Haul</v>
      </c>
    </row>
    <row r="394" spans="1:28" x14ac:dyDescent="0.3">
      <c r="A394" s="8" t="str">
        <f t="shared" si="113"/>
        <v>S0393</v>
      </c>
      <c r="B394" s="3">
        <f t="shared" ca="1" si="102"/>
        <v>45936</v>
      </c>
      <c r="C394" s="3" t="str">
        <f ca="1">INDEX(Customers!$A$2:$A$21,RANDBETWEEN(1,20))</f>
        <v>C016</v>
      </c>
      <c r="D394" s="3" t="str">
        <f ca="1">INDEX(Routes!$A$2:$A$31,RANDBETWEEN(1,30))</f>
        <v>R010</v>
      </c>
      <c r="E394" s="3" t="str">
        <f ca="1">INDEX(Vehicles!$A$2:$A$21,RANDBETWEEN(1,20))</f>
        <v>V001</v>
      </c>
      <c r="F394" s="3" t="str">
        <f ca="1">INDEX(Drivers!$A$2:$A$31,RANDBETWEEN(1,30))</f>
        <v>D030</v>
      </c>
      <c r="G394" s="3">
        <f t="shared" ca="1" si="103"/>
        <v>18.399999999999999</v>
      </c>
      <c r="H394" s="3">
        <f t="shared" ca="1" si="104"/>
        <v>38736</v>
      </c>
      <c r="I394" s="3">
        <f t="shared" ca="1" si="105"/>
        <v>10846</v>
      </c>
      <c r="J394" s="3">
        <f t="shared" ca="1" si="106"/>
        <v>2465</v>
      </c>
      <c r="K394" s="3">
        <f t="shared" ca="1" si="107"/>
        <v>43</v>
      </c>
      <c r="L394" s="3">
        <f t="shared" ca="1" si="108"/>
        <v>46</v>
      </c>
      <c r="M394" s="3">
        <f t="shared" ca="1" si="109"/>
        <v>3</v>
      </c>
      <c r="N394" s="3" t="str">
        <f t="shared" ca="1" si="110"/>
        <v>Delayed</v>
      </c>
      <c r="O394" s="3" t="str">
        <f t="shared" ca="1" si="111"/>
        <v>Medium</v>
      </c>
      <c r="P394" s="3">
        <f t="shared" ca="1" si="112"/>
        <v>61.3</v>
      </c>
      <c r="Q394" s="1" t="str">
        <f ca="1">VLOOKUP(D394,Routes!$A$2:$D$31,2,FALSE)</f>
        <v>Bengaluru</v>
      </c>
      <c r="R394" s="1" t="str">
        <f ca="1">VLOOKUP(D394,Routes!$A$2:$D$31,3,FALSE)</f>
        <v>Hyderabad</v>
      </c>
      <c r="S394" s="3">
        <f ca="1">VLOOKUP(D394,Routes!$A$2:$D$31,4,FALSE)</f>
        <v>570</v>
      </c>
      <c r="T394" s="3" t="str">
        <f ca="1">VLOOKUP(E394,Vehicles!$A$2:$D$21,2,FALSE)</f>
        <v>Truck</v>
      </c>
      <c r="U394" s="3">
        <f ca="1">VLOOKUP(E394,Vehicles!$A$2:$D$21,3,FALSE)</f>
        <v>16</v>
      </c>
      <c r="V394" s="3" t="str">
        <f ca="1">VLOOKUP(E394,Vehicles!$A$2:$D$21,4,FALSE)</f>
        <v>Diesel</v>
      </c>
      <c r="W394" s="3">
        <f ca="1">VLOOKUP(V394,Fuel_Rates!$A$2:$B$3,2,FALSE)</f>
        <v>95</v>
      </c>
      <c r="X394" s="3">
        <f t="shared" ca="1" si="114"/>
        <v>67.959999999999994</v>
      </c>
      <c r="Y394" s="3">
        <f t="shared" ca="1" si="115"/>
        <v>52047</v>
      </c>
      <c r="Z394" s="3" t="str">
        <f t="shared" ca="1" si="116"/>
        <v>Oct</v>
      </c>
      <c r="AA394" s="3" t="str">
        <f t="shared" ca="1" si="117"/>
        <v>Q4</v>
      </c>
      <c r="AB394" s="4" t="str">
        <f t="shared" ca="1" si="118"/>
        <v>Medium Haul</v>
      </c>
    </row>
    <row r="395" spans="1:28" x14ac:dyDescent="0.3">
      <c r="A395" s="8" t="str">
        <f t="shared" si="113"/>
        <v>S0394</v>
      </c>
      <c r="B395" s="3">
        <f t="shared" ca="1" si="102"/>
        <v>45780</v>
      </c>
      <c r="C395" s="3" t="str">
        <f ca="1">INDEX(Customers!$A$2:$A$21,RANDBETWEEN(1,20))</f>
        <v>C003</v>
      </c>
      <c r="D395" s="3" t="str">
        <f ca="1">INDEX(Routes!$A$2:$A$31,RANDBETWEEN(1,30))</f>
        <v>R013</v>
      </c>
      <c r="E395" s="3" t="str">
        <f ca="1">INDEX(Vehicles!$A$2:$A$21,RANDBETWEEN(1,20))</f>
        <v>V019</v>
      </c>
      <c r="F395" s="3" t="str">
        <f ca="1">INDEX(Drivers!$A$2:$A$31,RANDBETWEEN(1,30))</f>
        <v>D017</v>
      </c>
      <c r="G395" s="3">
        <f t="shared" ca="1" si="103"/>
        <v>29.8</v>
      </c>
      <c r="H395" s="3">
        <f t="shared" ca="1" si="104"/>
        <v>63991</v>
      </c>
      <c r="I395" s="3">
        <f t="shared" ca="1" si="105"/>
        <v>17917</v>
      </c>
      <c r="J395" s="3">
        <f t="shared" ca="1" si="106"/>
        <v>720</v>
      </c>
      <c r="K395" s="3">
        <f t="shared" ca="1" si="107"/>
        <v>40</v>
      </c>
      <c r="L395" s="3">
        <f t="shared" ca="1" si="108"/>
        <v>46</v>
      </c>
      <c r="M395" s="3">
        <f t="shared" ca="1" si="109"/>
        <v>6</v>
      </c>
      <c r="N395" s="3" t="str">
        <f t="shared" ca="1" si="110"/>
        <v>Delayed</v>
      </c>
      <c r="O395" s="3" t="str">
        <f t="shared" ca="1" si="111"/>
        <v>Low</v>
      </c>
      <c r="P395" s="3">
        <f t="shared" ca="1" si="112"/>
        <v>99.3</v>
      </c>
      <c r="Q395" s="1" t="str">
        <f ca="1">VLOOKUP(D395,Routes!$A$2:$D$31,2,FALSE)</f>
        <v>Chennai</v>
      </c>
      <c r="R395" s="1" t="str">
        <f ca="1">VLOOKUP(D395,Routes!$A$2:$D$31,3,FALSE)</f>
        <v>Hyderabad</v>
      </c>
      <c r="S395" s="3">
        <f ca="1">VLOOKUP(D395,Routes!$A$2:$D$31,4,FALSE)</f>
        <v>630</v>
      </c>
      <c r="T395" s="3" t="str">
        <f ca="1">VLOOKUP(E395,Vehicles!$A$2:$D$21,2,FALSE)</f>
        <v>Trailer</v>
      </c>
      <c r="U395" s="3">
        <f ca="1">VLOOKUP(E395,Vehicles!$A$2:$D$21,3,FALSE)</f>
        <v>35</v>
      </c>
      <c r="V395" s="3" t="str">
        <f ca="1">VLOOKUP(E395,Vehicles!$A$2:$D$21,4,FALSE)</f>
        <v>Diesel</v>
      </c>
      <c r="W395" s="3">
        <f ca="1">VLOOKUP(V395,Fuel_Rates!$A$2:$B$3,2,FALSE)</f>
        <v>95</v>
      </c>
      <c r="X395" s="3">
        <f t="shared" ca="1" si="114"/>
        <v>101.57</v>
      </c>
      <c r="Y395" s="3">
        <f t="shared" ca="1" si="115"/>
        <v>82628</v>
      </c>
      <c r="Z395" s="3" t="str">
        <f t="shared" ca="1" si="116"/>
        <v>May</v>
      </c>
      <c r="AA395" s="3" t="str">
        <f t="shared" ca="1" si="117"/>
        <v>Q2</v>
      </c>
      <c r="AB395" s="4" t="str">
        <f t="shared" ca="1" si="118"/>
        <v>Medium Haul</v>
      </c>
    </row>
    <row r="396" spans="1:28" x14ac:dyDescent="0.3">
      <c r="A396" s="8" t="str">
        <f t="shared" si="113"/>
        <v>S0395</v>
      </c>
      <c r="B396" s="3">
        <f t="shared" ca="1" si="102"/>
        <v>45693</v>
      </c>
      <c r="C396" s="3" t="str">
        <f ca="1">INDEX(Customers!$A$2:$A$21,RANDBETWEEN(1,20))</f>
        <v>C017</v>
      </c>
      <c r="D396" s="3" t="str">
        <f ca="1">INDEX(Routes!$A$2:$A$31,RANDBETWEEN(1,30))</f>
        <v>R029</v>
      </c>
      <c r="E396" s="3" t="str">
        <f ca="1">INDEX(Vehicles!$A$2:$A$21,RANDBETWEEN(1,20))</f>
        <v>V001</v>
      </c>
      <c r="F396" s="3" t="str">
        <f ca="1">INDEX(Drivers!$A$2:$A$31,RANDBETWEEN(1,30))</f>
        <v>D015</v>
      </c>
      <c r="G396" s="3">
        <f t="shared" ca="1" si="103"/>
        <v>18.2</v>
      </c>
      <c r="H396" s="3">
        <f t="shared" ca="1" si="104"/>
        <v>41189</v>
      </c>
      <c r="I396" s="3">
        <f t="shared" ca="1" si="105"/>
        <v>11533</v>
      </c>
      <c r="J396" s="3">
        <f t="shared" ca="1" si="106"/>
        <v>1465</v>
      </c>
      <c r="K396" s="3">
        <f t="shared" ca="1" si="107"/>
        <v>45</v>
      </c>
      <c r="L396" s="3">
        <f t="shared" ca="1" si="108"/>
        <v>53</v>
      </c>
      <c r="M396" s="3">
        <f t="shared" ca="1" si="109"/>
        <v>8</v>
      </c>
      <c r="N396" s="3" t="str">
        <f t="shared" ca="1" si="110"/>
        <v>Delayed</v>
      </c>
      <c r="O396" s="3" t="str">
        <f t="shared" ca="1" si="111"/>
        <v>Low</v>
      </c>
      <c r="P396" s="3">
        <f t="shared" ca="1" si="112"/>
        <v>60.7</v>
      </c>
      <c r="Q396" s="1" t="str">
        <f ca="1">VLOOKUP(D396,Routes!$A$2:$D$31,2,FALSE)</f>
        <v>Chandigarh</v>
      </c>
      <c r="R396" s="1" t="str">
        <f ca="1">VLOOKUP(D396,Routes!$A$2:$D$31,3,FALSE)</f>
        <v>Delhi</v>
      </c>
      <c r="S396" s="3">
        <f ca="1">VLOOKUP(D396,Routes!$A$2:$D$31,4,FALSE)</f>
        <v>250</v>
      </c>
      <c r="T396" s="3" t="str">
        <f ca="1">VLOOKUP(E396,Vehicles!$A$2:$D$21,2,FALSE)</f>
        <v>Truck</v>
      </c>
      <c r="U396" s="3">
        <f ca="1">VLOOKUP(E396,Vehicles!$A$2:$D$21,3,FALSE)</f>
        <v>16</v>
      </c>
      <c r="V396" s="3" t="str">
        <f ca="1">VLOOKUP(E396,Vehicles!$A$2:$D$21,4,FALSE)</f>
        <v>Diesel</v>
      </c>
      <c r="W396" s="3">
        <f ca="1">VLOOKUP(V396,Fuel_Rates!$A$2:$B$3,2,FALSE)</f>
        <v>95</v>
      </c>
      <c r="X396" s="3">
        <f t="shared" ca="1" si="114"/>
        <v>164.76</v>
      </c>
      <c r="Y396" s="3">
        <f t="shared" ca="1" si="115"/>
        <v>54187</v>
      </c>
      <c r="Z396" s="3" t="str">
        <f t="shared" ca="1" si="116"/>
        <v>Feb</v>
      </c>
      <c r="AA396" s="3" t="str">
        <f t="shared" ca="1" si="117"/>
        <v>Q1</v>
      </c>
      <c r="AB396" s="4" t="str">
        <f t="shared" ca="1" si="118"/>
        <v>Short Haul</v>
      </c>
    </row>
    <row r="397" spans="1:28" x14ac:dyDescent="0.3">
      <c r="A397" s="8" t="str">
        <f t="shared" si="113"/>
        <v>S0396</v>
      </c>
      <c r="B397" s="3">
        <f t="shared" ca="1" si="102"/>
        <v>45737</v>
      </c>
      <c r="C397" s="3" t="str">
        <f ca="1">INDEX(Customers!$A$2:$A$21,RANDBETWEEN(1,20))</f>
        <v>C019</v>
      </c>
      <c r="D397" s="3" t="str">
        <f ca="1">INDEX(Routes!$A$2:$A$31,RANDBETWEEN(1,30))</f>
        <v>R023</v>
      </c>
      <c r="E397" s="3" t="str">
        <f ca="1">INDEX(Vehicles!$A$2:$A$21,RANDBETWEEN(1,20))</f>
        <v>V005</v>
      </c>
      <c r="F397" s="3" t="str">
        <f ca="1">INDEX(Drivers!$A$2:$A$31,RANDBETWEEN(1,30))</f>
        <v>D016</v>
      </c>
      <c r="G397" s="3">
        <f t="shared" ca="1" si="103"/>
        <v>8.9</v>
      </c>
      <c r="H397" s="3">
        <f t="shared" ca="1" si="104"/>
        <v>19597</v>
      </c>
      <c r="I397" s="3">
        <f t="shared" ca="1" si="105"/>
        <v>5487</v>
      </c>
      <c r="J397" s="3">
        <f t="shared" ca="1" si="106"/>
        <v>2211</v>
      </c>
      <c r="K397" s="3">
        <f t="shared" ca="1" si="107"/>
        <v>8</v>
      </c>
      <c r="L397" s="3">
        <f t="shared" ca="1" si="108"/>
        <v>11</v>
      </c>
      <c r="M397" s="3">
        <f t="shared" ca="1" si="109"/>
        <v>3</v>
      </c>
      <c r="N397" s="3" t="str">
        <f t="shared" ca="1" si="110"/>
        <v>Delayed</v>
      </c>
      <c r="O397" s="3" t="str">
        <f t="shared" ca="1" si="111"/>
        <v>Medium</v>
      </c>
      <c r="P397" s="3">
        <f t="shared" ca="1" si="112"/>
        <v>29.7</v>
      </c>
      <c r="Q397" s="1" t="str">
        <f ca="1">VLOOKUP(D397,Routes!$A$2:$D$31,2,FALSE)</f>
        <v>Kochi</v>
      </c>
      <c r="R397" s="1" t="str">
        <f ca="1">VLOOKUP(D397,Routes!$A$2:$D$31,3,FALSE)</f>
        <v>Bengaluru</v>
      </c>
      <c r="S397" s="3">
        <f ca="1">VLOOKUP(D397,Routes!$A$2:$D$31,4,FALSE)</f>
        <v>550</v>
      </c>
      <c r="T397" s="3" t="str">
        <f ca="1">VLOOKUP(E397,Vehicles!$A$2:$D$21,2,FALSE)</f>
        <v>Trailer</v>
      </c>
      <c r="U397" s="3">
        <f ca="1">VLOOKUP(E397,Vehicles!$A$2:$D$21,3,FALSE)</f>
        <v>32</v>
      </c>
      <c r="V397" s="3" t="str">
        <f ca="1">VLOOKUP(E397,Vehicles!$A$2:$D$21,4,FALSE)</f>
        <v>Diesel</v>
      </c>
      <c r="W397" s="3">
        <f ca="1">VLOOKUP(V397,Fuel_Rates!$A$2:$B$3,2,FALSE)</f>
        <v>95</v>
      </c>
      <c r="X397" s="3">
        <f t="shared" ca="1" si="114"/>
        <v>35.630000000000003</v>
      </c>
      <c r="Y397" s="3">
        <f t="shared" ca="1" si="115"/>
        <v>27295</v>
      </c>
      <c r="Z397" s="3" t="str">
        <f t="shared" ca="1" si="116"/>
        <v>Mar</v>
      </c>
      <c r="AA397" s="3" t="str">
        <f t="shared" ca="1" si="117"/>
        <v>Q1</v>
      </c>
      <c r="AB397" s="4" t="str">
        <f t="shared" ca="1" si="118"/>
        <v>Medium Haul</v>
      </c>
    </row>
    <row r="398" spans="1:28" x14ac:dyDescent="0.3">
      <c r="A398" s="8" t="str">
        <f t="shared" si="113"/>
        <v>S0397</v>
      </c>
      <c r="B398" s="3">
        <f t="shared" ca="1" si="102"/>
        <v>46006</v>
      </c>
      <c r="C398" s="3" t="str">
        <f ca="1">INDEX(Customers!$A$2:$A$21,RANDBETWEEN(1,20))</f>
        <v>C002</v>
      </c>
      <c r="D398" s="3" t="str">
        <f ca="1">INDEX(Routes!$A$2:$A$31,RANDBETWEEN(1,30))</f>
        <v>R015</v>
      </c>
      <c r="E398" s="3" t="str">
        <f ca="1">INDEX(Vehicles!$A$2:$A$21,RANDBETWEEN(1,20))</f>
        <v>V006</v>
      </c>
      <c r="F398" s="3" t="str">
        <f ca="1">INDEX(Drivers!$A$2:$A$31,RANDBETWEEN(1,30))</f>
        <v>D001</v>
      </c>
      <c r="G398" s="3">
        <f t="shared" ca="1" si="103"/>
        <v>16.7</v>
      </c>
      <c r="H398" s="3">
        <f t="shared" ca="1" si="104"/>
        <v>38712</v>
      </c>
      <c r="I398" s="3">
        <f t="shared" ca="1" si="105"/>
        <v>10839</v>
      </c>
      <c r="J398" s="3">
        <f t="shared" ca="1" si="106"/>
        <v>3590</v>
      </c>
      <c r="K398" s="3">
        <f t="shared" ca="1" si="107"/>
        <v>8</v>
      </c>
      <c r="L398" s="3">
        <f t="shared" ca="1" si="108"/>
        <v>12</v>
      </c>
      <c r="M398" s="3">
        <f t="shared" ca="1" si="109"/>
        <v>4</v>
      </c>
      <c r="N398" s="3" t="str">
        <f t="shared" ca="1" si="110"/>
        <v>Delayed</v>
      </c>
      <c r="O398" s="3" t="str">
        <f t="shared" ca="1" si="111"/>
        <v>Medium</v>
      </c>
      <c r="P398" s="3">
        <f t="shared" ca="1" si="112"/>
        <v>55.7</v>
      </c>
      <c r="Q398" s="1" t="str">
        <f ca="1">VLOOKUP(D398,Routes!$A$2:$D$31,2,FALSE)</f>
        <v>Hyderabad</v>
      </c>
      <c r="R398" s="1" t="str">
        <f ca="1">VLOOKUP(D398,Routes!$A$2:$D$31,3,FALSE)</f>
        <v>Pune</v>
      </c>
      <c r="S398" s="3">
        <f ca="1">VLOOKUP(D398,Routes!$A$2:$D$31,4,FALSE)</f>
        <v>560</v>
      </c>
      <c r="T398" s="3" t="str">
        <f ca="1">VLOOKUP(E398,Vehicles!$A$2:$D$21,2,FALSE)</f>
        <v>Container</v>
      </c>
      <c r="U398" s="3">
        <f ca="1">VLOOKUP(E398,Vehicles!$A$2:$D$21,3,FALSE)</f>
        <v>18</v>
      </c>
      <c r="V398" s="3" t="str">
        <f ca="1">VLOOKUP(E398,Vehicles!$A$2:$D$21,4,FALSE)</f>
        <v>Diesel</v>
      </c>
      <c r="W398" s="3">
        <f ca="1">VLOOKUP(V398,Fuel_Rates!$A$2:$B$3,2,FALSE)</f>
        <v>95</v>
      </c>
      <c r="X398" s="3">
        <f t="shared" ca="1" si="114"/>
        <v>69.13</v>
      </c>
      <c r="Y398" s="3">
        <f t="shared" ca="1" si="115"/>
        <v>53141</v>
      </c>
      <c r="Z398" s="3" t="str">
        <f t="shared" ca="1" si="116"/>
        <v>Dec</v>
      </c>
      <c r="AA398" s="3" t="str">
        <f t="shared" ca="1" si="117"/>
        <v>Q4</v>
      </c>
      <c r="AB398" s="4" t="str">
        <f t="shared" ca="1" si="118"/>
        <v>Medium Haul</v>
      </c>
    </row>
    <row r="399" spans="1:28" x14ac:dyDescent="0.3">
      <c r="A399" s="8" t="str">
        <f t="shared" si="113"/>
        <v>S0398</v>
      </c>
      <c r="B399" s="3">
        <f t="shared" ca="1" si="102"/>
        <v>45805</v>
      </c>
      <c r="C399" s="3" t="str">
        <f ca="1">INDEX(Customers!$A$2:$A$21,RANDBETWEEN(1,20))</f>
        <v>C015</v>
      </c>
      <c r="D399" s="3" t="str">
        <f ca="1">INDEX(Routes!$A$2:$A$31,RANDBETWEEN(1,30))</f>
        <v>R018</v>
      </c>
      <c r="E399" s="3" t="str">
        <f ca="1">INDEX(Vehicles!$A$2:$A$21,RANDBETWEEN(1,20))</f>
        <v>V005</v>
      </c>
      <c r="F399" s="3" t="str">
        <f ca="1">INDEX(Drivers!$A$2:$A$31,RANDBETWEEN(1,30))</f>
        <v>D021</v>
      </c>
      <c r="G399" s="3">
        <f t="shared" ca="1" si="103"/>
        <v>21.2</v>
      </c>
      <c r="H399" s="3">
        <f t="shared" ca="1" si="104"/>
        <v>43042</v>
      </c>
      <c r="I399" s="3">
        <f t="shared" ca="1" si="105"/>
        <v>12052</v>
      </c>
      <c r="J399" s="3">
        <f t="shared" ca="1" si="106"/>
        <v>2736</v>
      </c>
      <c r="K399" s="3">
        <f t="shared" ca="1" si="107"/>
        <v>32</v>
      </c>
      <c r="L399" s="3">
        <f t="shared" ca="1" si="108"/>
        <v>34</v>
      </c>
      <c r="M399" s="3">
        <f t="shared" ca="1" si="109"/>
        <v>2</v>
      </c>
      <c r="N399" s="3" t="str">
        <f t="shared" ca="1" si="110"/>
        <v>On Time</v>
      </c>
      <c r="O399" s="3" t="str">
        <f t="shared" ca="1" si="111"/>
        <v>Low</v>
      </c>
      <c r="P399" s="3">
        <f t="shared" ca="1" si="112"/>
        <v>70.7</v>
      </c>
      <c r="Q399" s="1" t="str">
        <f ca="1">VLOOKUP(D399,Routes!$A$2:$D$31,2,FALSE)</f>
        <v>Ahmedabad</v>
      </c>
      <c r="R399" s="1" t="str">
        <f ca="1">VLOOKUP(D399,Routes!$A$2:$D$31,3,FALSE)</f>
        <v>Jaipur</v>
      </c>
      <c r="S399" s="3">
        <f ca="1">VLOOKUP(D399,Routes!$A$2:$D$31,4,FALSE)</f>
        <v>670</v>
      </c>
      <c r="T399" s="3" t="str">
        <f ca="1">VLOOKUP(E399,Vehicles!$A$2:$D$21,2,FALSE)</f>
        <v>Trailer</v>
      </c>
      <c r="U399" s="3">
        <f ca="1">VLOOKUP(E399,Vehicles!$A$2:$D$21,3,FALSE)</f>
        <v>32</v>
      </c>
      <c r="V399" s="3" t="str">
        <f ca="1">VLOOKUP(E399,Vehicles!$A$2:$D$21,4,FALSE)</f>
        <v>Diesel</v>
      </c>
      <c r="W399" s="3">
        <f ca="1">VLOOKUP(V399,Fuel_Rates!$A$2:$B$3,2,FALSE)</f>
        <v>95</v>
      </c>
      <c r="X399" s="3">
        <f t="shared" ca="1" si="114"/>
        <v>64.239999999999995</v>
      </c>
      <c r="Y399" s="3">
        <f t="shared" ca="1" si="115"/>
        <v>57830</v>
      </c>
      <c r="Z399" s="3" t="str">
        <f t="shared" ca="1" si="116"/>
        <v>May</v>
      </c>
      <c r="AA399" s="3" t="str">
        <f t="shared" ca="1" si="117"/>
        <v>Q2</v>
      </c>
      <c r="AB399" s="4" t="str">
        <f t="shared" ca="1" si="118"/>
        <v>Medium Haul</v>
      </c>
    </row>
    <row r="400" spans="1:28" x14ac:dyDescent="0.3">
      <c r="A400" s="8" t="str">
        <f t="shared" si="113"/>
        <v>S0399</v>
      </c>
      <c r="B400" s="3">
        <f t="shared" ca="1" si="102"/>
        <v>45725</v>
      </c>
      <c r="C400" s="3" t="str">
        <f ca="1">INDEX(Customers!$A$2:$A$21,RANDBETWEEN(1,20))</f>
        <v>C013</v>
      </c>
      <c r="D400" s="3" t="str">
        <f ca="1">INDEX(Routes!$A$2:$A$31,RANDBETWEEN(1,30))</f>
        <v>R004</v>
      </c>
      <c r="E400" s="3" t="str">
        <f ca="1">INDEX(Vehicles!$A$2:$A$21,RANDBETWEEN(1,20))</f>
        <v>V017</v>
      </c>
      <c r="F400" s="3" t="str">
        <f ca="1">INDEX(Drivers!$A$2:$A$31,RANDBETWEEN(1,30))</f>
        <v>D015</v>
      </c>
      <c r="G400" s="3">
        <f t="shared" ca="1" si="103"/>
        <v>7.1</v>
      </c>
      <c r="H400" s="3">
        <f t="shared" ca="1" si="104"/>
        <v>25793</v>
      </c>
      <c r="I400" s="3">
        <f t="shared" ca="1" si="105"/>
        <v>7222</v>
      </c>
      <c r="J400" s="3">
        <f t="shared" ca="1" si="106"/>
        <v>564</v>
      </c>
      <c r="K400" s="3">
        <f t="shared" ca="1" si="107"/>
        <v>36</v>
      </c>
      <c r="L400" s="3">
        <f t="shared" ca="1" si="108"/>
        <v>44</v>
      </c>
      <c r="M400" s="3">
        <f t="shared" ca="1" si="109"/>
        <v>8</v>
      </c>
      <c r="N400" s="3" t="str">
        <f t="shared" ca="1" si="110"/>
        <v>Delayed</v>
      </c>
      <c r="O400" s="3" t="str">
        <f t="shared" ca="1" si="111"/>
        <v>High</v>
      </c>
      <c r="P400" s="3">
        <f t="shared" ca="1" si="112"/>
        <v>23.7</v>
      </c>
      <c r="Q400" s="1" t="str">
        <f ca="1">VLOOKUP(D400,Routes!$A$2:$D$31,2,FALSE)</f>
        <v>Mumbai</v>
      </c>
      <c r="R400" s="1" t="str">
        <f ca="1">VLOOKUP(D400,Routes!$A$2:$D$31,3,FALSE)</f>
        <v>Bengaluru</v>
      </c>
      <c r="S400" s="3">
        <f ca="1">VLOOKUP(D400,Routes!$A$2:$D$31,4,FALSE)</f>
        <v>980</v>
      </c>
      <c r="T400" s="3" t="str">
        <f ca="1">VLOOKUP(E400,Vehicles!$A$2:$D$21,2,FALSE)</f>
        <v>Truck</v>
      </c>
      <c r="U400" s="3">
        <f ca="1">VLOOKUP(E400,Vehicles!$A$2:$D$21,3,FALSE)</f>
        <v>24</v>
      </c>
      <c r="V400" s="3" t="str">
        <f ca="1">VLOOKUP(E400,Vehicles!$A$2:$D$21,4,FALSE)</f>
        <v>Diesel</v>
      </c>
      <c r="W400" s="3">
        <f ca="1">VLOOKUP(V400,Fuel_Rates!$A$2:$B$3,2,FALSE)</f>
        <v>95</v>
      </c>
      <c r="X400" s="3">
        <f t="shared" ca="1" si="114"/>
        <v>26.32</v>
      </c>
      <c r="Y400" s="3">
        <f t="shared" ca="1" si="115"/>
        <v>33579</v>
      </c>
      <c r="Z400" s="3" t="str">
        <f t="shared" ca="1" si="116"/>
        <v>Mar</v>
      </c>
      <c r="AA400" s="3" t="str">
        <f t="shared" ca="1" si="117"/>
        <v>Q1</v>
      </c>
      <c r="AB400" s="4" t="str">
        <f t="shared" ca="1" si="118"/>
        <v>Long Haul</v>
      </c>
    </row>
    <row r="401" spans="1:28" x14ac:dyDescent="0.3">
      <c r="A401" s="8" t="str">
        <f t="shared" si="113"/>
        <v>S0400</v>
      </c>
      <c r="B401" s="3">
        <f t="shared" ca="1" si="102"/>
        <v>45952</v>
      </c>
      <c r="C401" s="3" t="str">
        <f ca="1">INDEX(Customers!$A$2:$A$21,RANDBETWEEN(1,20))</f>
        <v>C014</v>
      </c>
      <c r="D401" s="3" t="str">
        <f ca="1">INDEX(Routes!$A$2:$A$31,RANDBETWEEN(1,30))</f>
        <v>R006</v>
      </c>
      <c r="E401" s="3" t="str">
        <f ca="1">INDEX(Vehicles!$A$2:$A$21,RANDBETWEEN(1,20))</f>
        <v>V003</v>
      </c>
      <c r="F401" s="3" t="str">
        <f ca="1">INDEX(Drivers!$A$2:$A$31,RANDBETWEEN(1,30))</f>
        <v>D019</v>
      </c>
      <c r="G401" s="3">
        <f t="shared" ca="1" si="103"/>
        <v>11.1</v>
      </c>
      <c r="H401" s="3">
        <f t="shared" ca="1" si="104"/>
        <v>33384</v>
      </c>
      <c r="I401" s="3">
        <f t="shared" ca="1" si="105"/>
        <v>9348</v>
      </c>
      <c r="J401" s="3">
        <f t="shared" ca="1" si="106"/>
        <v>1205</v>
      </c>
      <c r="K401" s="3">
        <f t="shared" ca="1" si="107"/>
        <v>38</v>
      </c>
      <c r="L401" s="3">
        <f t="shared" ca="1" si="108"/>
        <v>42</v>
      </c>
      <c r="M401" s="3">
        <f t="shared" ca="1" si="109"/>
        <v>4</v>
      </c>
      <c r="N401" s="3" t="str">
        <f t="shared" ca="1" si="110"/>
        <v>Delayed</v>
      </c>
      <c r="O401" s="3" t="str">
        <f t="shared" ca="1" si="111"/>
        <v>Medium</v>
      </c>
      <c r="P401" s="3">
        <f t="shared" ca="1" si="112"/>
        <v>37</v>
      </c>
      <c r="Q401" s="1" t="str">
        <f ca="1">VLOOKUP(D401,Routes!$A$2:$D$31,2,FALSE)</f>
        <v>Delhi</v>
      </c>
      <c r="R401" s="1" t="str">
        <f ca="1">VLOOKUP(D401,Routes!$A$2:$D$31,3,FALSE)</f>
        <v>Lucknow</v>
      </c>
      <c r="S401" s="3">
        <f ca="1">VLOOKUP(D401,Routes!$A$2:$D$31,4,FALSE)</f>
        <v>550</v>
      </c>
      <c r="T401" s="3" t="str">
        <f ca="1">VLOOKUP(E401,Vehicles!$A$2:$D$21,2,FALSE)</f>
        <v>Truck</v>
      </c>
      <c r="U401" s="3">
        <f ca="1">VLOOKUP(E401,Vehicles!$A$2:$D$21,3,FALSE)</f>
        <v>25</v>
      </c>
      <c r="V401" s="3" t="str">
        <f ca="1">VLOOKUP(E401,Vehicles!$A$2:$D$21,4,FALSE)</f>
        <v>Diesel</v>
      </c>
      <c r="W401" s="3">
        <f ca="1">VLOOKUP(V401,Fuel_Rates!$A$2:$B$3,2,FALSE)</f>
        <v>95</v>
      </c>
      <c r="X401" s="3">
        <f t="shared" ca="1" si="114"/>
        <v>60.7</v>
      </c>
      <c r="Y401" s="3">
        <f t="shared" ca="1" si="115"/>
        <v>43937</v>
      </c>
      <c r="Z401" s="3" t="str">
        <f t="shared" ca="1" si="116"/>
        <v>Oct</v>
      </c>
      <c r="AA401" s="3" t="str">
        <f t="shared" ca="1" si="117"/>
        <v>Q4</v>
      </c>
      <c r="AB401" s="4" t="str">
        <f t="shared" ca="1" si="118"/>
        <v>Medium Haul</v>
      </c>
    </row>
    <row r="402" spans="1:28" x14ac:dyDescent="0.3">
      <c r="A402" s="8" t="str">
        <f t="shared" si="113"/>
        <v>S0401</v>
      </c>
      <c r="B402" s="3">
        <f t="shared" ca="1" si="102"/>
        <v>45997</v>
      </c>
      <c r="C402" s="3" t="str">
        <f ca="1">INDEX(Customers!$A$2:$A$21,RANDBETWEEN(1,20))</f>
        <v>C009</v>
      </c>
      <c r="D402" s="3" t="str">
        <f ca="1">INDEX(Routes!$A$2:$A$31,RANDBETWEEN(1,30))</f>
        <v>R006</v>
      </c>
      <c r="E402" s="3" t="str">
        <f ca="1">INDEX(Vehicles!$A$2:$A$21,RANDBETWEEN(1,20))</f>
        <v>V008</v>
      </c>
      <c r="F402" s="3" t="str">
        <f ca="1">INDEX(Drivers!$A$2:$A$31,RANDBETWEEN(1,30))</f>
        <v>D015</v>
      </c>
      <c r="G402" s="3">
        <f t="shared" ca="1" si="103"/>
        <v>2.4</v>
      </c>
      <c r="H402" s="3">
        <f t="shared" ca="1" si="104"/>
        <v>11377</v>
      </c>
      <c r="I402" s="3">
        <f t="shared" ca="1" si="105"/>
        <v>3186</v>
      </c>
      <c r="J402" s="3">
        <f t="shared" ca="1" si="106"/>
        <v>3107</v>
      </c>
      <c r="K402" s="3">
        <f t="shared" ca="1" si="107"/>
        <v>9</v>
      </c>
      <c r="L402" s="3">
        <f t="shared" ca="1" si="108"/>
        <v>11</v>
      </c>
      <c r="M402" s="3">
        <f t="shared" ca="1" si="109"/>
        <v>2</v>
      </c>
      <c r="N402" s="3" t="str">
        <f t="shared" ca="1" si="110"/>
        <v>On Time</v>
      </c>
      <c r="O402" s="3" t="str">
        <f t="shared" ca="1" si="111"/>
        <v>High</v>
      </c>
      <c r="P402" s="3">
        <f t="shared" ca="1" si="112"/>
        <v>8</v>
      </c>
      <c r="Q402" s="1" t="str">
        <f ca="1">VLOOKUP(D402,Routes!$A$2:$D$31,2,FALSE)</f>
        <v>Delhi</v>
      </c>
      <c r="R402" s="1" t="str">
        <f ca="1">VLOOKUP(D402,Routes!$A$2:$D$31,3,FALSE)</f>
        <v>Lucknow</v>
      </c>
      <c r="S402" s="3">
        <f ca="1">VLOOKUP(D402,Routes!$A$2:$D$31,4,FALSE)</f>
        <v>550</v>
      </c>
      <c r="T402" s="3" t="str">
        <f ca="1">VLOOKUP(E402,Vehicles!$A$2:$D$21,2,FALSE)</f>
        <v>Container</v>
      </c>
      <c r="U402" s="3">
        <f ca="1">VLOOKUP(E402,Vehicles!$A$2:$D$21,3,FALSE)</f>
        <v>25</v>
      </c>
      <c r="V402" s="3" t="str">
        <f ca="1">VLOOKUP(E402,Vehicles!$A$2:$D$21,4,FALSE)</f>
        <v>Diesel</v>
      </c>
      <c r="W402" s="3">
        <f ca="1">VLOOKUP(V402,Fuel_Rates!$A$2:$B$3,2,FALSE)</f>
        <v>95</v>
      </c>
      <c r="X402" s="3">
        <f t="shared" ca="1" si="114"/>
        <v>20.69</v>
      </c>
      <c r="Y402" s="3">
        <f t="shared" ca="1" si="115"/>
        <v>17670</v>
      </c>
      <c r="Z402" s="3" t="str">
        <f t="shared" ca="1" si="116"/>
        <v>Dec</v>
      </c>
      <c r="AA402" s="3" t="str">
        <f t="shared" ca="1" si="117"/>
        <v>Q4</v>
      </c>
      <c r="AB402" s="4" t="str">
        <f t="shared" ca="1" si="118"/>
        <v>Medium Haul</v>
      </c>
    </row>
    <row r="403" spans="1:28" x14ac:dyDescent="0.3">
      <c r="A403" s="8" t="str">
        <f t="shared" si="113"/>
        <v>S0402</v>
      </c>
      <c r="B403" s="3">
        <f t="shared" ca="1" si="102"/>
        <v>45802</v>
      </c>
      <c r="C403" s="3" t="str">
        <f ca="1">INDEX(Customers!$A$2:$A$21,RANDBETWEEN(1,20))</f>
        <v>C001</v>
      </c>
      <c r="D403" s="3" t="str">
        <f ca="1">INDEX(Routes!$A$2:$A$31,RANDBETWEEN(1,30))</f>
        <v>R008</v>
      </c>
      <c r="E403" s="3" t="str">
        <f ca="1">INDEX(Vehicles!$A$2:$A$21,RANDBETWEEN(1,20))</f>
        <v>V018</v>
      </c>
      <c r="F403" s="3" t="str">
        <f ca="1">INDEX(Drivers!$A$2:$A$31,RANDBETWEEN(1,30))</f>
        <v>D005</v>
      </c>
      <c r="G403" s="3">
        <f t="shared" ca="1" si="103"/>
        <v>5.8</v>
      </c>
      <c r="H403" s="3">
        <f t="shared" ca="1" si="104"/>
        <v>14167</v>
      </c>
      <c r="I403" s="3">
        <f t="shared" ca="1" si="105"/>
        <v>3967</v>
      </c>
      <c r="J403" s="3">
        <f t="shared" ca="1" si="106"/>
        <v>1609</v>
      </c>
      <c r="K403" s="3">
        <f t="shared" ca="1" si="107"/>
        <v>33</v>
      </c>
      <c r="L403" s="3">
        <f t="shared" ca="1" si="108"/>
        <v>39</v>
      </c>
      <c r="M403" s="3">
        <f t="shared" ca="1" si="109"/>
        <v>6</v>
      </c>
      <c r="N403" s="3" t="str">
        <f t="shared" ca="1" si="110"/>
        <v>Delayed</v>
      </c>
      <c r="O403" s="3" t="str">
        <f t="shared" ca="1" si="111"/>
        <v>Low</v>
      </c>
      <c r="P403" s="3">
        <f t="shared" ca="1" si="112"/>
        <v>19.3</v>
      </c>
      <c r="Q403" s="1" t="str">
        <f ca="1">VLOOKUP(D403,Routes!$A$2:$D$31,2,FALSE)</f>
        <v>Delhi</v>
      </c>
      <c r="R403" s="1" t="str">
        <f ca="1">VLOOKUP(D403,Routes!$A$2:$D$31,3,FALSE)</f>
        <v>Kolkata</v>
      </c>
      <c r="S403" s="3">
        <f ca="1">VLOOKUP(D403,Routes!$A$2:$D$31,4,FALSE)</f>
        <v>1500</v>
      </c>
      <c r="T403" s="3" t="str">
        <f ca="1">VLOOKUP(E403,Vehicles!$A$2:$D$21,2,FALSE)</f>
        <v>Truck</v>
      </c>
      <c r="U403" s="3">
        <f ca="1">VLOOKUP(E403,Vehicles!$A$2:$D$21,3,FALSE)</f>
        <v>26</v>
      </c>
      <c r="V403" s="3" t="str">
        <f ca="1">VLOOKUP(E403,Vehicles!$A$2:$D$21,4,FALSE)</f>
        <v>Diesel</v>
      </c>
      <c r="W403" s="3">
        <f ca="1">VLOOKUP(V403,Fuel_Rates!$A$2:$B$3,2,FALSE)</f>
        <v>95</v>
      </c>
      <c r="X403" s="3">
        <f t="shared" ca="1" si="114"/>
        <v>9.44</v>
      </c>
      <c r="Y403" s="3">
        <f t="shared" ca="1" si="115"/>
        <v>19743</v>
      </c>
      <c r="Z403" s="3" t="str">
        <f t="shared" ca="1" si="116"/>
        <v>May</v>
      </c>
      <c r="AA403" s="3" t="str">
        <f t="shared" ca="1" si="117"/>
        <v>Q2</v>
      </c>
      <c r="AB403" s="4" t="str">
        <f t="shared" ca="1" si="118"/>
        <v>Long Haul</v>
      </c>
    </row>
    <row r="404" spans="1:28" x14ac:dyDescent="0.3">
      <c r="A404" s="8" t="str">
        <f t="shared" si="113"/>
        <v>S0403</v>
      </c>
      <c r="B404" s="3">
        <f t="shared" ca="1" si="102"/>
        <v>45871</v>
      </c>
      <c r="C404" s="3" t="str">
        <f ca="1">INDEX(Customers!$A$2:$A$21,RANDBETWEEN(1,20))</f>
        <v>C020</v>
      </c>
      <c r="D404" s="3" t="str">
        <f ca="1">INDEX(Routes!$A$2:$A$31,RANDBETWEEN(1,30))</f>
        <v>R016</v>
      </c>
      <c r="E404" s="3" t="str">
        <f ca="1">INDEX(Vehicles!$A$2:$A$21,RANDBETWEEN(1,20))</f>
        <v>V007</v>
      </c>
      <c r="F404" s="3" t="str">
        <f ca="1">INDEX(Drivers!$A$2:$A$31,RANDBETWEEN(1,30))</f>
        <v>D002</v>
      </c>
      <c r="G404" s="3">
        <f t="shared" ca="1" si="103"/>
        <v>19.600000000000001</v>
      </c>
      <c r="H404" s="3">
        <f t="shared" ca="1" si="104"/>
        <v>49540</v>
      </c>
      <c r="I404" s="3">
        <f t="shared" ca="1" si="105"/>
        <v>13871</v>
      </c>
      <c r="J404" s="3">
        <f t="shared" ca="1" si="106"/>
        <v>2575</v>
      </c>
      <c r="K404" s="3">
        <f t="shared" ca="1" si="107"/>
        <v>10</v>
      </c>
      <c r="L404" s="3">
        <f t="shared" ca="1" si="108"/>
        <v>17</v>
      </c>
      <c r="M404" s="3">
        <f t="shared" ca="1" si="109"/>
        <v>7</v>
      </c>
      <c r="N404" s="3" t="str">
        <f t="shared" ca="1" si="110"/>
        <v>Delayed</v>
      </c>
      <c r="O404" s="3" t="str">
        <f t="shared" ca="1" si="111"/>
        <v>Low</v>
      </c>
      <c r="P404" s="3">
        <f t="shared" ca="1" si="112"/>
        <v>65.3</v>
      </c>
      <c r="Q404" s="1" t="str">
        <f ca="1">VLOOKUP(D404,Routes!$A$2:$D$31,2,FALSE)</f>
        <v>Kolkata</v>
      </c>
      <c r="R404" s="1" t="str">
        <f ca="1">VLOOKUP(D404,Routes!$A$2:$D$31,3,FALSE)</f>
        <v>Bhubaneswar</v>
      </c>
      <c r="S404" s="3">
        <f ca="1">VLOOKUP(D404,Routes!$A$2:$D$31,4,FALSE)</f>
        <v>440</v>
      </c>
      <c r="T404" s="3" t="str">
        <f ca="1">VLOOKUP(E404,Vehicles!$A$2:$D$21,2,FALSE)</f>
        <v>Container</v>
      </c>
      <c r="U404" s="3">
        <f ca="1">VLOOKUP(E404,Vehicles!$A$2:$D$21,3,FALSE)</f>
        <v>20</v>
      </c>
      <c r="V404" s="3" t="str">
        <f ca="1">VLOOKUP(E404,Vehicles!$A$2:$D$21,4,FALSE)</f>
        <v>Diesel</v>
      </c>
      <c r="W404" s="3">
        <f ca="1">VLOOKUP(V404,Fuel_Rates!$A$2:$B$3,2,FALSE)</f>
        <v>95</v>
      </c>
      <c r="X404" s="3">
        <f t="shared" ca="1" si="114"/>
        <v>112.59</v>
      </c>
      <c r="Y404" s="3">
        <f t="shared" ca="1" si="115"/>
        <v>65986</v>
      </c>
      <c r="Z404" s="3" t="str">
        <f t="shared" ca="1" si="116"/>
        <v>Aug</v>
      </c>
      <c r="AA404" s="3" t="str">
        <f t="shared" ca="1" si="117"/>
        <v>Q3</v>
      </c>
      <c r="AB404" s="4" t="str">
        <f t="shared" ca="1" si="118"/>
        <v>Medium Haul</v>
      </c>
    </row>
    <row r="405" spans="1:28" x14ac:dyDescent="0.3">
      <c r="A405" s="8" t="str">
        <f t="shared" si="113"/>
        <v>S0404</v>
      </c>
      <c r="B405" s="3">
        <f t="shared" ca="1" si="102"/>
        <v>45942</v>
      </c>
      <c r="C405" s="3" t="str">
        <f ca="1">INDEX(Customers!$A$2:$A$21,RANDBETWEEN(1,20))</f>
        <v>C019</v>
      </c>
      <c r="D405" s="3" t="str">
        <f ca="1">INDEX(Routes!$A$2:$A$31,RANDBETWEEN(1,30))</f>
        <v>R026</v>
      </c>
      <c r="E405" s="3" t="str">
        <f ca="1">INDEX(Vehicles!$A$2:$A$21,RANDBETWEEN(1,20))</f>
        <v>V012</v>
      </c>
      <c r="F405" s="3" t="str">
        <f ca="1">INDEX(Drivers!$A$2:$A$31,RANDBETWEEN(1,30))</f>
        <v>D009</v>
      </c>
      <c r="G405" s="3">
        <f t="shared" ca="1" si="103"/>
        <v>14.7</v>
      </c>
      <c r="H405" s="3">
        <f t="shared" ca="1" si="104"/>
        <v>31522</v>
      </c>
      <c r="I405" s="3">
        <f t="shared" ca="1" si="105"/>
        <v>8826</v>
      </c>
      <c r="J405" s="3">
        <f t="shared" ca="1" si="106"/>
        <v>3707</v>
      </c>
      <c r="K405" s="3">
        <f t="shared" ca="1" si="107"/>
        <v>4</v>
      </c>
      <c r="L405" s="3">
        <f t="shared" ca="1" si="108"/>
        <v>5</v>
      </c>
      <c r="M405" s="3">
        <f t="shared" ca="1" si="109"/>
        <v>1</v>
      </c>
      <c r="N405" s="3" t="str">
        <f t="shared" ca="1" si="110"/>
        <v>On Time</v>
      </c>
      <c r="O405" s="3" t="str">
        <f t="shared" ca="1" si="111"/>
        <v>Low</v>
      </c>
      <c r="P405" s="3">
        <f t="shared" ca="1" si="112"/>
        <v>49</v>
      </c>
      <c r="Q405" s="1" t="str">
        <f ca="1">VLOOKUP(D405,Routes!$A$2:$D$31,2,FALSE)</f>
        <v>Nagpur</v>
      </c>
      <c r="R405" s="1" t="str">
        <f ca="1">VLOOKUP(D405,Routes!$A$2:$D$31,3,FALSE)</f>
        <v>Bhopal</v>
      </c>
      <c r="S405" s="3">
        <f ca="1">VLOOKUP(D405,Routes!$A$2:$D$31,4,FALSE)</f>
        <v>350</v>
      </c>
      <c r="T405" s="3" t="str">
        <f ca="1">VLOOKUP(E405,Vehicles!$A$2:$D$21,2,FALSE)</f>
        <v>Truck</v>
      </c>
      <c r="U405" s="3">
        <f ca="1">VLOOKUP(E405,Vehicles!$A$2:$D$21,3,FALSE)</f>
        <v>20</v>
      </c>
      <c r="V405" s="3" t="str">
        <f ca="1">VLOOKUP(E405,Vehicles!$A$2:$D$21,4,FALSE)</f>
        <v>CNG</v>
      </c>
      <c r="W405" s="3">
        <f ca="1">VLOOKUP(V405,Fuel_Rates!$A$2:$B$3,2,FALSE)</f>
        <v>78</v>
      </c>
      <c r="X405" s="3">
        <f t="shared" ca="1" si="114"/>
        <v>90.06</v>
      </c>
      <c r="Y405" s="3">
        <f t="shared" ca="1" si="115"/>
        <v>44055</v>
      </c>
      <c r="Z405" s="3" t="str">
        <f t="shared" ca="1" si="116"/>
        <v>Oct</v>
      </c>
      <c r="AA405" s="3" t="str">
        <f t="shared" ca="1" si="117"/>
        <v>Q4</v>
      </c>
      <c r="AB405" s="4" t="str">
        <f t="shared" ca="1" si="118"/>
        <v>Medium Haul</v>
      </c>
    </row>
    <row r="406" spans="1:28" x14ac:dyDescent="0.3">
      <c r="A406" s="8" t="str">
        <f t="shared" si="113"/>
        <v>S0405</v>
      </c>
      <c r="B406" s="3">
        <f t="shared" ca="1" si="102"/>
        <v>45695</v>
      </c>
      <c r="C406" s="3" t="str">
        <f ca="1">INDEX(Customers!$A$2:$A$21,RANDBETWEEN(1,20))</f>
        <v>C004</v>
      </c>
      <c r="D406" s="3" t="str">
        <f ca="1">INDEX(Routes!$A$2:$A$31,RANDBETWEEN(1,30))</f>
        <v>R012</v>
      </c>
      <c r="E406" s="3" t="str">
        <f ca="1">INDEX(Vehicles!$A$2:$A$21,RANDBETWEEN(1,20))</f>
        <v>V017</v>
      </c>
      <c r="F406" s="3" t="str">
        <f ca="1">INDEX(Drivers!$A$2:$A$31,RANDBETWEEN(1,30))</f>
        <v>D017</v>
      </c>
      <c r="G406" s="3">
        <f t="shared" ca="1" si="103"/>
        <v>3.7</v>
      </c>
      <c r="H406" s="3">
        <f t="shared" ca="1" si="104"/>
        <v>10943</v>
      </c>
      <c r="I406" s="3">
        <f t="shared" ca="1" si="105"/>
        <v>3064</v>
      </c>
      <c r="J406" s="3">
        <f t="shared" ca="1" si="106"/>
        <v>517</v>
      </c>
      <c r="K406" s="3">
        <f t="shared" ca="1" si="107"/>
        <v>19</v>
      </c>
      <c r="L406" s="3">
        <f t="shared" ca="1" si="108"/>
        <v>26</v>
      </c>
      <c r="M406" s="3">
        <f t="shared" ca="1" si="109"/>
        <v>7</v>
      </c>
      <c r="N406" s="3" t="str">
        <f t="shared" ca="1" si="110"/>
        <v>Delayed</v>
      </c>
      <c r="O406" s="3" t="str">
        <f t="shared" ca="1" si="111"/>
        <v>Low</v>
      </c>
      <c r="P406" s="3">
        <f t="shared" ca="1" si="112"/>
        <v>12.3</v>
      </c>
      <c r="Q406" s="1" t="str">
        <f ca="1">VLOOKUP(D406,Routes!$A$2:$D$31,2,FALSE)</f>
        <v>Chennai</v>
      </c>
      <c r="R406" s="1" t="str">
        <f ca="1">VLOOKUP(D406,Routes!$A$2:$D$31,3,FALSE)</f>
        <v>Coimbatore</v>
      </c>
      <c r="S406" s="3">
        <f ca="1">VLOOKUP(D406,Routes!$A$2:$D$31,4,FALSE)</f>
        <v>500</v>
      </c>
      <c r="T406" s="3" t="str">
        <f ca="1">VLOOKUP(E406,Vehicles!$A$2:$D$21,2,FALSE)</f>
        <v>Truck</v>
      </c>
      <c r="U406" s="3">
        <f ca="1">VLOOKUP(E406,Vehicles!$A$2:$D$21,3,FALSE)</f>
        <v>24</v>
      </c>
      <c r="V406" s="3" t="str">
        <f ca="1">VLOOKUP(E406,Vehicles!$A$2:$D$21,4,FALSE)</f>
        <v>Diesel</v>
      </c>
      <c r="W406" s="3">
        <f ca="1">VLOOKUP(V406,Fuel_Rates!$A$2:$B$3,2,FALSE)</f>
        <v>95</v>
      </c>
      <c r="X406" s="3">
        <f t="shared" ca="1" si="114"/>
        <v>21.89</v>
      </c>
      <c r="Y406" s="3">
        <f t="shared" ca="1" si="115"/>
        <v>14524</v>
      </c>
      <c r="Z406" s="3" t="str">
        <f t="shared" ca="1" si="116"/>
        <v>Feb</v>
      </c>
      <c r="AA406" s="3" t="str">
        <f t="shared" ca="1" si="117"/>
        <v>Q1</v>
      </c>
      <c r="AB406" s="4" t="str">
        <f t="shared" ca="1" si="118"/>
        <v>Medium Haul</v>
      </c>
    </row>
    <row r="407" spans="1:28" x14ac:dyDescent="0.3">
      <c r="A407" s="8" t="str">
        <f t="shared" si="113"/>
        <v>S0406</v>
      </c>
      <c r="B407" s="3">
        <f t="shared" ca="1" si="102"/>
        <v>45890</v>
      </c>
      <c r="C407" s="3" t="str">
        <f ca="1">INDEX(Customers!$A$2:$A$21,RANDBETWEEN(1,20))</f>
        <v>C012</v>
      </c>
      <c r="D407" s="3" t="str">
        <f ca="1">INDEX(Routes!$A$2:$A$31,RANDBETWEEN(1,30))</f>
        <v>R004</v>
      </c>
      <c r="E407" s="3" t="str">
        <f ca="1">INDEX(Vehicles!$A$2:$A$21,RANDBETWEEN(1,20))</f>
        <v>V018</v>
      </c>
      <c r="F407" s="3" t="str">
        <f ca="1">INDEX(Drivers!$A$2:$A$31,RANDBETWEEN(1,30))</f>
        <v>D015</v>
      </c>
      <c r="G407" s="3">
        <f t="shared" ca="1" si="103"/>
        <v>6.7</v>
      </c>
      <c r="H407" s="3">
        <f t="shared" ca="1" si="104"/>
        <v>20049</v>
      </c>
      <c r="I407" s="3">
        <f t="shared" ca="1" si="105"/>
        <v>5614</v>
      </c>
      <c r="J407" s="3">
        <f t="shared" ca="1" si="106"/>
        <v>640</v>
      </c>
      <c r="K407" s="3">
        <f t="shared" ca="1" si="107"/>
        <v>6</v>
      </c>
      <c r="L407" s="3">
        <f t="shared" ca="1" si="108"/>
        <v>11</v>
      </c>
      <c r="M407" s="3">
        <f t="shared" ca="1" si="109"/>
        <v>5</v>
      </c>
      <c r="N407" s="3" t="str">
        <f t="shared" ca="1" si="110"/>
        <v>Delayed</v>
      </c>
      <c r="O407" s="3" t="str">
        <f t="shared" ca="1" si="111"/>
        <v>High</v>
      </c>
      <c r="P407" s="3">
        <f t="shared" ca="1" si="112"/>
        <v>22.3</v>
      </c>
      <c r="Q407" s="1" t="str">
        <f ca="1">VLOOKUP(D407,Routes!$A$2:$D$31,2,FALSE)</f>
        <v>Mumbai</v>
      </c>
      <c r="R407" s="1" t="str">
        <f ca="1">VLOOKUP(D407,Routes!$A$2:$D$31,3,FALSE)</f>
        <v>Bengaluru</v>
      </c>
      <c r="S407" s="3">
        <f ca="1">VLOOKUP(D407,Routes!$A$2:$D$31,4,FALSE)</f>
        <v>980</v>
      </c>
      <c r="T407" s="3" t="str">
        <f ca="1">VLOOKUP(E407,Vehicles!$A$2:$D$21,2,FALSE)</f>
        <v>Truck</v>
      </c>
      <c r="U407" s="3">
        <f ca="1">VLOOKUP(E407,Vehicles!$A$2:$D$21,3,FALSE)</f>
        <v>26</v>
      </c>
      <c r="V407" s="3" t="str">
        <f ca="1">VLOOKUP(E407,Vehicles!$A$2:$D$21,4,FALSE)</f>
        <v>Diesel</v>
      </c>
      <c r="W407" s="3">
        <f ca="1">VLOOKUP(V407,Fuel_Rates!$A$2:$B$3,2,FALSE)</f>
        <v>95</v>
      </c>
      <c r="X407" s="3">
        <f t="shared" ca="1" si="114"/>
        <v>20.46</v>
      </c>
      <c r="Y407" s="3">
        <f t="shared" ca="1" si="115"/>
        <v>26303</v>
      </c>
      <c r="Z407" s="3" t="str">
        <f t="shared" ca="1" si="116"/>
        <v>Aug</v>
      </c>
      <c r="AA407" s="3" t="str">
        <f t="shared" ca="1" si="117"/>
        <v>Q3</v>
      </c>
      <c r="AB407" s="4" t="str">
        <f t="shared" ca="1" si="118"/>
        <v>Long Haul</v>
      </c>
    </row>
    <row r="408" spans="1:28" x14ac:dyDescent="0.3">
      <c r="A408" s="8" t="str">
        <f t="shared" si="113"/>
        <v>S0407</v>
      </c>
      <c r="B408" s="3">
        <f t="shared" ca="1" si="102"/>
        <v>45791</v>
      </c>
      <c r="C408" s="3" t="str">
        <f ca="1">INDEX(Customers!$A$2:$A$21,RANDBETWEEN(1,20))</f>
        <v>C004</v>
      </c>
      <c r="D408" s="3" t="str">
        <f ca="1">INDEX(Routes!$A$2:$A$31,RANDBETWEEN(1,30))</f>
        <v>R025</v>
      </c>
      <c r="E408" s="3" t="str">
        <f ca="1">INDEX(Vehicles!$A$2:$A$21,RANDBETWEEN(1,20))</f>
        <v>V020</v>
      </c>
      <c r="F408" s="3" t="str">
        <f ca="1">INDEX(Drivers!$A$2:$A$31,RANDBETWEEN(1,30))</f>
        <v>D015</v>
      </c>
      <c r="G408" s="3">
        <f t="shared" ca="1" si="103"/>
        <v>18.5</v>
      </c>
      <c r="H408" s="3">
        <f t="shared" ca="1" si="104"/>
        <v>47090</v>
      </c>
      <c r="I408" s="3">
        <f t="shared" ca="1" si="105"/>
        <v>13185</v>
      </c>
      <c r="J408" s="3">
        <f t="shared" ca="1" si="106"/>
        <v>586</v>
      </c>
      <c r="K408" s="3">
        <f t="shared" ca="1" si="107"/>
        <v>8</v>
      </c>
      <c r="L408" s="3">
        <f t="shared" ca="1" si="108"/>
        <v>13</v>
      </c>
      <c r="M408" s="3">
        <f t="shared" ca="1" si="109"/>
        <v>5</v>
      </c>
      <c r="N408" s="3" t="str">
        <f t="shared" ca="1" si="110"/>
        <v>Delayed</v>
      </c>
      <c r="O408" s="3" t="str">
        <f t="shared" ca="1" si="111"/>
        <v>Low</v>
      </c>
      <c r="P408" s="3">
        <f t="shared" ca="1" si="112"/>
        <v>61.7</v>
      </c>
      <c r="Q408" s="1" t="str">
        <f ca="1">VLOOKUP(D408,Routes!$A$2:$D$31,2,FALSE)</f>
        <v>Visakhapatnam</v>
      </c>
      <c r="R408" s="1" t="str">
        <f ca="1">VLOOKUP(D408,Routes!$A$2:$D$31,3,FALSE)</f>
        <v>Hyderabad</v>
      </c>
      <c r="S408" s="3">
        <f ca="1">VLOOKUP(D408,Routes!$A$2:$D$31,4,FALSE)</f>
        <v>620</v>
      </c>
      <c r="T408" s="3" t="str">
        <f ca="1">VLOOKUP(E408,Vehicles!$A$2:$D$21,2,FALSE)</f>
        <v>Container</v>
      </c>
      <c r="U408" s="3">
        <f ca="1">VLOOKUP(E408,Vehicles!$A$2:$D$21,3,FALSE)</f>
        <v>28</v>
      </c>
      <c r="V408" s="3" t="str">
        <f ca="1">VLOOKUP(E408,Vehicles!$A$2:$D$21,4,FALSE)</f>
        <v>Diesel</v>
      </c>
      <c r="W408" s="3">
        <f ca="1">VLOOKUP(V408,Fuel_Rates!$A$2:$B$3,2,FALSE)</f>
        <v>95</v>
      </c>
      <c r="X408" s="3">
        <f t="shared" ca="1" si="114"/>
        <v>75.95</v>
      </c>
      <c r="Y408" s="3">
        <f t="shared" ca="1" si="115"/>
        <v>60861</v>
      </c>
      <c r="Z408" s="3" t="str">
        <f t="shared" ca="1" si="116"/>
        <v>May</v>
      </c>
      <c r="AA408" s="3" t="str">
        <f t="shared" ca="1" si="117"/>
        <v>Q2</v>
      </c>
      <c r="AB408" s="4" t="str">
        <f t="shared" ca="1" si="118"/>
        <v>Medium Haul</v>
      </c>
    </row>
    <row r="409" spans="1:28" x14ac:dyDescent="0.3">
      <c r="A409" s="8" t="str">
        <f t="shared" si="113"/>
        <v>S0408</v>
      </c>
      <c r="B409" s="3">
        <f t="shared" ca="1" si="102"/>
        <v>45725</v>
      </c>
      <c r="C409" s="3" t="str">
        <f ca="1">INDEX(Customers!$A$2:$A$21,RANDBETWEEN(1,20))</f>
        <v>C018</v>
      </c>
      <c r="D409" s="3" t="str">
        <f ca="1">INDEX(Routes!$A$2:$A$31,RANDBETWEEN(1,30))</f>
        <v>R010</v>
      </c>
      <c r="E409" s="3" t="str">
        <f ca="1">INDEX(Vehicles!$A$2:$A$21,RANDBETWEEN(1,20))</f>
        <v>V005</v>
      </c>
      <c r="F409" s="3" t="str">
        <f ca="1">INDEX(Drivers!$A$2:$A$31,RANDBETWEEN(1,30))</f>
        <v>D023</v>
      </c>
      <c r="G409" s="3">
        <f t="shared" ca="1" si="103"/>
        <v>19.600000000000001</v>
      </c>
      <c r="H409" s="3">
        <f t="shared" ca="1" si="104"/>
        <v>45663</v>
      </c>
      <c r="I409" s="3">
        <f t="shared" ca="1" si="105"/>
        <v>12786</v>
      </c>
      <c r="J409" s="3">
        <f t="shared" ca="1" si="106"/>
        <v>3509</v>
      </c>
      <c r="K409" s="3">
        <f t="shared" ca="1" si="107"/>
        <v>10</v>
      </c>
      <c r="L409" s="3">
        <f t="shared" ca="1" si="108"/>
        <v>12</v>
      </c>
      <c r="M409" s="3">
        <f t="shared" ca="1" si="109"/>
        <v>2</v>
      </c>
      <c r="N409" s="3" t="str">
        <f t="shared" ca="1" si="110"/>
        <v>On Time</v>
      </c>
      <c r="O409" s="3" t="str">
        <f t="shared" ca="1" si="111"/>
        <v>Medium</v>
      </c>
      <c r="P409" s="3">
        <f t="shared" ca="1" si="112"/>
        <v>65.3</v>
      </c>
      <c r="Q409" s="1" t="str">
        <f ca="1">VLOOKUP(D409,Routes!$A$2:$D$31,2,FALSE)</f>
        <v>Bengaluru</v>
      </c>
      <c r="R409" s="1" t="str">
        <f ca="1">VLOOKUP(D409,Routes!$A$2:$D$31,3,FALSE)</f>
        <v>Hyderabad</v>
      </c>
      <c r="S409" s="3">
        <f ca="1">VLOOKUP(D409,Routes!$A$2:$D$31,4,FALSE)</f>
        <v>570</v>
      </c>
      <c r="T409" s="3" t="str">
        <f ca="1">VLOOKUP(E409,Vehicles!$A$2:$D$21,2,FALSE)</f>
        <v>Trailer</v>
      </c>
      <c r="U409" s="3">
        <f ca="1">VLOOKUP(E409,Vehicles!$A$2:$D$21,3,FALSE)</f>
        <v>32</v>
      </c>
      <c r="V409" s="3" t="str">
        <f ca="1">VLOOKUP(E409,Vehicles!$A$2:$D$21,4,FALSE)</f>
        <v>Diesel</v>
      </c>
      <c r="W409" s="3">
        <f ca="1">VLOOKUP(V409,Fuel_Rates!$A$2:$B$3,2,FALSE)</f>
        <v>95</v>
      </c>
      <c r="X409" s="3">
        <f t="shared" ca="1" si="114"/>
        <v>80.11</v>
      </c>
      <c r="Y409" s="3">
        <f t="shared" ca="1" si="115"/>
        <v>61958</v>
      </c>
      <c r="Z409" s="3" t="str">
        <f t="shared" ca="1" si="116"/>
        <v>Mar</v>
      </c>
      <c r="AA409" s="3" t="str">
        <f t="shared" ca="1" si="117"/>
        <v>Q1</v>
      </c>
      <c r="AB409" s="4" t="str">
        <f t="shared" ca="1" si="118"/>
        <v>Medium Haul</v>
      </c>
    </row>
    <row r="410" spans="1:28" x14ac:dyDescent="0.3">
      <c r="A410" s="8" t="str">
        <f t="shared" si="113"/>
        <v>S0409</v>
      </c>
      <c r="B410" s="3">
        <f t="shared" ca="1" si="102"/>
        <v>45896</v>
      </c>
      <c r="C410" s="3" t="str">
        <f ca="1">INDEX(Customers!$A$2:$A$21,RANDBETWEEN(1,20))</f>
        <v>C004</v>
      </c>
      <c r="D410" s="3" t="str">
        <f ca="1">INDEX(Routes!$A$2:$A$31,RANDBETWEEN(1,30))</f>
        <v>R026</v>
      </c>
      <c r="E410" s="3" t="str">
        <f ca="1">INDEX(Vehicles!$A$2:$A$21,RANDBETWEEN(1,20))</f>
        <v>V009</v>
      </c>
      <c r="F410" s="3" t="str">
        <f ca="1">INDEX(Drivers!$A$2:$A$31,RANDBETWEEN(1,30))</f>
        <v>D006</v>
      </c>
      <c r="G410" s="3">
        <f t="shared" ca="1" si="103"/>
        <v>16</v>
      </c>
      <c r="H410" s="3">
        <f t="shared" ca="1" si="104"/>
        <v>32467</v>
      </c>
      <c r="I410" s="3">
        <f t="shared" ca="1" si="105"/>
        <v>9091</v>
      </c>
      <c r="J410" s="3">
        <f t="shared" ca="1" si="106"/>
        <v>3727</v>
      </c>
      <c r="K410" s="3">
        <f t="shared" ca="1" si="107"/>
        <v>15</v>
      </c>
      <c r="L410" s="3">
        <f t="shared" ca="1" si="108"/>
        <v>20</v>
      </c>
      <c r="M410" s="3">
        <f t="shared" ca="1" si="109"/>
        <v>5</v>
      </c>
      <c r="N410" s="3" t="str">
        <f t="shared" ca="1" si="110"/>
        <v>Delayed</v>
      </c>
      <c r="O410" s="3" t="str">
        <f t="shared" ca="1" si="111"/>
        <v>Medium</v>
      </c>
      <c r="P410" s="3">
        <f t="shared" ca="1" si="112"/>
        <v>53.3</v>
      </c>
      <c r="Q410" s="1" t="str">
        <f ca="1">VLOOKUP(D410,Routes!$A$2:$D$31,2,FALSE)</f>
        <v>Nagpur</v>
      </c>
      <c r="R410" s="1" t="str">
        <f ca="1">VLOOKUP(D410,Routes!$A$2:$D$31,3,FALSE)</f>
        <v>Bhopal</v>
      </c>
      <c r="S410" s="3">
        <f ca="1">VLOOKUP(D410,Routes!$A$2:$D$31,4,FALSE)</f>
        <v>350</v>
      </c>
      <c r="T410" s="3" t="str">
        <f ca="1">VLOOKUP(E410,Vehicles!$A$2:$D$21,2,FALSE)</f>
        <v>LCV</v>
      </c>
      <c r="U410" s="3">
        <f ca="1">VLOOKUP(E410,Vehicles!$A$2:$D$21,3,FALSE)</f>
        <v>5</v>
      </c>
      <c r="V410" s="3" t="str">
        <f ca="1">VLOOKUP(E410,Vehicles!$A$2:$D$21,4,FALSE)</f>
        <v>Diesel</v>
      </c>
      <c r="W410" s="3">
        <f ca="1">VLOOKUP(V410,Fuel_Rates!$A$2:$B$3,2,FALSE)</f>
        <v>95</v>
      </c>
      <c r="X410" s="3">
        <f t="shared" ca="1" si="114"/>
        <v>92.76</v>
      </c>
      <c r="Y410" s="3">
        <f t="shared" ca="1" si="115"/>
        <v>45285</v>
      </c>
      <c r="Z410" s="3" t="str">
        <f t="shared" ca="1" si="116"/>
        <v>Aug</v>
      </c>
      <c r="AA410" s="3" t="str">
        <f t="shared" ca="1" si="117"/>
        <v>Q3</v>
      </c>
      <c r="AB410" s="4" t="str">
        <f t="shared" ca="1" si="118"/>
        <v>Medium Haul</v>
      </c>
    </row>
    <row r="411" spans="1:28" x14ac:dyDescent="0.3">
      <c r="A411" s="8" t="str">
        <f t="shared" si="113"/>
        <v>S0410</v>
      </c>
      <c r="B411" s="3">
        <f t="shared" ca="1" si="102"/>
        <v>45751</v>
      </c>
      <c r="C411" s="3" t="str">
        <f ca="1">INDEX(Customers!$A$2:$A$21,RANDBETWEEN(1,20))</f>
        <v>C006</v>
      </c>
      <c r="D411" s="3" t="str">
        <f ca="1">INDEX(Routes!$A$2:$A$31,RANDBETWEEN(1,30))</f>
        <v>R028</v>
      </c>
      <c r="E411" s="3" t="str">
        <f ca="1">INDEX(Vehicles!$A$2:$A$21,RANDBETWEEN(1,20))</f>
        <v>V018</v>
      </c>
      <c r="F411" s="3" t="str">
        <f ca="1">INDEX(Drivers!$A$2:$A$31,RANDBETWEEN(1,30))</f>
        <v>D003</v>
      </c>
      <c r="G411" s="3">
        <f t="shared" ca="1" si="103"/>
        <v>4</v>
      </c>
      <c r="H411" s="3">
        <f t="shared" ca="1" si="104"/>
        <v>12290</v>
      </c>
      <c r="I411" s="3">
        <f t="shared" ca="1" si="105"/>
        <v>3441</v>
      </c>
      <c r="J411" s="3">
        <f t="shared" ca="1" si="106"/>
        <v>716</v>
      </c>
      <c r="K411" s="3">
        <f t="shared" ca="1" si="107"/>
        <v>6</v>
      </c>
      <c r="L411" s="3">
        <f t="shared" ca="1" si="108"/>
        <v>12</v>
      </c>
      <c r="M411" s="3">
        <f t="shared" ca="1" si="109"/>
        <v>6</v>
      </c>
      <c r="N411" s="3" t="str">
        <f t="shared" ca="1" si="110"/>
        <v>Delayed</v>
      </c>
      <c r="O411" s="3" t="str">
        <f t="shared" ca="1" si="111"/>
        <v>High</v>
      </c>
      <c r="P411" s="3">
        <f t="shared" ca="1" si="112"/>
        <v>13.3</v>
      </c>
      <c r="Q411" s="1" t="str">
        <f ca="1">VLOOKUP(D411,Routes!$A$2:$D$31,2,FALSE)</f>
        <v>Indore</v>
      </c>
      <c r="R411" s="1" t="str">
        <f ca="1">VLOOKUP(D411,Routes!$A$2:$D$31,3,FALSE)</f>
        <v>Mumbai</v>
      </c>
      <c r="S411" s="3">
        <f ca="1">VLOOKUP(D411,Routes!$A$2:$D$31,4,FALSE)</f>
        <v>590</v>
      </c>
      <c r="T411" s="3" t="str">
        <f ca="1">VLOOKUP(E411,Vehicles!$A$2:$D$21,2,FALSE)</f>
        <v>Truck</v>
      </c>
      <c r="U411" s="3">
        <f ca="1">VLOOKUP(E411,Vehicles!$A$2:$D$21,3,FALSE)</f>
        <v>26</v>
      </c>
      <c r="V411" s="3" t="str">
        <f ca="1">VLOOKUP(E411,Vehicles!$A$2:$D$21,4,FALSE)</f>
        <v>Diesel</v>
      </c>
      <c r="W411" s="3">
        <f ca="1">VLOOKUP(V411,Fuel_Rates!$A$2:$B$3,2,FALSE)</f>
        <v>95</v>
      </c>
      <c r="X411" s="3">
        <f t="shared" ca="1" si="114"/>
        <v>20.83</v>
      </c>
      <c r="Y411" s="3">
        <f t="shared" ca="1" si="115"/>
        <v>16447</v>
      </c>
      <c r="Z411" s="3" t="str">
        <f t="shared" ca="1" si="116"/>
        <v>Apr</v>
      </c>
      <c r="AA411" s="3" t="str">
        <f t="shared" ca="1" si="117"/>
        <v>Q2</v>
      </c>
      <c r="AB411" s="4" t="str">
        <f t="shared" ca="1" si="118"/>
        <v>Medium Haul</v>
      </c>
    </row>
    <row r="412" spans="1:28" x14ac:dyDescent="0.3">
      <c r="A412" s="8" t="str">
        <f t="shared" si="113"/>
        <v>S0411</v>
      </c>
      <c r="B412" s="3">
        <f t="shared" ca="1" si="102"/>
        <v>45732</v>
      </c>
      <c r="C412" s="3" t="str">
        <f ca="1">INDEX(Customers!$A$2:$A$21,RANDBETWEEN(1,20))</f>
        <v>C006</v>
      </c>
      <c r="D412" s="3" t="str">
        <f ca="1">INDEX(Routes!$A$2:$A$31,RANDBETWEEN(1,30))</f>
        <v>R005</v>
      </c>
      <c r="E412" s="3" t="str">
        <f ca="1">INDEX(Vehicles!$A$2:$A$21,RANDBETWEEN(1,20))</f>
        <v>V017</v>
      </c>
      <c r="F412" s="3" t="str">
        <f ca="1">INDEX(Drivers!$A$2:$A$31,RANDBETWEEN(1,30))</f>
        <v>D025</v>
      </c>
      <c r="G412" s="3">
        <f t="shared" ca="1" si="103"/>
        <v>15</v>
      </c>
      <c r="H412" s="3">
        <f t="shared" ca="1" si="104"/>
        <v>36390</v>
      </c>
      <c r="I412" s="3">
        <f t="shared" ca="1" si="105"/>
        <v>10189</v>
      </c>
      <c r="J412" s="3">
        <f t="shared" ca="1" si="106"/>
        <v>3042</v>
      </c>
      <c r="K412" s="3">
        <f t="shared" ca="1" si="107"/>
        <v>18</v>
      </c>
      <c r="L412" s="3">
        <f t="shared" ca="1" si="108"/>
        <v>23</v>
      </c>
      <c r="M412" s="3">
        <f t="shared" ca="1" si="109"/>
        <v>5</v>
      </c>
      <c r="N412" s="3" t="str">
        <f t="shared" ca="1" si="110"/>
        <v>Delayed</v>
      </c>
      <c r="O412" s="3" t="str">
        <f t="shared" ca="1" si="111"/>
        <v>Medium</v>
      </c>
      <c r="P412" s="3">
        <f t="shared" ca="1" si="112"/>
        <v>50</v>
      </c>
      <c r="Q412" s="1" t="str">
        <f ca="1">VLOOKUP(D412,Routes!$A$2:$D$31,2,FALSE)</f>
        <v>Delhi</v>
      </c>
      <c r="R412" s="1" t="str">
        <f ca="1">VLOOKUP(D412,Routes!$A$2:$D$31,3,FALSE)</f>
        <v>Jaipur</v>
      </c>
      <c r="S412" s="3">
        <f ca="1">VLOOKUP(D412,Routes!$A$2:$D$31,4,FALSE)</f>
        <v>280</v>
      </c>
      <c r="T412" s="3" t="str">
        <f ca="1">VLOOKUP(E412,Vehicles!$A$2:$D$21,2,FALSE)</f>
        <v>Truck</v>
      </c>
      <c r="U412" s="3">
        <f ca="1">VLOOKUP(E412,Vehicles!$A$2:$D$21,3,FALSE)</f>
        <v>24</v>
      </c>
      <c r="V412" s="3" t="str">
        <f ca="1">VLOOKUP(E412,Vehicles!$A$2:$D$21,4,FALSE)</f>
        <v>Diesel</v>
      </c>
      <c r="W412" s="3">
        <f ca="1">VLOOKUP(V412,Fuel_Rates!$A$2:$B$3,2,FALSE)</f>
        <v>95</v>
      </c>
      <c r="X412" s="3">
        <f t="shared" ca="1" si="114"/>
        <v>129.96</v>
      </c>
      <c r="Y412" s="3">
        <f t="shared" ca="1" si="115"/>
        <v>49621</v>
      </c>
      <c r="Z412" s="3" t="str">
        <f t="shared" ca="1" si="116"/>
        <v>Mar</v>
      </c>
      <c r="AA412" s="3" t="str">
        <f t="shared" ca="1" si="117"/>
        <v>Q1</v>
      </c>
      <c r="AB412" s="4" t="str">
        <f t="shared" ca="1" si="118"/>
        <v>Short Haul</v>
      </c>
    </row>
    <row r="413" spans="1:28" x14ac:dyDescent="0.3">
      <c r="A413" s="8" t="str">
        <f t="shared" si="113"/>
        <v>S0412</v>
      </c>
      <c r="B413" s="3">
        <f t="shared" ca="1" si="102"/>
        <v>45902</v>
      </c>
      <c r="C413" s="3" t="str">
        <f ca="1">INDEX(Customers!$A$2:$A$21,RANDBETWEEN(1,20))</f>
        <v>C006</v>
      </c>
      <c r="D413" s="3" t="str">
        <f ca="1">INDEX(Routes!$A$2:$A$31,RANDBETWEEN(1,30))</f>
        <v>R010</v>
      </c>
      <c r="E413" s="3" t="str">
        <f ca="1">INDEX(Vehicles!$A$2:$A$21,RANDBETWEEN(1,20))</f>
        <v>V010</v>
      </c>
      <c r="F413" s="3" t="str">
        <f ca="1">INDEX(Drivers!$A$2:$A$31,RANDBETWEEN(1,30))</f>
        <v>D026</v>
      </c>
      <c r="G413" s="3">
        <f t="shared" ca="1" si="103"/>
        <v>28.6</v>
      </c>
      <c r="H413" s="3">
        <f t="shared" ca="1" si="104"/>
        <v>60788</v>
      </c>
      <c r="I413" s="3">
        <f t="shared" ca="1" si="105"/>
        <v>17021</v>
      </c>
      <c r="J413" s="3">
        <f t="shared" ca="1" si="106"/>
        <v>1032</v>
      </c>
      <c r="K413" s="3">
        <f t="shared" ca="1" si="107"/>
        <v>28</v>
      </c>
      <c r="L413" s="3">
        <f t="shared" ca="1" si="108"/>
        <v>33</v>
      </c>
      <c r="M413" s="3">
        <f t="shared" ca="1" si="109"/>
        <v>5</v>
      </c>
      <c r="N413" s="3" t="str">
        <f t="shared" ca="1" si="110"/>
        <v>Delayed</v>
      </c>
      <c r="O413" s="3" t="str">
        <f t="shared" ca="1" si="111"/>
        <v>Medium</v>
      </c>
      <c r="P413" s="3">
        <f t="shared" ca="1" si="112"/>
        <v>95.3</v>
      </c>
      <c r="Q413" s="1" t="str">
        <f ca="1">VLOOKUP(D413,Routes!$A$2:$D$31,2,FALSE)</f>
        <v>Bengaluru</v>
      </c>
      <c r="R413" s="1" t="str">
        <f ca="1">VLOOKUP(D413,Routes!$A$2:$D$31,3,FALSE)</f>
        <v>Hyderabad</v>
      </c>
      <c r="S413" s="3">
        <f ca="1">VLOOKUP(D413,Routes!$A$2:$D$31,4,FALSE)</f>
        <v>570</v>
      </c>
      <c r="T413" s="3" t="str">
        <f ca="1">VLOOKUP(E413,Vehicles!$A$2:$D$21,2,FALSE)</f>
        <v>LCV</v>
      </c>
      <c r="U413" s="3">
        <f ca="1">VLOOKUP(E413,Vehicles!$A$2:$D$21,3,FALSE)</f>
        <v>7</v>
      </c>
      <c r="V413" s="3" t="str">
        <f ca="1">VLOOKUP(E413,Vehicles!$A$2:$D$21,4,FALSE)</f>
        <v>Diesel</v>
      </c>
      <c r="W413" s="3">
        <f ca="1">VLOOKUP(V413,Fuel_Rates!$A$2:$B$3,2,FALSE)</f>
        <v>95</v>
      </c>
      <c r="X413" s="3">
        <f t="shared" ca="1" si="114"/>
        <v>106.65</v>
      </c>
      <c r="Y413" s="3">
        <f t="shared" ca="1" si="115"/>
        <v>78841</v>
      </c>
      <c r="Z413" s="3" t="str">
        <f t="shared" ca="1" si="116"/>
        <v>Sep</v>
      </c>
      <c r="AA413" s="3" t="str">
        <f t="shared" ca="1" si="117"/>
        <v>Q3</v>
      </c>
      <c r="AB413" s="4" t="str">
        <f t="shared" ca="1" si="118"/>
        <v>Medium Haul</v>
      </c>
    </row>
    <row r="414" spans="1:28" x14ac:dyDescent="0.3">
      <c r="A414" s="8" t="str">
        <f t="shared" si="113"/>
        <v>S0413</v>
      </c>
      <c r="B414" s="3">
        <f t="shared" ca="1" si="102"/>
        <v>45941</v>
      </c>
      <c r="C414" s="3" t="str">
        <f ca="1">INDEX(Customers!$A$2:$A$21,RANDBETWEEN(1,20))</f>
        <v>C012</v>
      </c>
      <c r="D414" s="3" t="str">
        <f ca="1">INDEX(Routes!$A$2:$A$31,RANDBETWEEN(1,30))</f>
        <v>R024</v>
      </c>
      <c r="E414" s="3" t="str">
        <f ca="1">INDEX(Vehicles!$A$2:$A$21,RANDBETWEEN(1,20))</f>
        <v>V004</v>
      </c>
      <c r="F414" s="3" t="str">
        <f ca="1">INDEX(Drivers!$A$2:$A$31,RANDBETWEEN(1,30))</f>
        <v>D025</v>
      </c>
      <c r="G414" s="3">
        <f t="shared" ca="1" si="103"/>
        <v>15.4</v>
      </c>
      <c r="H414" s="3">
        <f t="shared" ca="1" si="104"/>
        <v>37472</v>
      </c>
      <c r="I414" s="3">
        <f t="shared" ca="1" si="105"/>
        <v>10492</v>
      </c>
      <c r="J414" s="3">
        <f t="shared" ca="1" si="106"/>
        <v>3505</v>
      </c>
      <c r="K414" s="3">
        <f t="shared" ca="1" si="107"/>
        <v>5</v>
      </c>
      <c r="L414" s="3">
        <f t="shared" ca="1" si="108"/>
        <v>10</v>
      </c>
      <c r="M414" s="3">
        <f t="shared" ca="1" si="109"/>
        <v>5</v>
      </c>
      <c r="N414" s="3" t="str">
        <f t="shared" ca="1" si="110"/>
        <v>Delayed</v>
      </c>
      <c r="O414" s="3" t="str">
        <f t="shared" ca="1" si="111"/>
        <v>Low</v>
      </c>
      <c r="P414" s="3">
        <f t="shared" ca="1" si="112"/>
        <v>51.3</v>
      </c>
      <c r="Q414" s="1" t="str">
        <f ca="1">VLOOKUP(D414,Routes!$A$2:$D$31,2,FALSE)</f>
        <v>Surat</v>
      </c>
      <c r="R414" s="1" t="str">
        <f ca="1">VLOOKUP(D414,Routes!$A$2:$D$31,3,FALSE)</f>
        <v>Mumbai</v>
      </c>
      <c r="S414" s="3">
        <f ca="1">VLOOKUP(D414,Routes!$A$2:$D$31,4,FALSE)</f>
        <v>280</v>
      </c>
      <c r="T414" s="3" t="str">
        <f ca="1">VLOOKUP(E414,Vehicles!$A$2:$D$21,2,FALSE)</f>
        <v>Trailer</v>
      </c>
      <c r="U414" s="3">
        <f ca="1">VLOOKUP(E414,Vehicles!$A$2:$D$21,3,FALSE)</f>
        <v>28</v>
      </c>
      <c r="V414" s="3" t="str">
        <f ca="1">VLOOKUP(E414,Vehicles!$A$2:$D$21,4,FALSE)</f>
        <v>Diesel</v>
      </c>
      <c r="W414" s="3">
        <f ca="1">VLOOKUP(V414,Fuel_Rates!$A$2:$B$3,2,FALSE)</f>
        <v>95</v>
      </c>
      <c r="X414" s="3">
        <f t="shared" ca="1" si="114"/>
        <v>133.83000000000001</v>
      </c>
      <c r="Y414" s="3">
        <f t="shared" ca="1" si="115"/>
        <v>51469</v>
      </c>
      <c r="Z414" s="3" t="str">
        <f t="shared" ca="1" si="116"/>
        <v>Oct</v>
      </c>
      <c r="AA414" s="3" t="str">
        <f t="shared" ca="1" si="117"/>
        <v>Q4</v>
      </c>
      <c r="AB414" s="4" t="str">
        <f t="shared" ca="1" si="118"/>
        <v>Short Haul</v>
      </c>
    </row>
    <row r="415" spans="1:28" x14ac:dyDescent="0.3">
      <c r="A415" s="8" t="str">
        <f t="shared" si="113"/>
        <v>S0414</v>
      </c>
      <c r="B415" s="3">
        <f t="shared" ca="1" si="102"/>
        <v>45764</v>
      </c>
      <c r="C415" s="3" t="str">
        <f ca="1">INDEX(Customers!$A$2:$A$21,RANDBETWEEN(1,20))</f>
        <v>C012</v>
      </c>
      <c r="D415" s="3" t="str">
        <f ca="1">INDEX(Routes!$A$2:$A$31,RANDBETWEEN(1,30))</f>
        <v>R030</v>
      </c>
      <c r="E415" s="3" t="str">
        <f ca="1">INDEX(Vehicles!$A$2:$A$21,RANDBETWEEN(1,20))</f>
        <v>V006</v>
      </c>
      <c r="F415" s="3" t="str">
        <f ca="1">INDEX(Drivers!$A$2:$A$31,RANDBETWEEN(1,30))</f>
        <v>D003</v>
      </c>
      <c r="G415" s="3">
        <f t="shared" ca="1" si="103"/>
        <v>14.7</v>
      </c>
      <c r="H415" s="3">
        <f t="shared" ca="1" si="104"/>
        <v>40026</v>
      </c>
      <c r="I415" s="3">
        <f t="shared" ca="1" si="105"/>
        <v>11207</v>
      </c>
      <c r="J415" s="3">
        <f t="shared" ca="1" si="106"/>
        <v>2318</v>
      </c>
      <c r="K415" s="3">
        <f t="shared" ca="1" si="107"/>
        <v>26</v>
      </c>
      <c r="L415" s="3">
        <f t="shared" ca="1" si="108"/>
        <v>34</v>
      </c>
      <c r="M415" s="3">
        <f t="shared" ca="1" si="109"/>
        <v>8</v>
      </c>
      <c r="N415" s="3" t="str">
        <f t="shared" ca="1" si="110"/>
        <v>Delayed</v>
      </c>
      <c r="O415" s="3" t="str">
        <f t="shared" ca="1" si="111"/>
        <v>Low</v>
      </c>
      <c r="P415" s="3">
        <f t="shared" ca="1" si="112"/>
        <v>49</v>
      </c>
      <c r="Q415" s="1" t="str">
        <f ca="1">VLOOKUP(D415,Routes!$A$2:$D$31,2,FALSE)</f>
        <v>Bhubaneswar</v>
      </c>
      <c r="R415" s="1" t="str">
        <f ca="1">VLOOKUP(D415,Routes!$A$2:$D$31,3,FALSE)</f>
        <v>Kolkata</v>
      </c>
      <c r="S415" s="3">
        <f ca="1">VLOOKUP(D415,Routes!$A$2:$D$31,4,FALSE)</f>
        <v>440</v>
      </c>
      <c r="T415" s="3" t="str">
        <f ca="1">VLOOKUP(E415,Vehicles!$A$2:$D$21,2,FALSE)</f>
        <v>Container</v>
      </c>
      <c r="U415" s="3">
        <f ca="1">VLOOKUP(E415,Vehicles!$A$2:$D$21,3,FALSE)</f>
        <v>18</v>
      </c>
      <c r="V415" s="3" t="str">
        <f ca="1">VLOOKUP(E415,Vehicles!$A$2:$D$21,4,FALSE)</f>
        <v>Diesel</v>
      </c>
      <c r="W415" s="3">
        <f ca="1">VLOOKUP(V415,Fuel_Rates!$A$2:$B$3,2,FALSE)</f>
        <v>95</v>
      </c>
      <c r="X415" s="3">
        <f t="shared" ca="1" si="114"/>
        <v>90.97</v>
      </c>
      <c r="Y415" s="3">
        <f t="shared" ca="1" si="115"/>
        <v>53551</v>
      </c>
      <c r="Z415" s="3" t="str">
        <f t="shared" ca="1" si="116"/>
        <v>Apr</v>
      </c>
      <c r="AA415" s="3" t="str">
        <f t="shared" ca="1" si="117"/>
        <v>Q2</v>
      </c>
      <c r="AB415" s="4" t="str">
        <f t="shared" ca="1" si="118"/>
        <v>Medium Haul</v>
      </c>
    </row>
    <row r="416" spans="1:28" x14ac:dyDescent="0.3">
      <c r="A416" s="8" t="str">
        <f t="shared" si="113"/>
        <v>S0415</v>
      </c>
      <c r="B416" s="3">
        <f t="shared" ca="1" si="102"/>
        <v>45818</v>
      </c>
      <c r="C416" s="3" t="str">
        <f ca="1">INDEX(Customers!$A$2:$A$21,RANDBETWEEN(1,20))</f>
        <v>C003</v>
      </c>
      <c r="D416" s="3" t="str">
        <f ca="1">INDEX(Routes!$A$2:$A$31,RANDBETWEEN(1,30))</f>
        <v>R017</v>
      </c>
      <c r="E416" s="3" t="str">
        <f ca="1">INDEX(Vehicles!$A$2:$A$21,RANDBETWEEN(1,20))</f>
        <v>V016</v>
      </c>
      <c r="F416" s="3" t="str">
        <f ca="1">INDEX(Drivers!$A$2:$A$31,RANDBETWEEN(1,30))</f>
        <v>D029</v>
      </c>
      <c r="G416" s="3">
        <f t="shared" ca="1" si="103"/>
        <v>28.6</v>
      </c>
      <c r="H416" s="3">
        <f t="shared" ca="1" si="104"/>
        <v>63637</v>
      </c>
      <c r="I416" s="3">
        <f t="shared" ca="1" si="105"/>
        <v>17818</v>
      </c>
      <c r="J416" s="3">
        <f t="shared" ca="1" si="106"/>
        <v>2564</v>
      </c>
      <c r="K416" s="3">
        <f t="shared" ca="1" si="107"/>
        <v>40</v>
      </c>
      <c r="L416" s="3">
        <f t="shared" ca="1" si="108"/>
        <v>42</v>
      </c>
      <c r="M416" s="3">
        <f t="shared" ca="1" si="109"/>
        <v>2</v>
      </c>
      <c r="N416" s="3" t="str">
        <f t="shared" ca="1" si="110"/>
        <v>On Time</v>
      </c>
      <c r="O416" s="3" t="str">
        <f t="shared" ca="1" si="111"/>
        <v>Medium</v>
      </c>
      <c r="P416" s="3">
        <f t="shared" ca="1" si="112"/>
        <v>95.3</v>
      </c>
      <c r="Q416" s="1" t="str">
        <f ca="1">VLOOKUP(D416,Routes!$A$2:$D$31,2,FALSE)</f>
        <v>Kolkata</v>
      </c>
      <c r="R416" s="1" t="str">
        <f ca="1">VLOOKUP(D416,Routes!$A$2:$D$31,3,FALSE)</f>
        <v>Patna</v>
      </c>
      <c r="S416" s="3">
        <f ca="1">VLOOKUP(D416,Routes!$A$2:$D$31,4,FALSE)</f>
        <v>620</v>
      </c>
      <c r="T416" s="3" t="str">
        <f ca="1">VLOOKUP(E416,Vehicles!$A$2:$D$21,2,FALSE)</f>
        <v>Container</v>
      </c>
      <c r="U416" s="3">
        <f ca="1">VLOOKUP(E416,Vehicles!$A$2:$D$21,3,FALSE)</f>
        <v>22</v>
      </c>
      <c r="V416" s="3" t="str">
        <f ca="1">VLOOKUP(E416,Vehicles!$A$2:$D$21,4,FALSE)</f>
        <v>Diesel</v>
      </c>
      <c r="W416" s="3">
        <f ca="1">VLOOKUP(V416,Fuel_Rates!$A$2:$B$3,2,FALSE)</f>
        <v>95</v>
      </c>
      <c r="X416" s="3">
        <f t="shared" ca="1" si="114"/>
        <v>102.64</v>
      </c>
      <c r="Y416" s="3">
        <f t="shared" ca="1" si="115"/>
        <v>84019</v>
      </c>
      <c r="Z416" s="3" t="str">
        <f t="shared" ca="1" si="116"/>
        <v>Jun</v>
      </c>
      <c r="AA416" s="3" t="str">
        <f t="shared" ca="1" si="117"/>
        <v>Q2</v>
      </c>
      <c r="AB416" s="4" t="str">
        <f t="shared" ca="1" si="118"/>
        <v>Medium Haul</v>
      </c>
    </row>
    <row r="417" spans="1:28" x14ac:dyDescent="0.3">
      <c r="A417" s="8" t="str">
        <f t="shared" si="113"/>
        <v>S0416</v>
      </c>
      <c r="B417" s="3">
        <f t="shared" ca="1" si="102"/>
        <v>45952</v>
      </c>
      <c r="C417" s="3" t="str">
        <f ca="1">INDEX(Customers!$A$2:$A$21,RANDBETWEEN(1,20))</f>
        <v>C018</v>
      </c>
      <c r="D417" s="3" t="str">
        <f ca="1">INDEX(Routes!$A$2:$A$31,RANDBETWEEN(1,30))</f>
        <v>R021</v>
      </c>
      <c r="E417" s="3" t="str">
        <f ca="1">INDEX(Vehicles!$A$2:$A$21,RANDBETWEEN(1,20))</f>
        <v>V008</v>
      </c>
      <c r="F417" s="3" t="str">
        <f ca="1">INDEX(Drivers!$A$2:$A$31,RANDBETWEEN(1,30))</f>
        <v>D008</v>
      </c>
      <c r="G417" s="3">
        <f t="shared" ca="1" si="103"/>
        <v>22.2</v>
      </c>
      <c r="H417" s="3">
        <f t="shared" ca="1" si="104"/>
        <v>51044</v>
      </c>
      <c r="I417" s="3">
        <f t="shared" ca="1" si="105"/>
        <v>14292</v>
      </c>
      <c r="J417" s="3">
        <f t="shared" ca="1" si="106"/>
        <v>3168</v>
      </c>
      <c r="K417" s="3">
        <f t="shared" ca="1" si="107"/>
        <v>14</v>
      </c>
      <c r="L417" s="3">
        <f t="shared" ca="1" si="108"/>
        <v>21</v>
      </c>
      <c r="M417" s="3">
        <f t="shared" ca="1" si="109"/>
        <v>7</v>
      </c>
      <c r="N417" s="3" t="str">
        <f t="shared" ca="1" si="110"/>
        <v>Delayed</v>
      </c>
      <c r="O417" s="3" t="str">
        <f t="shared" ca="1" si="111"/>
        <v>Medium</v>
      </c>
      <c r="P417" s="3">
        <f t="shared" ca="1" si="112"/>
        <v>74</v>
      </c>
      <c r="Q417" s="1" t="str">
        <f ca="1">VLOOKUP(D417,Routes!$A$2:$D$31,2,FALSE)</f>
        <v>Lucknow</v>
      </c>
      <c r="R417" s="1" t="str">
        <f ca="1">VLOOKUP(D417,Routes!$A$2:$D$31,3,FALSE)</f>
        <v>Kanpur</v>
      </c>
      <c r="S417" s="3">
        <f ca="1">VLOOKUP(D417,Routes!$A$2:$D$31,4,FALSE)</f>
        <v>90</v>
      </c>
      <c r="T417" s="3" t="str">
        <f ca="1">VLOOKUP(E417,Vehicles!$A$2:$D$21,2,FALSE)</f>
        <v>Container</v>
      </c>
      <c r="U417" s="3">
        <f ca="1">VLOOKUP(E417,Vehicles!$A$2:$D$21,3,FALSE)</f>
        <v>25</v>
      </c>
      <c r="V417" s="3" t="str">
        <f ca="1">VLOOKUP(E417,Vehicles!$A$2:$D$21,4,FALSE)</f>
        <v>Diesel</v>
      </c>
      <c r="W417" s="3">
        <f ca="1">VLOOKUP(V417,Fuel_Rates!$A$2:$B$3,2,FALSE)</f>
        <v>95</v>
      </c>
      <c r="X417" s="3">
        <f t="shared" ca="1" si="114"/>
        <v>567.16</v>
      </c>
      <c r="Y417" s="3">
        <f t="shared" ca="1" si="115"/>
        <v>68504</v>
      </c>
      <c r="Z417" s="3" t="str">
        <f t="shared" ca="1" si="116"/>
        <v>Oct</v>
      </c>
      <c r="AA417" s="3" t="str">
        <f t="shared" ca="1" si="117"/>
        <v>Q4</v>
      </c>
      <c r="AB417" s="4" t="str">
        <f t="shared" ca="1" si="118"/>
        <v>Short Haul</v>
      </c>
    </row>
    <row r="418" spans="1:28" x14ac:dyDescent="0.3">
      <c r="A418" s="8" t="str">
        <f t="shared" si="113"/>
        <v>S0417</v>
      </c>
      <c r="B418" s="3">
        <f t="shared" ca="1" si="102"/>
        <v>45910</v>
      </c>
      <c r="C418" s="3" t="str">
        <f ca="1">INDEX(Customers!$A$2:$A$21,RANDBETWEEN(1,20))</f>
        <v>C012</v>
      </c>
      <c r="D418" s="3" t="str">
        <f ca="1">INDEX(Routes!$A$2:$A$31,RANDBETWEEN(1,30))</f>
        <v>R023</v>
      </c>
      <c r="E418" s="3" t="str">
        <f ca="1">INDEX(Vehicles!$A$2:$A$21,RANDBETWEEN(1,20))</f>
        <v>V001</v>
      </c>
      <c r="F418" s="3" t="str">
        <f ca="1">INDEX(Drivers!$A$2:$A$31,RANDBETWEEN(1,30))</f>
        <v>D018</v>
      </c>
      <c r="G418" s="3">
        <f t="shared" ca="1" si="103"/>
        <v>12.8</v>
      </c>
      <c r="H418" s="3">
        <f t="shared" ca="1" si="104"/>
        <v>34404</v>
      </c>
      <c r="I418" s="3">
        <f t="shared" ca="1" si="105"/>
        <v>9633</v>
      </c>
      <c r="J418" s="3">
        <f t="shared" ca="1" si="106"/>
        <v>2327</v>
      </c>
      <c r="K418" s="3">
        <f t="shared" ca="1" si="107"/>
        <v>5</v>
      </c>
      <c r="L418" s="3">
        <f t="shared" ca="1" si="108"/>
        <v>9</v>
      </c>
      <c r="M418" s="3">
        <f t="shared" ca="1" si="109"/>
        <v>4</v>
      </c>
      <c r="N418" s="3" t="str">
        <f t="shared" ca="1" si="110"/>
        <v>Delayed</v>
      </c>
      <c r="O418" s="3" t="str">
        <f t="shared" ca="1" si="111"/>
        <v>Low</v>
      </c>
      <c r="P418" s="3">
        <f t="shared" ca="1" si="112"/>
        <v>42.7</v>
      </c>
      <c r="Q418" s="1" t="str">
        <f ca="1">VLOOKUP(D418,Routes!$A$2:$D$31,2,FALSE)</f>
        <v>Kochi</v>
      </c>
      <c r="R418" s="1" t="str">
        <f ca="1">VLOOKUP(D418,Routes!$A$2:$D$31,3,FALSE)</f>
        <v>Bengaluru</v>
      </c>
      <c r="S418" s="3">
        <f ca="1">VLOOKUP(D418,Routes!$A$2:$D$31,4,FALSE)</f>
        <v>550</v>
      </c>
      <c r="T418" s="3" t="str">
        <f ca="1">VLOOKUP(E418,Vehicles!$A$2:$D$21,2,FALSE)</f>
        <v>Truck</v>
      </c>
      <c r="U418" s="3">
        <f ca="1">VLOOKUP(E418,Vehicles!$A$2:$D$21,3,FALSE)</f>
        <v>16</v>
      </c>
      <c r="V418" s="3" t="str">
        <f ca="1">VLOOKUP(E418,Vehicles!$A$2:$D$21,4,FALSE)</f>
        <v>Diesel</v>
      </c>
      <c r="W418" s="3">
        <f ca="1">VLOOKUP(V418,Fuel_Rates!$A$2:$B$3,2,FALSE)</f>
        <v>95</v>
      </c>
      <c r="X418" s="3">
        <f t="shared" ca="1" si="114"/>
        <v>62.55</v>
      </c>
      <c r="Y418" s="3">
        <f t="shared" ca="1" si="115"/>
        <v>46364</v>
      </c>
      <c r="Z418" s="3" t="str">
        <f t="shared" ca="1" si="116"/>
        <v>Sep</v>
      </c>
      <c r="AA418" s="3" t="str">
        <f t="shared" ca="1" si="117"/>
        <v>Q3</v>
      </c>
      <c r="AB418" s="4" t="str">
        <f t="shared" ca="1" si="118"/>
        <v>Medium Haul</v>
      </c>
    </row>
    <row r="419" spans="1:28" x14ac:dyDescent="0.3">
      <c r="A419" s="8" t="str">
        <f t="shared" si="113"/>
        <v>S0418</v>
      </c>
      <c r="B419" s="3">
        <f t="shared" ca="1" si="102"/>
        <v>46004</v>
      </c>
      <c r="C419" s="3" t="str">
        <f ca="1">INDEX(Customers!$A$2:$A$21,RANDBETWEEN(1,20))</f>
        <v>C002</v>
      </c>
      <c r="D419" s="3" t="str">
        <f ca="1">INDEX(Routes!$A$2:$A$31,RANDBETWEEN(1,30))</f>
        <v>R025</v>
      </c>
      <c r="E419" s="3" t="str">
        <f ca="1">INDEX(Vehicles!$A$2:$A$21,RANDBETWEEN(1,20))</f>
        <v>V014</v>
      </c>
      <c r="F419" s="3" t="str">
        <f ca="1">INDEX(Drivers!$A$2:$A$31,RANDBETWEEN(1,30))</f>
        <v>D026</v>
      </c>
      <c r="G419" s="3">
        <f t="shared" ca="1" si="103"/>
        <v>12.2</v>
      </c>
      <c r="H419" s="3">
        <f t="shared" ca="1" si="104"/>
        <v>25117</v>
      </c>
      <c r="I419" s="3">
        <f t="shared" ca="1" si="105"/>
        <v>7033</v>
      </c>
      <c r="J419" s="3">
        <f t="shared" ca="1" si="106"/>
        <v>2044</v>
      </c>
      <c r="K419" s="3">
        <f t="shared" ca="1" si="107"/>
        <v>22</v>
      </c>
      <c r="L419" s="3">
        <f t="shared" ca="1" si="108"/>
        <v>25</v>
      </c>
      <c r="M419" s="3">
        <f t="shared" ca="1" si="109"/>
        <v>3</v>
      </c>
      <c r="N419" s="3" t="str">
        <f t="shared" ca="1" si="110"/>
        <v>Delayed</v>
      </c>
      <c r="O419" s="3" t="str">
        <f t="shared" ca="1" si="111"/>
        <v>Low</v>
      </c>
      <c r="P419" s="3">
        <f t="shared" ca="1" si="112"/>
        <v>40.700000000000003</v>
      </c>
      <c r="Q419" s="1" t="str">
        <f ca="1">VLOOKUP(D419,Routes!$A$2:$D$31,2,FALSE)</f>
        <v>Visakhapatnam</v>
      </c>
      <c r="R419" s="1" t="str">
        <f ca="1">VLOOKUP(D419,Routes!$A$2:$D$31,3,FALSE)</f>
        <v>Hyderabad</v>
      </c>
      <c r="S419" s="3">
        <f ca="1">VLOOKUP(D419,Routes!$A$2:$D$31,4,FALSE)</f>
        <v>620</v>
      </c>
      <c r="T419" s="3" t="str">
        <f ca="1">VLOOKUP(E419,Vehicles!$A$2:$D$21,2,FALSE)</f>
        <v>LCV</v>
      </c>
      <c r="U419" s="3">
        <f ca="1">VLOOKUP(E419,Vehicles!$A$2:$D$21,3,FALSE)</f>
        <v>6</v>
      </c>
      <c r="V419" s="3" t="str">
        <f ca="1">VLOOKUP(E419,Vehicles!$A$2:$D$21,4,FALSE)</f>
        <v>CNG</v>
      </c>
      <c r="W419" s="3">
        <f ca="1">VLOOKUP(V419,Fuel_Rates!$A$2:$B$3,2,FALSE)</f>
        <v>78</v>
      </c>
      <c r="X419" s="3">
        <f t="shared" ca="1" si="114"/>
        <v>40.51</v>
      </c>
      <c r="Y419" s="3">
        <f t="shared" ca="1" si="115"/>
        <v>34194</v>
      </c>
      <c r="Z419" s="3" t="str">
        <f t="shared" ca="1" si="116"/>
        <v>Dec</v>
      </c>
      <c r="AA419" s="3" t="str">
        <f t="shared" ca="1" si="117"/>
        <v>Q4</v>
      </c>
      <c r="AB419" s="4" t="str">
        <f t="shared" ca="1" si="118"/>
        <v>Medium Haul</v>
      </c>
    </row>
    <row r="420" spans="1:28" x14ac:dyDescent="0.3">
      <c r="A420" s="8" t="str">
        <f t="shared" si="113"/>
        <v>S0419</v>
      </c>
      <c r="B420" s="3">
        <f t="shared" ca="1" si="102"/>
        <v>45926</v>
      </c>
      <c r="C420" s="3" t="str">
        <f ca="1">INDEX(Customers!$A$2:$A$21,RANDBETWEEN(1,20))</f>
        <v>C014</v>
      </c>
      <c r="D420" s="3" t="str">
        <f ca="1">INDEX(Routes!$A$2:$A$31,RANDBETWEEN(1,30))</f>
        <v>R027</v>
      </c>
      <c r="E420" s="3" t="str">
        <f ca="1">INDEX(Vehicles!$A$2:$A$21,RANDBETWEEN(1,20))</f>
        <v>V003</v>
      </c>
      <c r="F420" s="3" t="str">
        <f ca="1">INDEX(Drivers!$A$2:$A$31,RANDBETWEEN(1,30))</f>
        <v>D001</v>
      </c>
      <c r="G420" s="3">
        <f t="shared" ca="1" si="103"/>
        <v>26.8</v>
      </c>
      <c r="H420" s="3">
        <f t="shared" ca="1" si="104"/>
        <v>62034</v>
      </c>
      <c r="I420" s="3">
        <f t="shared" ca="1" si="105"/>
        <v>17370</v>
      </c>
      <c r="J420" s="3">
        <f t="shared" ca="1" si="106"/>
        <v>2954</v>
      </c>
      <c r="K420" s="3">
        <f t="shared" ca="1" si="107"/>
        <v>41</v>
      </c>
      <c r="L420" s="3">
        <f t="shared" ca="1" si="108"/>
        <v>45</v>
      </c>
      <c r="M420" s="3">
        <f t="shared" ca="1" si="109"/>
        <v>4</v>
      </c>
      <c r="N420" s="3" t="str">
        <f t="shared" ca="1" si="110"/>
        <v>Delayed</v>
      </c>
      <c r="O420" s="3" t="str">
        <f t="shared" ca="1" si="111"/>
        <v>Low</v>
      </c>
      <c r="P420" s="3">
        <f t="shared" ca="1" si="112"/>
        <v>89.3</v>
      </c>
      <c r="Q420" s="1" t="str">
        <f ca="1">VLOOKUP(D420,Routes!$A$2:$D$31,2,FALSE)</f>
        <v>Patna</v>
      </c>
      <c r="R420" s="1" t="str">
        <f ca="1">VLOOKUP(D420,Routes!$A$2:$D$31,3,FALSE)</f>
        <v>Ranchi</v>
      </c>
      <c r="S420" s="3">
        <f ca="1">VLOOKUP(D420,Routes!$A$2:$D$31,4,FALSE)</f>
        <v>330</v>
      </c>
      <c r="T420" s="3" t="str">
        <f ca="1">VLOOKUP(E420,Vehicles!$A$2:$D$21,2,FALSE)</f>
        <v>Truck</v>
      </c>
      <c r="U420" s="3">
        <f ca="1">VLOOKUP(E420,Vehicles!$A$2:$D$21,3,FALSE)</f>
        <v>25</v>
      </c>
      <c r="V420" s="3" t="str">
        <f ca="1">VLOOKUP(E420,Vehicles!$A$2:$D$21,4,FALSE)</f>
        <v>Diesel</v>
      </c>
      <c r="W420" s="3">
        <f ca="1">VLOOKUP(V420,Fuel_Rates!$A$2:$B$3,2,FALSE)</f>
        <v>95</v>
      </c>
      <c r="X420" s="3">
        <f t="shared" ca="1" si="114"/>
        <v>187.98</v>
      </c>
      <c r="Y420" s="3">
        <f t="shared" ca="1" si="115"/>
        <v>82358</v>
      </c>
      <c r="Z420" s="3" t="str">
        <f t="shared" ca="1" si="116"/>
        <v>Sep</v>
      </c>
      <c r="AA420" s="3" t="str">
        <f t="shared" ca="1" si="117"/>
        <v>Q3</v>
      </c>
      <c r="AB420" s="4" t="str">
        <f t="shared" ca="1" si="118"/>
        <v>Medium Haul</v>
      </c>
    </row>
    <row r="421" spans="1:28" x14ac:dyDescent="0.3">
      <c r="A421" s="8" t="str">
        <f t="shared" si="113"/>
        <v>S0420</v>
      </c>
      <c r="B421" s="3">
        <f t="shared" ca="1" si="102"/>
        <v>45866</v>
      </c>
      <c r="C421" s="3" t="str">
        <f ca="1">INDEX(Customers!$A$2:$A$21,RANDBETWEEN(1,20))</f>
        <v>C013</v>
      </c>
      <c r="D421" s="3" t="str">
        <f ca="1">INDEX(Routes!$A$2:$A$31,RANDBETWEEN(1,30))</f>
        <v>R021</v>
      </c>
      <c r="E421" s="3" t="str">
        <f ca="1">INDEX(Vehicles!$A$2:$A$21,RANDBETWEEN(1,20))</f>
        <v>V015</v>
      </c>
      <c r="F421" s="3" t="str">
        <f ca="1">INDEX(Drivers!$A$2:$A$31,RANDBETWEEN(1,30))</f>
        <v>D021</v>
      </c>
      <c r="G421" s="3">
        <f t="shared" ca="1" si="103"/>
        <v>23.5</v>
      </c>
      <c r="H421" s="3">
        <f t="shared" ca="1" si="104"/>
        <v>56303</v>
      </c>
      <c r="I421" s="3">
        <f t="shared" ca="1" si="105"/>
        <v>15765</v>
      </c>
      <c r="J421" s="3">
        <f t="shared" ca="1" si="106"/>
        <v>3516</v>
      </c>
      <c r="K421" s="3">
        <f t="shared" ca="1" si="107"/>
        <v>44</v>
      </c>
      <c r="L421" s="3">
        <f t="shared" ca="1" si="108"/>
        <v>48</v>
      </c>
      <c r="M421" s="3">
        <f t="shared" ca="1" si="109"/>
        <v>4</v>
      </c>
      <c r="N421" s="3" t="str">
        <f t="shared" ca="1" si="110"/>
        <v>Delayed</v>
      </c>
      <c r="O421" s="3" t="str">
        <f t="shared" ca="1" si="111"/>
        <v>High</v>
      </c>
      <c r="P421" s="3">
        <f t="shared" ca="1" si="112"/>
        <v>78.3</v>
      </c>
      <c r="Q421" s="1" t="str">
        <f ca="1">VLOOKUP(D421,Routes!$A$2:$D$31,2,FALSE)</f>
        <v>Lucknow</v>
      </c>
      <c r="R421" s="1" t="str">
        <f ca="1">VLOOKUP(D421,Routes!$A$2:$D$31,3,FALSE)</f>
        <v>Kanpur</v>
      </c>
      <c r="S421" s="3">
        <f ca="1">VLOOKUP(D421,Routes!$A$2:$D$31,4,FALSE)</f>
        <v>90</v>
      </c>
      <c r="T421" s="3" t="str">
        <f ca="1">VLOOKUP(E421,Vehicles!$A$2:$D$21,2,FALSE)</f>
        <v>Trailer</v>
      </c>
      <c r="U421" s="3">
        <f ca="1">VLOOKUP(E421,Vehicles!$A$2:$D$21,3,FALSE)</f>
        <v>30</v>
      </c>
      <c r="V421" s="3" t="str">
        <f ca="1">VLOOKUP(E421,Vehicles!$A$2:$D$21,4,FALSE)</f>
        <v>Diesel</v>
      </c>
      <c r="W421" s="3">
        <f ca="1">VLOOKUP(V421,Fuel_Rates!$A$2:$B$3,2,FALSE)</f>
        <v>95</v>
      </c>
      <c r="X421" s="3">
        <f t="shared" ca="1" si="114"/>
        <v>625.59</v>
      </c>
      <c r="Y421" s="3">
        <f t="shared" ca="1" si="115"/>
        <v>75584</v>
      </c>
      <c r="Z421" s="3" t="str">
        <f t="shared" ca="1" si="116"/>
        <v>Jul</v>
      </c>
      <c r="AA421" s="3" t="str">
        <f t="shared" ca="1" si="117"/>
        <v>Q3</v>
      </c>
      <c r="AB421" s="4" t="str">
        <f t="shared" ca="1" si="118"/>
        <v>Short Haul</v>
      </c>
    </row>
    <row r="422" spans="1:28" x14ac:dyDescent="0.3">
      <c r="A422" s="8" t="str">
        <f t="shared" si="113"/>
        <v>S0421</v>
      </c>
      <c r="B422" s="3">
        <f t="shared" ca="1" si="102"/>
        <v>45754</v>
      </c>
      <c r="C422" s="3" t="str">
        <f ca="1">INDEX(Customers!$A$2:$A$21,RANDBETWEEN(1,20))</f>
        <v>C002</v>
      </c>
      <c r="D422" s="3" t="str">
        <f ca="1">INDEX(Routes!$A$2:$A$31,RANDBETWEEN(1,30))</f>
        <v>R026</v>
      </c>
      <c r="E422" s="3" t="str">
        <f ca="1">INDEX(Vehicles!$A$2:$A$21,RANDBETWEEN(1,20))</f>
        <v>V010</v>
      </c>
      <c r="F422" s="3" t="str">
        <f ca="1">INDEX(Drivers!$A$2:$A$31,RANDBETWEEN(1,30))</f>
        <v>D015</v>
      </c>
      <c r="G422" s="3">
        <f t="shared" ca="1" si="103"/>
        <v>9.4</v>
      </c>
      <c r="H422" s="3">
        <f t="shared" ca="1" si="104"/>
        <v>25068</v>
      </c>
      <c r="I422" s="3">
        <f t="shared" ca="1" si="105"/>
        <v>7019</v>
      </c>
      <c r="J422" s="3">
        <f t="shared" ca="1" si="106"/>
        <v>1185</v>
      </c>
      <c r="K422" s="3">
        <f t="shared" ca="1" si="107"/>
        <v>25</v>
      </c>
      <c r="L422" s="3">
        <f t="shared" ca="1" si="108"/>
        <v>29</v>
      </c>
      <c r="M422" s="3">
        <f t="shared" ca="1" si="109"/>
        <v>4</v>
      </c>
      <c r="N422" s="3" t="str">
        <f t="shared" ca="1" si="110"/>
        <v>Delayed</v>
      </c>
      <c r="O422" s="3" t="str">
        <f t="shared" ca="1" si="111"/>
        <v>High</v>
      </c>
      <c r="P422" s="3">
        <f t="shared" ca="1" si="112"/>
        <v>31.3</v>
      </c>
      <c r="Q422" s="1" t="str">
        <f ca="1">VLOOKUP(D422,Routes!$A$2:$D$31,2,FALSE)</f>
        <v>Nagpur</v>
      </c>
      <c r="R422" s="1" t="str">
        <f ca="1">VLOOKUP(D422,Routes!$A$2:$D$31,3,FALSE)</f>
        <v>Bhopal</v>
      </c>
      <c r="S422" s="3">
        <f ca="1">VLOOKUP(D422,Routes!$A$2:$D$31,4,FALSE)</f>
        <v>350</v>
      </c>
      <c r="T422" s="3" t="str">
        <f ca="1">VLOOKUP(E422,Vehicles!$A$2:$D$21,2,FALSE)</f>
        <v>LCV</v>
      </c>
      <c r="U422" s="3">
        <f ca="1">VLOOKUP(E422,Vehicles!$A$2:$D$21,3,FALSE)</f>
        <v>7</v>
      </c>
      <c r="V422" s="3" t="str">
        <f ca="1">VLOOKUP(E422,Vehicles!$A$2:$D$21,4,FALSE)</f>
        <v>Diesel</v>
      </c>
      <c r="W422" s="3">
        <f ca="1">VLOOKUP(V422,Fuel_Rates!$A$2:$B$3,2,FALSE)</f>
        <v>95</v>
      </c>
      <c r="X422" s="3">
        <f t="shared" ca="1" si="114"/>
        <v>71.62</v>
      </c>
      <c r="Y422" s="3">
        <f t="shared" ca="1" si="115"/>
        <v>33272</v>
      </c>
      <c r="Z422" s="3" t="str">
        <f t="shared" ca="1" si="116"/>
        <v>Apr</v>
      </c>
      <c r="AA422" s="3" t="str">
        <f t="shared" ca="1" si="117"/>
        <v>Q2</v>
      </c>
      <c r="AB422" s="4" t="str">
        <f t="shared" ca="1" si="118"/>
        <v>Medium Haul</v>
      </c>
    </row>
    <row r="423" spans="1:28" x14ac:dyDescent="0.3">
      <c r="A423" s="8" t="str">
        <f t="shared" si="113"/>
        <v>S0422</v>
      </c>
      <c r="B423" s="3">
        <f t="shared" ca="1" si="102"/>
        <v>45846</v>
      </c>
      <c r="C423" s="3" t="str">
        <f ca="1">INDEX(Customers!$A$2:$A$21,RANDBETWEEN(1,20))</f>
        <v>C002</v>
      </c>
      <c r="D423" s="3" t="str">
        <f ca="1">INDEX(Routes!$A$2:$A$31,RANDBETWEEN(1,30))</f>
        <v>R002</v>
      </c>
      <c r="E423" s="3" t="str">
        <f ca="1">INDEX(Vehicles!$A$2:$A$21,RANDBETWEEN(1,20))</f>
        <v>V013</v>
      </c>
      <c r="F423" s="3" t="str">
        <f ca="1">INDEX(Drivers!$A$2:$A$31,RANDBETWEEN(1,30))</f>
        <v>D006</v>
      </c>
      <c r="G423" s="3">
        <f t="shared" ca="1" si="103"/>
        <v>19.3</v>
      </c>
      <c r="H423" s="3">
        <f t="shared" ca="1" si="104"/>
        <v>46180</v>
      </c>
      <c r="I423" s="3">
        <f t="shared" ca="1" si="105"/>
        <v>12930</v>
      </c>
      <c r="J423" s="3">
        <f t="shared" ca="1" si="106"/>
        <v>759</v>
      </c>
      <c r="K423" s="3">
        <f t="shared" ca="1" si="107"/>
        <v>47</v>
      </c>
      <c r="L423" s="3">
        <f t="shared" ca="1" si="108"/>
        <v>54</v>
      </c>
      <c r="M423" s="3">
        <f t="shared" ca="1" si="109"/>
        <v>7</v>
      </c>
      <c r="N423" s="3" t="str">
        <f t="shared" ca="1" si="110"/>
        <v>Delayed</v>
      </c>
      <c r="O423" s="3" t="str">
        <f t="shared" ca="1" si="111"/>
        <v>Low</v>
      </c>
      <c r="P423" s="3">
        <f t="shared" ca="1" si="112"/>
        <v>64.3</v>
      </c>
      <c r="Q423" s="1" t="str">
        <f ca="1">VLOOKUP(D423,Routes!$A$2:$D$31,2,FALSE)</f>
        <v>Mumbai</v>
      </c>
      <c r="R423" s="1" t="str">
        <f ca="1">VLOOKUP(D423,Routes!$A$2:$D$31,3,FALSE)</f>
        <v>Ahmedabad</v>
      </c>
      <c r="S423" s="3">
        <f ca="1">VLOOKUP(D423,Routes!$A$2:$D$31,4,FALSE)</f>
        <v>530</v>
      </c>
      <c r="T423" s="3" t="str">
        <f ca="1">VLOOKUP(E423,Vehicles!$A$2:$D$21,2,FALSE)</f>
        <v>LCV</v>
      </c>
      <c r="U423" s="3">
        <f ca="1">VLOOKUP(E423,Vehicles!$A$2:$D$21,3,FALSE)</f>
        <v>4</v>
      </c>
      <c r="V423" s="3" t="str">
        <f ca="1">VLOOKUP(E423,Vehicles!$A$2:$D$21,4,FALSE)</f>
        <v>CNG</v>
      </c>
      <c r="W423" s="3">
        <f ca="1">VLOOKUP(V423,Fuel_Rates!$A$2:$B$3,2,FALSE)</f>
        <v>78</v>
      </c>
      <c r="X423" s="3">
        <f t="shared" ca="1" si="114"/>
        <v>87.13</v>
      </c>
      <c r="Y423" s="3">
        <f t="shared" ca="1" si="115"/>
        <v>59869</v>
      </c>
      <c r="Z423" s="3" t="str">
        <f t="shared" ca="1" si="116"/>
        <v>Jul</v>
      </c>
      <c r="AA423" s="3" t="str">
        <f t="shared" ca="1" si="117"/>
        <v>Q3</v>
      </c>
      <c r="AB423" s="4" t="str">
        <f t="shared" ca="1" si="118"/>
        <v>Medium Haul</v>
      </c>
    </row>
    <row r="424" spans="1:28" x14ac:dyDescent="0.3">
      <c r="A424" s="8" t="str">
        <f t="shared" si="113"/>
        <v>S0423</v>
      </c>
      <c r="B424" s="3">
        <f t="shared" ca="1" si="102"/>
        <v>45718</v>
      </c>
      <c r="C424" s="3" t="str">
        <f ca="1">INDEX(Customers!$A$2:$A$21,RANDBETWEEN(1,20))</f>
        <v>C017</v>
      </c>
      <c r="D424" s="3" t="str">
        <f ca="1">INDEX(Routes!$A$2:$A$31,RANDBETWEEN(1,30))</f>
        <v>R009</v>
      </c>
      <c r="E424" s="3" t="str">
        <f ca="1">INDEX(Vehicles!$A$2:$A$21,RANDBETWEEN(1,20))</f>
        <v>V017</v>
      </c>
      <c r="F424" s="3" t="str">
        <f ca="1">INDEX(Drivers!$A$2:$A$31,RANDBETWEEN(1,30))</f>
        <v>D011</v>
      </c>
      <c r="G424" s="3">
        <f t="shared" ca="1" si="103"/>
        <v>12.4</v>
      </c>
      <c r="H424" s="3">
        <f t="shared" ca="1" si="104"/>
        <v>30656</v>
      </c>
      <c r="I424" s="3">
        <f t="shared" ca="1" si="105"/>
        <v>8584</v>
      </c>
      <c r="J424" s="3">
        <f t="shared" ca="1" si="106"/>
        <v>2031</v>
      </c>
      <c r="K424" s="3">
        <f t="shared" ca="1" si="107"/>
        <v>13</v>
      </c>
      <c r="L424" s="3">
        <f t="shared" ca="1" si="108"/>
        <v>13</v>
      </c>
      <c r="M424" s="3">
        <f t="shared" ca="1" si="109"/>
        <v>0</v>
      </c>
      <c r="N424" s="3" t="str">
        <f t="shared" ca="1" si="110"/>
        <v>On Time</v>
      </c>
      <c r="O424" s="3" t="str">
        <f t="shared" ca="1" si="111"/>
        <v>Low</v>
      </c>
      <c r="P424" s="3">
        <f t="shared" ca="1" si="112"/>
        <v>41.3</v>
      </c>
      <c r="Q424" s="1" t="str">
        <f ca="1">VLOOKUP(D424,Routes!$A$2:$D$31,2,FALSE)</f>
        <v>Bengaluru</v>
      </c>
      <c r="R424" s="1" t="str">
        <f ca="1">VLOOKUP(D424,Routes!$A$2:$D$31,3,FALSE)</f>
        <v>Chennai</v>
      </c>
      <c r="S424" s="3">
        <f ca="1">VLOOKUP(D424,Routes!$A$2:$D$31,4,FALSE)</f>
        <v>350</v>
      </c>
      <c r="T424" s="3" t="str">
        <f ca="1">VLOOKUP(E424,Vehicles!$A$2:$D$21,2,FALSE)</f>
        <v>Truck</v>
      </c>
      <c r="U424" s="3">
        <f ca="1">VLOOKUP(E424,Vehicles!$A$2:$D$21,3,FALSE)</f>
        <v>24</v>
      </c>
      <c r="V424" s="3" t="str">
        <f ca="1">VLOOKUP(E424,Vehicles!$A$2:$D$21,4,FALSE)</f>
        <v>Diesel</v>
      </c>
      <c r="W424" s="3">
        <f ca="1">VLOOKUP(V424,Fuel_Rates!$A$2:$B$3,2,FALSE)</f>
        <v>95</v>
      </c>
      <c r="X424" s="3">
        <f t="shared" ca="1" si="114"/>
        <v>87.59</v>
      </c>
      <c r="Y424" s="3">
        <f t="shared" ca="1" si="115"/>
        <v>41271</v>
      </c>
      <c r="Z424" s="3" t="str">
        <f t="shared" ca="1" si="116"/>
        <v>Mar</v>
      </c>
      <c r="AA424" s="3" t="str">
        <f t="shared" ca="1" si="117"/>
        <v>Q1</v>
      </c>
      <c r="AB424" s="4" t="str">
        <f t="shared" ca="1" si="118"/>
        <v>Medium Haul</v>
      </c>
    </row>
    <row r="425" spans="1:28" x14ac:dyDescent="0.3">
      <c r="A425" s="8" t="str">
        <f t="shared" si="113"/>
        <v>S0424</v>
      </c>
      <c r="B425" s="3">
        <f t="shared" ca="1" si="102"/>
        <v>45701</v>
      </c>
      <c r="C425" s="3" t="str">
        <f ca="1">INDEX(Customers!$A$2:$A$21,RANDBETWEEN(1,20))</f>
        <v>C002</v>
      </c>
      <c r="D425" s="3" t="str">
        <f ca="1">INDEX(Routes!$A$2:$A$31,RANDBETWEEN(1,30))</f>
        <v>R001</v>
      </c>
      <c r="E425" s="3" t="str">
        <f ca="1">INDEX(Vehicles!$A$2:$A$21,RANDBETWEEN(1,20))</f>
        <v>V015</v>
      </c>
      <c r="F425" s="3" t="str">
        <f ca="1">INDEX(Drivers!$A$2:$A$31,RANDBETWEEN(1,30))</f>
        <v>D013</v>
      </c>
      <c r="G425" s="3">
        <f t="shared" ca="1" si="103"/>
        <v>3.3</v>
      </c>
      <c r="H425" s="3">
        <f t="shared" ca="1" si="104"/>
        <v>9394</v>
      </c>
      <c r="I425" s="3">
        <f t="shared" ca="1" si="105"/>
        <v>2630</v>
      </c>
      <c r="J425" s="3">
        <f t="shared" ca="1" si="106"/>
        <v>3771</v>
      </c>
      <c r="K425" s="3">
        <f t="shared" ca="1" si="107"/>
        <v>36</v>
      </c>
      <c r="L425" s="3">
        <f t="shared" ca="1" si="108"/>
        <v>37</v>
      </c>
      <c r="M425" s="3">
        <f t="shared" ca="1" si="109"/>
        <v>1</v>
      </c>
      <c r="N425" s="3" t="str">
        <f t="shared" ca="1" si="110"/>
        <v>On Time</v>
      </c>
      <c r="O425" s="3" t="str">
        <f t="shared" ca="1" si="111"/>
        <v>Low</v>
      </c>
      <c r="P425" s="3">
        <f t="shared" ca="1" si="112"/>
        <v>11</v>
      </c>
      <c r="Q425" s="1" t="str">
        <f ca="1">VLOOKUP(D425,Routes!$A$2:$D$31,2,FALSE)</f>
        <v>Mumbai</v>
      </c>
      <c r="R425" s="1" t="str">
        <f ca="1">VLOOKUP(D425,Routes!$A$2:$D$31,3,FALSE)</f>
        <v>Pune</v>
      </c>
      <c r="S425" s="3">
        <f ca="1">VLOOKUP(D425,Routes!$A$2:$D$31,4,FALSE)</f>
        <v>150</v>
      </c>
      <c r="T425" s="3" t="str">
        <f ca="1">VLOOKUP(E425,Vehicles!$A$2:$D$21,2,FALSE)</f>
        <v>Trailer</v>
      </c>
      <c r="U425" s="3">
        <f ca="1">VLOOKUP(E425,Vehicles!$A$2:$D$21,3,FALSE)</f>
        <v>30</v>
      </c>
      <c r="V425" s="3" t="str">
        <f ca="1">VLOOKUP(E425,Vehicles!$A$2:$D$21,4,FALSE)</f>
        <v>Diesel</v>
      </c>
      <c r="W425" s="3">
        <f ca="1">VLOOKUP(V425,Fuel_Rates!$A$2:$B$3,2,FALSE)</f>
        <v>95</v>
      </c>
      <c r="X425" s="3">
        <f t="shared" ca="1" si="114"/>
        <v>62.63</v>
      </c>
      <c r="Y425" s="3">
        <f t="shared" ca="1" si="115"/>
        <v>15795</v>
      </c>
      <c r="Z425" s="3" t="str">
        <f t="shared" ca="1" si="116"/>
        <v>Feb</v>
      </c>
      <c r="AA425" s="3" t="str">
        <f t="shared" ca="1" si="117"/>
        <v>Q1</v>
      </c>
      <c r="AB425" s="4" t="str">
        <f t="shared" ca="1" si="118"/>
        <v>Short Haul</v>
      </c>
    </row>
    <row r="426" spans="1:28" x14ac:dyDescent="0.3">
      <c r="A426" s="8" t="str">
        <f t="shared" si="113"/>
        <v>S0425</v>
      </c>
      <c r="B426" s="3">
        <f t="shared" ca="1" si="102"/>
        <v>45743</v>
      </c>
      <c r="C426" s="3" t="str">
        <f ca="1">INDEX(Customers!$A$2:$A$21,RANDBETWEEN(1,20))</f>
        <v>C008</v>
      </c>
      <c r="D426" s="3" t="str">
        <f ca="1">INDEX(Routes!$A$2:$A$31,RANDBETWEEN(1,30))</f>
        <v>R022</v>
      </c>
      <c r="E426" s="3" t="str">
        <f ca="1">INDEX(Vehicles!$A$2:$A$21,RANDBETWEEN(1,20))</f>
        <v>V008</v>
      </c>
      <c r="F426" s="3" t="str">
        <f ca="1">INDEX(Drivers!$A$2:$A$31,RANDBETWEEN(1,30))</f>
        <v>D004</v>
      </c>
      <c r="G426" s="3">
        <f t="shared" ca="1" si="103"/>
        <v>5.6</v>
      </c>
      <c r="H426" s="3">
        <f t="shared" ca="1" si="104"/>
        <v>16487</v>
      </c>
      <c r="I426" s="3">
        <f t="shared" ca="1" si="105"/>
        <v>4616</v>
      </c>
      <c r="J426" s="3">
        <f t="shared" ca="1" si="106"/>
        <v>995</v>
      </c>
      <c r="K426" s="3">
        <f t="shared" ca="1" si="107"/>
        <v>35</v>
      </c>
      <c r="L426" s="3">
        <f t="shared" ca="1" si="108"/>
        <v>43</v>
      </c>
      <c r="M426" s="3">
        <f t="shared" ca="1" si="109"/>
        <v>8</v>
      </c>
      <c r="N426" s="3" t="str">
        <f t="shared" ca="1" si="110"/>
        <v>Delayed</v>
      </c>
      <c r="O426" s="3" t="str">
        <f t="shared" ca="1" si="111"/>
        <v>Low</v>
      </c>
      <c r="P426" s="3">
        <f t="shared" ca="1" si="112"/>
        <v>18.7</v>
      </c>
      <c r="Q426" s="1" t="str">
        <f ca="1">VLOOKUP(D426,Routes!$A$2:$D$31,2,FALSE)</f>
        <v>Jaipur</v>
      </c>
      <c r="R426" s="1" t="str">
        <f ca="1">VLOOKUP(D426,Routes!$A$2:$D$31,3,FALSE)</f>
        <v>Indore</v>
      </c>
      <c r="S426" s="3">
        <f ca="1">VLOOKUP(D426,Routes!$A$2:$D$31,4,FALSE)</f>
        <v>600</v>
      </c>
      <c r="T426" s="3" t="str">
        <f ca="1">VLOOKUP(E426,Vehicles!$A$2:$D$21,2,FALSE)</f>
        <v>Container</v>
      </c>
      <c r="U426" s="3">
        <f ca="1">VLOOKUP(E426,Vehicles!$A$2:$D$21,3,FALSE)</f>
        <v>25</v>
      </c>
      <c r="V426" s="3" t="str">
        <f ca="1">VLOOKUP(E426,Vehicles!$A$2:$D$21,4,FALSE)</f>
        <v>Diesel</v>
      </c>
      <c r="W426" s="3">
        <f ca="1">VLOOKUP(V426,Fuel_Rates!$A$2:$B$3,2,FALSE)</f>
        <v>95</v>
      </c>
      <c r="X426" s="3">
        <f t="shared" ca="1" si="114"/>
        <v>27.48</v>
      </c>
      <c r="Y426" s="3">
        <f t="shared" ca="1" si="115"/>
        <v>22098</v>
      </c>
      <c r="Z426" s="3" t="str">
        <f t="shared" ca="1" si="116"/>
        <v>Mar</v>
      </c>
      <c r="AA426" s="3" t="str">
        <f t="shared" ca="1" si="117"/>
        <v>Q1</v>
      </c>
      <c r="AB426" s="4" t="str">
        <f t="shared" ca="1" si="118"/>
        <v>Medium Haul</v>
      </c>
    </row>
    <row r="427" spans="1:28" x14ac:dyDescent="0.3">
      <c r="A427" s="8" t="str">
        <f t="shared" si="113"/>
        <v>S0426</v>
      </c>
      <c r="B427" s="3">
        <f t="shared" ca="1" si="102"/>
        <v>45771</v>
      </c>
      <c r="C427" s="3" t="str">
        <f ca="1">INDEX(Customers!$A$2:$A$21,RANDBETWEEN(1,20))</f>
        <v>C008</v>
      </c>
      <c r="D427" s="3" t="str">
        <f ca="1">INDEX(Routes!$A$2:$A$31,RANDBETWEEN(1,30))</f>
        <v>R016</v>
      </c>
      <c r="E427" s="3" t="str">
        <f ca="1">INDEX(Vehicles!$A$2:$A$21,RANDBETWEEN(1,20))</f>
        <v>V019</v>
      </c>
      <c r="F427" s="3" t="str">
        <f ca="1">INDEX(Drivers!$A$2:$A$31,RANDBETWEEN(1,30))</f>
        <v>D018</v>
      </c>
      <c r="G427" s="3">
        <f t="shared" ca="1" si="103"/>
        <v>10.1</v>
      </c>
      <c r="H427" s="3">
        <f t="shared" ca="1" si="104"/>
        <v>24607</v>
      </c>
      <c r="I427" s="3">
        <f t="shared" ca="1" si="105"/>
        <v>6890</v>
      </c>
      <c r="J427" s="3">
        <f t="shared" ca="1" si="106"/>
        <v>3611</v>
      </c>
      <c r="K427" s="3">
        <f t="shared" ca="1" si="107"/>
        <v>43</v>
      </c>
      <c r="L427" s="3">
        <f t="shared" ca="1" si="108"/>
        <v>43</v>
      </c>
      <c r="M427" s="3">
        <f t="shared" ca="1" si="109"/>
        <v>0</v>
      </c>
      <c r="N427" s="3" t="str">
        <f t="shared" ca="1" si="110"/>
        <v>On Time</v>
      </c>
      <c r="O427" s="3" t="str">
        <f t="shared" ca="1" si="111"/>
        <v>Medium</v>
      </c>
      <c r="P427" s="3">
        <f t="shared" ca="1" si="112"/>
        <v>33.700000000000003</v>
      </c>
      <c r="Q427" s="1" t="str">
        <f ca="1">VLOOKUP(D427,Routes!$A$2:$D$31,2,FALSE)</f>
        <v>Kolkata</v>
      </c>
      <c r="R427" s="1" t="str">
        <f ca="1">VLOOKUP(D427,Routes!$A$2:$D$31,3,FALSE)</f>
        <v>Bhubaneswar</v>
      </c>
      <c r="S427" s="3">
        <f ca="1">VLOOKUP(D427,Routes!$A$2:$D$31,4,FALSE)</f>
        <v>440</v>
      </c>
      <c r="T427" s="3" t="str">
        <f ca="1">VLOOKUP(E427,Vehicles!$A$2:$D$21,2,FALSE)</f>
        <v>Trailer</v>
      </c>
      <c r="U427" s="3">
        <f ca="1">VLOOKUP(E427,Vehicles!$A$2:$D$21,3,FALSE)</f>
        <v>35</v>
      </c>
      <c r="V427" s="3" t="str">
        <f ca="1">VLOOKUP(E427,Vehicles!$A$2:$D$21,4,FALSE)</f>
        <v>Diesel</v>
      </c>
      <c r="W427" s="3">
        <f ca="1">VLOOKUP(V427,Fuel_Rates!$A$2:$B$3,2,FALSE)</f>
        <v>95</v>
      </c>
      <c r="X427" s="3">
        <f t="shared" ca="1" si="114"/>
        <v>55.93</v>
      </c>
      <c r="Y427" s="3">
        <f t="shared" ca="1" si="115"/>
        <v>35108</v>
      </c>
      <c r="Z427" s="3" t="str">
        <f t="shared" ca="1" si="116"/>
        <v>Apr</v>
      </c>
      <c r="AA427" s="3" t="str">
        <f t="shared" ca="1" si="117"/>
        <v>Q2</v>
      </c>
      <c r="AB427" s="4" t="str">
        <f t="shared" ca="1" si="118"/>
        <v>Medium Haul</v>
      </c>
    </row>
    <row r="428" spans="1:28" x14ac:dyDescent="0.3">
      <c r="A428" s="8" t="str">
        <f t="shared" si="113"/>
        <v>S0427</v>
      </c>
      <c r="B428" s="3">
        <f t="shared" ca="1" si="102"/>
        <v>45809</v>
      </c>
      <c r="C428" s="3" t="str">
        <f ca="1">INDEX(Customers!$A$2:$A$21,RANDBETWEEN(1,20))</f>
        <v>C002</v>
      </c>
      <c r="D428" s="3" t="str">
        <f ca="1">INDEX(Routes!$A$2:$A$31,RANDBETWEEN(1,30))</f>
        <v>R008</v>
      </c>
      <c r="E428" s="3" t="str">
        <f ca="1">INDEX(Vehicles!$A$2:$A$21,RANDBETWEEN(1,20))</f>
        <v>V013</v>
      </c>
      <c r="F428" s="3" t="str">
        <f ca="1">INDEX(Drivers!$A$2:$A$31,RANDBETWEEN(1,30))</f>
        <v>D020</v>
      </c>
      <c r="G428" s="3">
        <f t="shared" ca="1" si="103"/>
        <v>3.2</v>
      </c>
      <c r="H428" s="3">
        <f t="shared" ca="1" si="104"/>
        <v>19472</v>
      </c>
      <c r="I428" s="3">
        <f t="shared" ca="1" si="105"/>
        <v>5452</v>
      </c>
      <c r="J428" s="3">
        <f t="shared" ca="1" si="106"/>
        <v>1873</v>
      </c>
      <c r="K428" s="3">
        <f t="shared" ca="1" si="107"/>
        <v>47</v>
      </c>
      <c r="L428" s="3">
        <f t="shared" ca="1" si="108"/>
        <v>51</v>
      </c>
      <c r="M428" s="3">
        <f t="shared" ca="1" si="109"/>
        <v>4</v>
      </c>
      <c r="N428" s="3" t="str">
        <f t="shared" ca="1" si="110"/>
        <v>Delayed</v>
      </c>
      <c r="O428" s="3" t="str">
        <f t="shared" ca="1" si="111"/>
        <v>High</v>
      </c>
      <c r="P428" s="3">
        <f t="shared" ca="1" si="112"/>
        <v>10.7</v>
      </c>
      <c r="Q428" s="1" t="str">
        <f ca="1">VLOOKUP(D428,Routes!$A$2:$D$31,2,FALSE)</f>
        <v>Delhi</v>
      </c>
      <c r="R428" s="1" t="str">
        <f ca="1">VLOOKUP(D428,Routes!$A$2:$D$31,3,FALSE)</f>
        <v>Kolkata</v>
      </c>
      <c r="S428" s="3">
        <f ca="1">VLOOKUP(D428,Routes!$A$2:$D$31,4,FALSE)</f>
        <v>1500</v>
      </c>
      <c r="T428" s="3" t="str">
        <f ca="1">VLOOKUP(E428,Vehicles!$A$2:$D$21,2,FALSE)</f>
        <v>LCV</v>
      </c>
      <c r="U428" s="3">
        <f ca="1">VLOOKUP(E428,Vehicles!$A$2:$D$21,3,FALSE)</f>
        <v>4</v>
      </c>
      <c r="V428" s="3" t="str">
        <f ca="1">VLOOKUP(E428,Vehicles!$A$2:$D$21,4,FALSE)</f>
        <v>CNG</v>
      </c>
      <c r="W428" s="3">
        <f ca="1">VLOOKUP(V428,Fuel_Rates!$A$2:$B$3,2,FALSE)</f>
        <v>78</v>
      </c>
      <c r="X428" s="3">
        <f t="shared" ca="1" si="114"/>
        <v>12.98</v>
      </c>
      <c r="Y428" s="3">
        <f t="shared" ca="1" si="115"/>
        <v>26797</v>
      </c>
      <c r="Z428" s="3" t="str">
        <f t="shared" ca="1" si="116"/>
        <v>Jun</v>
      </c>
      <c r="AA428" s="3" t="str">
        <f t="shared" ca="1" si="117"/>
        <v>Q2</v>
      </c>
      <c r="AB428" s="4" t="str">
        <f t="shared" ca="1" si="118"/>
        <v>Long Haul</v>
      </c>
    </row>
    <row r="429" spans="1:28" x14ac:dyDescent="0.3">
      <c r="A429" s="8" t="str">
        <f t="shared" si="113"/>
        <v>S0428</v>
      </c>
      <c r="B429" s="3">
        <f t="shared" ca="1" si="102"/>
        <v>45958</v>
      </c>
      <c r="C429" s="3" t="str">
        <f ca="1">INDEX(Customers!$A$2:$A$21,RANDBETWEEN(1,20))</f>
        <v>C013</v>
      </c>
      <c r="D429" s="3" t="str">
        <f ca="1">INDEX(Routes!$A$2:$A$31,RANDBETWEEN(1,30))</f>
        <v>R001</v>
      </c>
      <c r="E429" s="3" t="str">
        <f ca="1">INDEX(Vehicles!$A$2:$A$21,RANDBETWEEN(1,20))</f>
        <v>V017</v>
      </c>
      <c r="F429" s="3" t="str">
        <f ca="1">INDEX(Drivers!$A$2:$A$31,RANDBETWEEN(1,30))</f>
        <v>D018</v>
      </c>
      <c r="G429" s="3">
        <f t="shared" ca="1" si="103"/>
        <v>13.8</v>
      </c>
      <c r="H429" s="3">
        <f t="shared" ca="1" si="104"/>
        <v>35979</v>
      </c>
      <c r="I429" s="3">
        <f t="shared" ca="1" si="105"/>
        <v>10074</v>
      </c>
      <c r="J429" s="3">
        <f t="shared" ca="1" si="106"/>
        <v>1343</v>
      </c>
      <c r="K429" s="3">
        <f t="shared" ca="1" si="107"/>
        <v>34</v>
      </c>
      <c r="L429" s="3">
        <f t="shared" ca="1" si="108"/>
        <v>41</v>
      </c>
      <c r="M429" s="3">
        <f t="shared" ca="1" si="109"/>
        <v>7</v>
      </c>
      <c r="N429" s="3" t="str">
        <f t="shared" ca="1" si="110"/>
        <v>Delayed</v>
      </c>
      <c r="O429" s="3" t="str">
        <f t="shared" ca="1" si="111"/>
        <v>High</v>
      </c>
      <c r="P429" s="3">
        <f t="shared" ca="1" si="112"/>
        <v>46</v>
      </c>
      <c r="Q429" s="1" t="str">
        <f ca="1">VLOOKUP(D429,Routes!$A$2:$D$31,2,FALSE)</f>
        <v>Mumbai</v>
      </c>
      <c r="R429" s="1" t="str">
        <f ca="1">VLOOKUP(D429,Routes!$A$2:$D$31,3,FALSE)</f>
        <v>Pune</v>
      </c>
      <c r="S429" s="3">
        <f ca="1">VLOOKUP(D429,Routes!$A$2:$D$31,4,FALSE)</f>
        <v>150</v>
      </c>
      <c r="T429" s="3" t="str">
        <f ca="1">VLOOKUP(E429,Vehicles!$A$2:$D$21,2,FALSE)</f>
        <v>Truck</v>
      </c>
      <c r="U429" s="3">
        <f ca="1">VLOOKUP(E429,Vehicles!$A$2:$D$21,3,FALSE)</f>
        <v>24</v>
      </c>
      <c r="V429" s="3" t="str">
        <f ca="1">VLOOKUP(E429,Vehicles!$A$2:$D$21,4,FALSE)</f>
        <v>Diesel</v>
      </c>
      <c r="W429" s="3">
        <f ca="1">VLOOKUP(V429,Fuel_Rates!$A$2:$B$3,2,FALSE)</f>
        <v>95</v>
      </c>
      <c r="X429" s="3">
        <f t="shared" ca="1" si="114"/>
        <v>239.86</v>
      </c>
      <c r="Y429" s="3">
        <f t="shared" ca="1" si="115"/>
        <v>47396</v>
      </c>
      <c r="Z429" s="3" t="str">
        <f t="shared" ca="1" si="116"/>
        <v>Oct</v>
      </c>
      <c r="AA429" s="3" t="str">
        <f t="shared" ca="1" si="117"/>
        <v>Q4</v>
      </c>
      <c r="AB429" s="4" t="str">
        <f t="shared" ca="1" si="118"/>
        <v>Short Haul</v>
      </c>
    </row>
    <row r="430" spans="1:28" x14ac:dyDescent="0.3">
      <c r="A430" s="8" t="str">
        <f t="shared" si="113"/>
        <v>S0429</v>
      </c>
      <c r="B430" s="3">
        <f t="shared" ca="1" si="102"/>
        <v>45709</v>
      </c>
      <c r="C430" s="3" t="str">
        <f ca="1">INDEX(Customers!$A$2:$A$21,RANDBETWEEN(1,20))</f>
        <v>C017</v>
      </c>
      <c r="D430" s="3" t="str">
        <f ca="1">INDEX(Routes!$A$2:$A$31,RANDBETWEEN(1,30))</f>
        <v>R021</v>
      </c>
      <c r="E430" s="3" t="str">
        <f ca="1">INDEX(Vehicles!$A$2:$A$21,RANDBETWEEN(1,20))</f>
        <v>V012</v>
      </c>
      <c r="F430" s="3" t="str">
        <f ca="1">INDEX(Drivers!$A$2:$A$31,RANDBETWEEN(1,30))</f>
        <v>D019</v>
      </c>
      <c r="G430" s="3">
        <f t="shared" ca="1" si="103"/>
        <v>6.2</v>
      </c>
      <c r="H430" s="3">
        <f t="shared" ca="1" si="104"/>
        <v>26057</v>
      </c>
      <c r="I430" s="3">
        <f t="shared" ca="1" si="105"/>
        <v>7296</v>
      </c>
      <c r="J430" s="3">
        <f t="shared" ca="1" si="106"/>
        <v>3909</v>
      </c>
      <c r="K430" s="3">
        <f t="shared" ca="1" si="107"/>
        <v>11</v>
      </c>
      <c r="L430" s="3">
        <f t="shared" ca="1" si="108"/>
        <v>17</v>
      </c>
      <c r="M430" s="3">
        <f t="shared" ca="1" si="109"/>
        <v>6</v>
      </c>
      <c r="N430" s="3" t="str">
        <f t="shared" ca="1" si="110"/>
        <v>Delayed</v>
      </c>
      <c r="O430" s="3" t="str">
        <f t="shared" ca="1" si="111"/>
        <v>High</v>
      </c>
      <c r="P430" s="3">
        <f t="shared" ca="1" si="112"/>
        <v>20.7</v>
      </c>
      <c r="Q430" s="1" t="str">
        <f ca="1">VLOOKUP(D430,Routes!$A$2:$D$31,2,FALSE)</f>
        <v>Lucknow</v>
      </c>
      <c r="R430" s="1" t="str">
        <f ca="1">VLOOKUP(D430,Routes!$A$2:$D$31,3,FALSE)</f>
        <v>Kanpur</v>
      </c>
      <c r="S430" s="3">
        <f ca="1">VLOOKUP(D430,Routes!$A$2:$D$31,4,FALSE)</f>
        <v>90</v>
      </c>
      <c r="T430" s="3" t="str">
        <f ca="1">VLOOKUP(E430,Vehicles!$A$2:$D$21,2,FALSE)</f>
        <v>Truck</v>
      </c>
      <c r="U430" s="3">
        <f ca="1">VLOOKUP(E430,Vehicles!$A$2:$D$21,3,FALSE)</f>
        <v>20</v>
      </c>
      <c r="V430" s="3" t="str">
        <f ca="1">VLOOKUP(E430,Vehicles!$A$2:$D$21,4,FALSE)</f>
        <v>CNG</v>
      </c>
      <c r="W430" s="3">
        <f ca="1">VLOOKUP(V430,Fuel_Rates!$A$2:$B$3,2,FALSE)</f>
        <v>78</v>
      </c>
      <c r="X430" s="3">
        <f t="shared" ca="1" si="114"/>
        <v>289.52</v>
      </c>
      <c r="Y430" s="3">
        <f t="shared" ca="1" si="115"/>
        <v>37262</v>
      </c>
      <c r="Z430" s="3" t="str">
        <f t="shared" ca="1" si="116"/>
        <v>Feb</v>
      </c>
      <c r="AA430" s="3" t="str">
        <f t="shared" ca="1" si="117"/>
        <v>Q1</v>
      </c>
      <c r="AB430" s="4" t="str">
        <f t="shared" ca="1" si="118"/>
        <v>Short Haul</v>
      </c>
    </row>
    <row r="431" spans="1:28" x14ac:dyDescent="0.3">
      <c r="A431" s="8" t="str">
        <f t="shared" si="113"/>
        <v>S0430</v>
      </c>
      <c r="B431" s="3">
        <f t="shared" ca="1" si="102"/>
        <v>45830</v>
      </c>
      <c r="C431" s="3" t="str">
        <f ca="1">INDEX(Customers!$A$2:$A$21,RANDBETWEEN(1,20))</f>
        <v>C013</v>
      </c>
      <c r="D431" s="3" t="str">
        <f ca="1">INDEX(Routes!$A$2:$A$31,RANDBETWEEN(1,30))</f>
        <v>R006</v>
      </c>
      <c r="E431" s="3" t="str">
        <f ca="1">INDEX(Vehicles!$A$2:$A$21,RANDBETWEEN(1,20))</f>
        <v>V006</v>
      </c>
      <c r="F431" s="3" t="str">
        <f ca="1">INDEX(Drivers!$A$2:$A$31,RANDBETWEEN(1,30))</f>
        <v>D026</v>
      </c>
      <c r="G431" s="3">
        <f t="shared" ca="1" si="103"/>
        <v>10.4</v>
      </c>
      <c r="H431" s="3">
        <f t="shared" ca="1" si="104"/>
        <v>22153</v>
      </c>
      <c r="I431" s="3">
        <f t="shared" ca="1" si="105"/>
        <v>6203</v>
      </c>
      <c r="J431" s="3">
        <f t="shared" ca="1" si="106"/>
        <v>2126</v>
      </c>
      <c r="K431" s="3">
        <f t="shared" ca="1" si="107"/>
        <v>21</v>
      </c>
      <c r="L431" s="3">
        <f t="shared" ca="1" si="108"/>
        <v>24</v>
      </c>
      <c r="M431" s="3">
        <f t="shared" ca="1" si="109"/>
        <v>3</v>
      </c>
      <c r="N431" s="3" t="str">
        <f t="shared" ca="1" si="110"/>
        <v>Delayed</v>
      </c>
      <c r="O431" s="3" t="str">
        <f t="shared" ca="1" si="111"/>
        <v>High</v>
      </c>
      <c r="P431" s="3">
        <f t="shared" ca="1" si="112"/>
        <v>34.700000000000003</v>
      </c>
      <c r="Q431" s="1" t="str">
        <f ca="1">VLOOKUP(D431,Routes!$A$2:$D$31,2,FALSE)</f>
        <v>Delhi</v>
      </c>
      <c r="R431" s="1" t="str">
        <f ca="1">VLOOKUP(D431,Routes!$A$2:$D$31,3,FALSE)</f>
        <v>Lucknow</v>
      </c>
      <c r="S431" s="3">
        <f ca="1">VLOOKUP(D431,Routes!$A$2:$D$31,4,FALSE)</f>
        <v>550</v>
      </c>
      <c r="T431" s="3" t="str">
        <f ca="1">VLOOKUP(E431,Vehicles!$A$2:$D$21,2,FALSE)</f>
        <v>Container</v>
      </c>
      <c r="U431" s="3">
        <f ca="1">VLOOKUP(E431,Vehicles!$A$2:$D$21,3,FALSE)</f>
        <v>18</v>
      </c>
      <c r="V431" s="3" t="str">
        <f ca="1">VLOOKUP(E431,Vehicles!$A$2:$D$21,4,FALSE)</f>
        <v>Diesel</v>
      </c>
      <c r="W431" s="3">
        <f ca="1">VLOOKUP(V431,Fuel_Rates!$A$2:$B$3,2,FALSE)</f>
        <v>95</v>
      </c>
      <c r="X431" s="3">
        <f t="shared" ca="1" si="114"/>
        <v>40.28</v>
      </c>
      <c r="Y431" s="3">
        <f t="shared" ca="1" si="115"/>
        <v>30482</v>
      </c>
      <c r="Z431" s="3" t="str">
        <f t="shared" ca="1" si="116"/>
        <v>Jun</v>
      </c>
      <c r="AA431" s="3" t="str">
        <f t="shared" ca="1" si="117"/>
        <v>Q2</v>
      </c>
      <c r="AB431" s="4" t="str">
        <f t="shared" ca="1" si="118"/>
        <v>Medium Haul</v>
      </c>
    </row>
    <row r="432" spans="1:28" x14ac:dyDescent="0.3">
      <c r="A432" s="8" t="str">
        <f t="shared" si="113"/>
        <v>S0431</v>
      </c>
      <c r="B432" s="3">
        <f t="shared" ca="1" si="102"/>
        <v>45978</v>
      </c>
      <c r="C432" s="3" t="str">
        <f ca="1">INDEX(Customers!$A$2:$A$21,RANDBETWEEN(1,20))</f>
        <v>C015</v>
      </c>
      <c r="D432" s="3" t="str">
        <f ca="1">INDEX(Routes!$A$2:$A$31,RANDBETWEEN(1,30))</f>
        <v>R023</v>
      </c>
      <c r="E432" s="3" t="str">
        <f ca="1">INDEX(Vehicles!$A$2:$A$21,RANDBETWEEN(1,20))</f>
        <v>V005</v>
      </c>
      <c r="F432" s="3" t="str">
        <f ca="1">INDEX(Drivers!$A$2:$A$31,RANDBETWEEN(1,30))</f>
        <v>D012</v>
      </c>
      <c r="G432" s="3">
        <f t="shared" ca="1" si="103"/>
        <v>29.8</v>
      </c>
      <c r="H432" s="3">
        <f t="shared" ca="1" si="104"/>
        <v>65693</v>
      </c>
      <c r="I432" s="3">
        <f t="shared" ca="1" si="105"/>
        <v>18394</v>
      </c>
      <c r="J432" s="3">
        <f t="shared" ca="1" si="106"/>
        <v>2528</v>
      </c>
      <c r="K432" s="3">
        <f t="shared" ca="1" si="107"/>
        <v>33</v>
      </c>
      <c r="L432" s="3">
        <f t="shared" ca="1" si="108"/>
        <v>37</v>
      </c>
      <c r="M432" s="3">
        <f t="shared" ca="1" si="109"/>
        <v>4</v>
      </c>
      <c r="N432" s="3" t="str">
        <f t="shared" ca="1" si="110"/>
        <v>Delayed</v>
      </c>
      <c r="O432" s="3" t="str">
        <f t="shared" ca="1" si="111"/>
        <v>Medium</v>
      </c>
      <c r="P432" s="3">
        <f t="shared" ca="1" si="112"/>
        <v>99.3</v>
      </c>
      <c r="Q432" s="1" t="str">
        <f ca="1">VLOOKUP(D432,Routes!$A$2:$D$31,2,FALSE)</f>
        <v>Kochi</v>
      </c>
      <c r="R432" s="1" t="str">
        <f ca="1">VLOOKUP(D432,Routes!$A$2:$D$31,3,FALSE)</f>
        <v>Bengaluru</v>
      </c>
      <c r="S432" s="3">
        <f ca="1">VLOOKUP(D432,Routes!$A$2:$D$31,4,FALSE)</f>
        <v>550</v>
      </c>
      <c r="T432" s="3" t="str">
        <f ca="1">VLOOKUP(E432,Vehicles!$A$2:$D$21,2,FALSE)</f>
        <v>Trailer</v>
      </c>
      <c r="U432" s="3">
        <f ca="1">VLOOKUP(E432,Vehicles!$A$2:$D$21,3,FALSE)</f>
        <v>32</v>
      </c>
      <c r="V432" s="3" t="str">
        <f ca="1">VLOOKUP(E432,Vehicles!$A$2:$D$21,4,FALSE)</f>
        <v>Diesel</v>
      </c>
      <c r="W432" s="3">
        <f ca="1">VLOOKUP(V432,Fuel_Rates!$A$2:$B$3,2,FALSE)</f>
        <v>95</v>
      </c>
      <c r="X432" s="3">
        <f t="shared" ca="1" si="114"/>
        <v>119.44</v>
      </c>
      <c r="Y432" s="3">
        <f t="shared" ca="1" si="115"/>
        <v>86615</v>
      </c>
      <c r="Z432" s="3" t="str">
        <f t="shared" ca="1" si="116"/>
        <v>Nov</v>
      </c>
      <c r="AA432" s="3" t="str">
        <f t="shared" ca="1" si="117"/>
        <v>Q4</v>
      </c>
      <c r="AB432" s="4" t="str">
        <f t="shared" ca="1" si="118"/>
        <v>Medium Haul</v>
      </c>
    </row>
    <row r="433" spans="1:28" x14ac:dyDescent="0.3">
      <c r="A433" s="8" t="str">
        <f t="shared" si="113"/>
        <v>S0432</v>
      </c>
      <c r="B433" s="3">
        <f t="shared" ca="1" si="102"/>
        <v>45897</v>
      </c>
      <c r="C433" s="3" t="str">
        <f ca="1">INDEX(Customers!$A$2:$A$21,RANDBETWEEN(1,20))</f>
        <v>C006</v>
      </c>
      <c r="D433" s="3" t="str">
        <f ca="1">INDEX(Routes!$A$2:$A$31,RANDBETWEEN(1,30))</f>
        <v>R009</v>
      </c>
      <c r="E433" s="3" t="str">
        <f ca="1">INDEX(Vehicles!$A$2:$A$21,RANDBETWEEN(1,20))</f>
        <v>V014</v>
      </c>
      <c r="F433" s="3" t="str">
        <f ca="1">INDEX(Drivers!$A$2:$A$31,RANDBETWEEN(1,30))</f>
        <v>D019</v>
      </c>
      <c r="G433" s="3">
        <f t="shared" ca="1" si="103"/>
        <v>9.6</v>
      </c>
      <c r="H433" s="3">
        <f t="shared" ca="1" si="104"/>
        <v>28218</v>
      </c>
      <c r="I433" s="3">
        <f t="shared" ca="1" si="105"/>
        <v>7901</v>
      </c>
      <c r="J433" s="3">
        <f t="shared" ca="1" si="106"/>
        <v>2376</v>
      </c>
      <c r="K433" s="3">
        <f t="shared" ca="1" si="107"/>
        <v>20</v>
      </c>
      <c r="L433" s="3">
        <f t="shared" ca="1" si="108"/>
        <v>20</v>
      </c>
      <c r="M433" s="3">
        <f t="shared" ca="1" si="109"/>
        <v>0</v>
      </c>
      <c r="N433" s="3" t="str">
        <f t="shared" ca="1" si="110"/>
        <v>On Time</v>
      </c>
      <c r="O433" s="3" t="str">
        <f t="shared" ca="1" si="111"/>
        <v>High</v>
      </c>
      <c r="P433" s="3">
        <f t="shared" ca="1" si="112"/>
        <v>32</v>
      </c>
      <c r="Q433" s="1" t="str">
        <f ca="1">VLOOKUP(D433,Routes!$A$2:$D$31,2,FALSE)</f>
        <v>Bengaluru</v>
      </c>
      <c r="R433" s="1" t="str">
        <f ca="1">VLOOKUP(D433,Routes!$A$2:$D$31,3,FALSE)</f>
        <v>Chennai</v>
      </c>
      <c r="S433" s="3">
        <f ca="1">VLOOKUP(D433,Routes!$A$2:$D$31,4,FALSE)</f>
        <v>350</v>
      </c>
      <c r="T433" s="3" t="str">
        <f ca="1">VLOOKUP(E433,Vehicles!$A$2:$D$21,2,FALSE)</f>
        <v>LCV</v>
      </c>
      <c r="U433" s="3">
        <f ca="1">VLOOKUP(E433,Vehicles!$A$2:$D$21,3,FALSE)</f>
        <v>6</v>
      </c>
      <c r="V433" s="3" t="str">
        <f ca="1">VLOOKUP(E433,Vehicles!$A$2:$D$21,4,FALSE)</f>
        <v>CNG</v>
      </c>
      <c r="W433" s="3">
        <f ca="1">VLOOKUP(V433,Fuel_Rates!$A$2:$B$3,2,FALSE)</f>
        <v>78</v>
      </c>
      <c r="X433" s="3">
        <f t="shared" ca="1" si="114"/>
        <v>80.62</v>
      </c>
      <c r="Y433" s="3">
        <f t="shared" ca="1" si="115"/>
        <v>38495</v>
      </c>
      <c r="Z433" s="3" t="str">
        <f t="shared" ca="1" si="116"/>
        <v>Aug</v>
      </c>
      <c r="AA433" s="3" t="str">
        <f t="shared" ca="1" si="117"/>
        <v>Q3</v>
      </c>
      <c r="AB433" s="4" t="str">
        <f t="shared" ca="1" si="118"/>
        <v>Medium Haul</v>
      </c>
    </row>
    <row r="434" spans="1:28" x14ac:dyDescent="0.3">
      <c r="A434" s="8" t="str">
        <f t="shared" si="113"/>
        <v>S0433</v>
      </c>
      <c r="B434" s="3">
        <f t="shared" ca="1" si="102"/>
        <v>45878</v>
      </c>
      <c r="C434" s="3" t="str">
        <f ca="1">INDEX(Customers!$A$2:$A$21,RANDBETWEEN(1,20))</f>
        <v>C019</v>
      </c>
      <c r="D434" s="3" t="str">
        <f ca="1">INDEX(Routes!$A$2:$A$31,RANDBETWEEN(1,30))</f>
        <v>R018</v>
      </c>
      <c r="E434" s="3" t="str">
        <f ca="1">INDEX(Vehicles!$A$2:$A$21,RANDBETWEEN(1,20))</f>
        <v>V001</v>
      </c>
      <c r="F434" s="3" t="str">
        <f ca="1">INDEX(Drivers!$A$2:$A$31,RANDBETWEEN(1,30))</f>
        <v>D016</v>
      </c>
      <c r="G434" s="3">
        <f t="shared" ca="1" si="103"/>
        <v>25.9</v>
      </c>
      <c r="H434" s="3">
        <f t="shared" ca="1" si="104"/>
        <v>61163</v>
      </c>
      <c r="I434" s="3">
        <f t="shared" ca="1" si="105"/>
        <v>17126</v>
      </c>
      <c r="J434" s="3">
        <f t="shared" ca="1" si="106"/>
        <v>3082</v>
      </c>
      <c r="K434" s="3">
        <f t="shared" ca="1" si="107"/>
        <v>42</v>
      </c>
      <c r="L434" s="3">
        <f t="shared" ca="1" si="108"/>
        <v>43</v>
      </c>
      <c r="M434" s="3">
        <f t="shared" ca="1" si="109"/>
        <v>1</v>
      </c>
      <c r="N434" s="3" t="str">
        <f t="shared" ca="1" si="110"/>
        <v>On Time</v>
      </c>
      <c r="O434" s="3" t="str">
        <f t="shared" ca="1" si="111"/>
        <v>Medium</v>
      </c>
      <c r="P434" s="3">
        <f t="shared" ca="1" si="112"/>
        <v>86.3</v>
      </c>
      <c r="Q434" s="1" t="str">
        <f ca="1">VLOOKUP(D434,Routes!$A$2:$D$31,2,FALSE)</f>
        <v>Ahmedabad</v>
      </c>
      <c r="R434" s="1" t="str">
        <f ca="1">VLOOKUP(D434,Routes!$A$2:$D$31,3,FALSE)</f>
        <v>Jaipur</v>
      </c>
      <c r="S434" s="3">
        <f ca="1">VLOOKUP(D434,Routes!$A$2:$D$31,4,FALSE)</f>
        <v>670</v>
      </c>
      <c r="T434" s="3" t="str">
        <f ca="1">VLOOKUP(E434,Vehicles!$A$2:$D$21,2,FALSE)</f>
        <v>Truck</v>
      </c>
      <c r="U434" s="3">
        <f ca="1">VLOOKUP(E434,Vehicles!$A$2:$D$21,3,FALSE)</f>
        <v>16</v>
      </c>
      <c r="V434" s="3" t="str">
        <f ca="1">VLOOKUP(E434,Vehicles!$A$2:$D$21,4,FALSE)</f>
        <v>Diesel</v>
      </c>
      <c r="W434" s="3">
        <f ca="1">VLOOKUP(V434,Fuel_Rates!$A$2:$B$3,2,FALSE)</f>
        <v>95</v>
      </c>
      <c r="X434" s="3">
        <f t="shared" ca="1" si="114"/>
        <v>91.29</v>
      </c>
      <c r="Y434" s="3">
        <f t="shared" ca="1" si="115"/>
        <v>81371</v>
      </c>
      <c r="Z434" s="3" t="str">
        <f t="shared" ca="1" si="116"/>
        <v>Aug</v>
      </c>
      <c r="AA434" s="3" t="str">
        <f t="shared" ca="1" si="117"/>
        <v>Q3</v>
      </c>
      <c r="AB434" s="4" t="str">
        <f t="shared" ca="1" si="118"/>
        <v>Medium Haul</v>
      </c>
    </row>
    <row r="435" spans="1:28" x14ac:dyDescent="0.3">
      <c r="A435" s="8" t="str">
        <f t="shared" si="113"/>
        <v>S0434</v>
      </c>
      <c r="B435" s="3">
        <f t="shared" ca="1" si="102"/>
        <v>45853</v>
      </c>
      <c r="C435" s="3" t="str">
        <f ca="1">INDEX(Customers!$A$2:$A$21,RANDBETWEEN(1,20))</f>
        <v>C016</v>
      </c>
      <c r="D435" s="3" t="str">
        <f ca="1">INDEX(Routes!$A$2:$A$31,RANDBETWEEN(1,30))</f>
        <v>R007</v>
      </c>
      <c r="E435" s="3" t="str">
        <f ca="1">INDEX(Vehicles!$A$2:$A$21,RANDBETWEEN(1,20))</f>
        <v>V015</v>
      </c>
      <c r="F435" s="3" t="str">
        <f ca="1">INDEX(Drivers!$A$2:$A$31,RANDBETWEEN(1,30))</f>
        <v>D017</v>
      </c>
      <c r="G435" s="3">
        <f t="shared" ca="1" si="103"/>
        <v>16.5</v>
      </c>
      <c r="H435" s="3">
        <f t="shared" ca="1" si="104"/>
        <v>39156</v>
      </c>
      <c r="I435" s="3">
        <f t="shared" ca="1" si="105"/>
        <v>10964</v>
      </c>
      <c r="J435" s="3">
        <f t="shared" ca="1" si="106"/>
        <v>3835</v>
      </c>
      <c r="K435" s="3">
        <f t="shared" ca="1" si="107"/>
        <v>45</v>
      </c>
      <c r="L435" s="3">
        <f t="shared" ca="1" si="108"/>
        <v>47</v>
      </c>
      <c r="M435" s="3">
        <f t="shared" ca="1" si="109"/>
        <v>2</v>
      </c>
      <c r="N435" s="3" t="str">
        <f t="shared" ca="1" si="110"/>
        <v>On Time</v>
      </c>
      <c r="O435" s="3" t="str">
        <f t="shared" ca="1" si="111"/>
        <v>Low</v>
      </c>
      <c r="P435" s="3">
        <f t="shared" ca="1" si="112"/>
        <v>55</v>
      </c>
      <c r="Q435" s="1" t="str">
        <f ca="1">VLOOKUP(D435,Routes!$A$2:$D$31,2,FALSE)</f>
        <v>Delhi</v>
      </c>
      <c r="R435" s="1" t="str">
        <f ca="1">VLOOKUP(D435,Routes!$A$2:$D$31,3,FALSE)</f>
        <v>Chandigarh</v>
      </c>
      <c r="S435" s="3">
        <f ca="1">VLOOKUP(D435,Routes!$A$2:$D$31,4,FALSE)</f>
        <v>250</v>
      </c>
      <c r="T435" s="3" t="str">
        <f ca="1">VLOOKUP(E435,Vehicles!$A$2:$D$21,2,FALSE)</f>
        <v>Trailer</v>
      </c>
      <c r="U435" s="3">
        <f ca="1">VLOOKUP(E435,Vehicles!$A$2:$D$21,3,FALSE)</f>
        <v>30</v>
      </c>
      <c r="V435" s="3" t="str">
        <f ca="1">VLOOKUP(E435,Vehicles!$A$2:$D$21,4,FALSE)</f>
        <v>Diesel</v>
      </c>
      <c r="W435" s="3">
        <f ca="1">VLOOKUP(V435,Fuel_Rates!$A$2:$B$3,2,FALSE)</f>
        <v>95</v>
      </c>
      <c r="X435" s="3">
        <f t="shared" ca="1" si="114"/>
        <v>156.62</v>
      </c>
      <c r="Y435" s="3">
        <f t="shared" ca="1" si="115"/>
        <v>53955</v>
      </c>
      <c r="Z435" s="3" t="str">
        <f t="shared" ca="1" si="116"/>
        <v>Jul</v>
      </c>
      <c r="AA435" s="3" t="str">
        <f t="shared" ca="1" si="117"/>
        <v>Q3</v>
      </c>
      <c r="AB435" s="4" t="str">
        <f t="shared" ca="1" si="118"/>
        <v>Short Haul</v>
      </c>
    </row>
    <row r="436" spans="1:28" x14ac:dyDescent="0.3">
      <c r="A436" s="8" t="str">
        <f t="shared" si="113"/>
        <v>S0435</v>
      </c>
      <c r="B436" s="3">
        <f t="shared" ca="1" si="102"/>
        <v>45676</v>
      </c>
      <c r="C436" s="3" t="str">
        <f ca="1">INDEX(Customers!$A$2:$A$21,RANDBETWEEN(1,20))</f>
        <v>C017</v>
      </c>
      <c r="D436" s="3" t="str">
        <f ca="1">INDEX(Routes!$A$2:$A$31,RANDBETWEEN(1,30))</f>
        <v>R010</v>
      </c>
      <c r="E436" s="3" t="str">
        <f ca="1">INDEX(Vehicles!$A$2:$A$21,RANDBETWEEN(1,20))</f>
        <v>V019</v>
      </c>
      <c r="F436" s="3" t="str">
        <f ca="1">INDEX(Drivers!$A$2:$A$31,RANDBETWEEN(1,30))</f>
        <v>D006</v>
      </c>
      <c r="G436" s="3">
        <f t="shared" ca="1" si="103"/>
        <v>21.4</v>
      </c>
      <c r="H436" s="3">
        <f t="shared" ca="1" si="104"/>
        <v>42693</v>
      </c>
      <c r="I436" s="3">
        <f t="shared" ca="1" si="105"/>
        <v>11954</v>
      </c>
      <c r="J436" s="3">
        <f t="shared" ca="1" si="106"/>
        <v>3870</v>
      </c>
      <c r="K436" s="3">
        <f t="shared" ca="1" si="107"/>
        <v>12</v>
      </c>
      <c r="L436" s="3">
        <f t="shared" ca="1" si="108"/>
        <v>15</v>
      </c>
      <c r="M436" s="3">
        <f t="shared" ca="1" si="109"/>
        <v>3</v>
      </c>
      <c r="N436" s="3" t="str">
        <f t="shared" ca="1" si="110"/>
        <v>Delayed</v>
      </c>
      <c r="O436" s="3" t="str">
        <f t="shared" ca="1" si="111"/>
        <v>High</v>
      </c>
      <c r="P436" s="3">
        <f t="shared" ca="1" si="112"/>
        <v>71.3</v>
      </c>
      <c r="Q436" s="1" t="str">
        <f ca="1">VLOOKUP(D436,Routes!$A$2:$D$31,2,FALSE)</f>
        <v>Bengaluru</v>
      </c>
      <c r="R436" s="1" t="str">
        <f ca="1">VLOOKUP(D436,Routes!$A$2:$D$31,3,FALSE)</f>
        <v>Hyderabad</v>
      </c>
      <c r="S436" s="3">
        <f ca="1">VLOOKUP(D436,Routes!$A$2:$D$31,4,FALSE)</f>
        <v>570</v>
      </c>
      <c r="T436" s="3" t="str">
        <f ca="1">VLOOKUP(E436,Vehicles!$A$2:$D$21,2,FALSE)</f>
        <v>Trailer</v>
      </c>
      <c r="U436" s="3">
        <f ca="1">VLOOKUP(E436,Vehicles!$A$2:$D$21,3,FALSE)</f>
        <v>35</v>
      </c>
      <c r="V436" s="3" t="str">
        <f ca="1">VLOOKUP(E436,Vehicles!$A$2:$D$21,4,FALSE)</f>
        <v>Diesel</v>
      </c>
      <c r="W436" s="3">
        <f ca="1">VLOOKUP(V436,Fuel_Rates!$A$2:$B$3,2,FALSE)</f>
        <v>95</v>
      </c>
      <c r="X436" s="3">
        <f t="shared" ca="1" si="114"/>
        <v>74.900000000000006</v>
      </c>
      <c r="Y436" s="3">
        <f t="shared" ca="1" si="115"/>
        <v>58517</v>
      </c>
      <c r="Z436" s="3" t="str">
        <f t="shared" ca="1" si="116"/>
        <v>Jan</v>
      </c>
      <c r="AA436" s="3" t="str">
        <f t="shared" ca="1" si="117"/>
        <v>Q1</v>
      </c>
      <c r="AB436" s="4" t="str">
        <f t="shared" ca="1" si="118"/>
        <v>Medium Haul</v>
      </c>
    </row>
    <row r="437" spans="1:28" x14ac:dyDescent="0.3">
      <c r="A437" s="8" t="str">
        <f t="shared" si="113"/>
        <v>S0436</v>
      </c>
      <c r="B437" s="3">
        <f t="shared" ca="1" si="102"/>
        <v>45840</v>
      </c>
      <c r="C437" s="3" t="str">
        <f ca="1">INDEX(Customers!$A$2:$A$21,RANDBETWEEN(1,20))</f>
        <v>C010</v>
      </c>
      <c r="D437" s="3" t="str">
        <f ca="1">INDEX(Routes!$A$2:$A$31,RANDBETWEEN(1,30))</f>
        <v>R010</v>
      </c>
      <c r="E437" s="3" t="str">
        <f ca="1">INDEX(Vehicles!$A$2:$A$21,RANDBETWEEN(1,20))</f>
        <v>V011</v>
      </c>
      <c r="F437" s="3" t="str">
        <f ca="1">INDEX(Drivers!$A$2:$A$31,RANDBETWEEN(1,30))</f>
        <v>D017</v>
      </c>
      <c r="G437" s="3">
        <f t="shared" ca="1" si="103"/>
        <v>9.5</v>
      </c>
      <c r="H437" s="3">
        <f t="shared" ca="1" si="104"/>
        <v>31411</v>
      </c>
      <c r="I437" s="3">
        <f t="shared" ca="1" si="105"/>
        <v>8795</v>
      </c>
      <c r="J437" s="3">
        <f t="shared" ca="1" si="106"/>
        <v>512</v>
      </c>
      <c r="K437" s="3">
        <f t="shared" ca="1" si="107"/>
        <v>14</v>
      </c>
      <c r="L437" s="3">
        <f t="shared" ca="1" si="108"/>
        <v>14</v>
      </c>
      <c r="M437" s="3">
        <f t="shared" ca="1" si="109"/>
        <v>0</v>
      </c>
      <c r="N437" s="3" t="str">
        <f t="shared" ca="1" si="110"/>
        <v>On Time</v>
      </c>
      <c r="O437" s="3" t="str">
        <f t="shared" ca="1" si="111"/>
        <v>High</v>
      </c>
      <c r="P437" s="3">
        <f t="shared" ca="1" si="112"/>
        <v>31.7</v>
      </c>
      <c r="Q437" s="1" t="str">
        <f ca="1">VLOOKUP(D437,Routes!$A$2:$D$31,2,FALSE)</f>
        <v>Bengaluru</v>
      </c>
      <c r="R437" s="1" t="str">
        <f ca="1">VLOOKUP(D437,Routes!$A$2:$D$31,3,FALSE)</f>
        <v>Hyderabad</v>
      </c>
      <c r="S437" s="3">
        <f ca="1">VLOOKUP(D437,Routes!$A$2:$D$31,4,FALSE)</f>
        <v>570</v>
      </c>
      <c r="T437" s="3" t="str">
        <f ca="1">VLOOKUP(E437,Vehicles!$A$2:$D$21,2,FALSE)</f>
        <v>Truck</v>
      </c>
      <c r="U437" s="3">
        <f ca="1">VLOOKUP(E437,Vehicles!$A$2:$D$21,3,FALSE)</f>
        <v>18</v>
      </c>
      <c r="V437" s="3" t="str">
        <f ca="1">VLOOKUP(E437,Vehicles!$A$2:$D$21,4,FALSE)</f>
        <v>CNG</v>
      </c>
      <c r="W437" s="3">
        <f ca="1">VLOOKUP(V437,Fuel_Rates!$A$2:$B$3,2,FALSE)</f>
        <v>78</v>
      </c>
      <c r="X437" s="3">
        <f t="shared" ca="1" si="114"/>
        <v>55.11</v>
      </c>
      <c r="Y437" s="3">
        <f t="shared" ca="1" si="115"/>
        <v>40718</v>
      </c>
      <c r="Z437" s="3" t="str">
        <f t="shared" ca="1" si="116"/>
        <v>Jul</v>
      </c>
      <c r="AA437" s="3" t="str">
        <f t="shared" ca="1" si="117"/>
        <v>Q3</v>
      </c>
      <c r="AB437" s="4" t="str">
        <f t="shared" ca="1" si="118"/>
        <v>Medium Haul</v>
      </c>
    </row>
    <row r="438" spans="1:28" x14ac:dyDescent="0.3">
      <c r="A438" s="8" t="str">
        <f t="shared" si="113"/>
        <v>S0437</v>
      </c>
      <c r="B438" s="3">
        <f t="shared" ca="1" si="102"/>
        <v>45956</v>
      </c>
      <c r="C438" s="3" t="str">
        <f ca="1">INDEX(Customers!$A$2:$A$21,RANDBETWEEN(1,20))</f>
        <v>C015</v>
      </c>
      <c r="D438" s="3" t="str">
        <f ca="1">INDEX(Routes!$A$2:$A$31,RANDBETWEEN(1,30))</f>
        <v>R029</v>
      </c>
      <c r="E438" s="3" t="str">
        <f ca="1">INDEX(Vehicles!$A$2:$A$21,RANDBETWEEN(1,20))</f>
        <v>V012</v>
      </c>
      <c r="F438" s="3" t="str">
        <f ca="1">INDEX(Drivers!$A$2:$A$31,RANDBETWEEN(1,30))</f>
        <v>D028</v>
      </c>
      <c r="G438" s="3">
        <f t="shared" ca="1" si="103"/>
        <v>20.5</v>
      </c>
      <c r="H438" s="3">
        <f t="shared" ca="1" si="104"/>
        <v>47488</v>
      </c>
      <c r="I438" s="3">
        <f t="shared" ca="1" si="105"/>
        <v>13297</v>
      </c>
      <c r="J438" s="3">
        <f t="shared" ca="1" si="106"/>
        <v>2967</v>
      </c>
      <c r="K438" s="3">
        <f t="shared" ca="1" si="107"/>
        <v>15</v>
      </c>
      <c r="L438" s="3">
        <f t="shared" ca="1" si="108"/>
        <v>16</v>
      </c>
      <c r="M438" s="3">
        <f t="shared" ca="1" si="109"/>
        <v>1</v>
      </c>
      <c r="N438" s="3" t="str">
        <f t="shared" ca="1" si="110"/>
        <v>On Time</v>
      </c>
      <c r="O438" s="3" t="str">
        <f t="shared" ca="1" si="111"/>
        <v>Medium</v>
      </c>
      <c r="P438" s="3">
        <f t="shared" ca="1" si="112"/>
        <v>68.3</v>
      </c>
      <c r="Q438" s="1" t="str">
        <f ca="1">VLOOKUP(D438,Routes!$A$2:$D$31,2,FALSE)</f>
        <v>Chandigarh</v>
      </c>
      <c r="R438" s="1" t="str">
        <f ca="1">VLOOKUP(D438,Routes!$A$2:$D$31,3,FALSE)</f>
        <v>Delhi</v>
      </c>
      <c r="S438" s="3">
        <f ca="1">VLOOKUP(D438,Routes!$A$2:$D$31,4,FALSE)</f>
        <v>250</v>
      </c>
      <c r="T438" s="3" t="str">
        <f ca="1">VLOOKUP(E438,Vehicles!$A$2:$D$21,2,FALSE)</f>
        <v>Truck</v>
      </c>
      <c r="U438" s="3">
        <f ca="1">VLOOKUP(E438,Vehicles!$A$2:$D$21,3,FALSE)</f>
        <v>20</v>
      </c>
      <c r="V438" s="3" t="str">
        <f ca="1">VLOOKUP(E438,Vehicles!$A$2:$D$21,4,FALSE)</f>
        <v>CNG</v>
      </c>
      <c r="W438" s="3">
        <f ca="1">VLOOKUP(V438,Fuel_Rates!$A$2:$B$3,2,FALSE)</f>
        <v>78</v>
      </c>
      <c r="X438" s="3">
        <f t="shared" ca="1" si="114"/>
        <v>189.95</v>
      </c>
      <c r="Y438" s="3">
        <f t="shared" ca="1" si="115"/>
        <v>63752</v>
      </c>
      <c r="Z438" s="3" t="str">
        <f t="shared" ca="1" si="116"/>
        <v>Oct</v>
      </c>
      <c r="AA438" s="3" t="str">
        <f t="shared" ca="1" si="117"/>
        <v>Q4</v>
      </c>
      <c r="AB438" s="4" t="str">
        <f t="shared" ca="1" si="118"/>
        <v>Short Haul</v>
      </c>
    </row>
    <row r="439" spans="1:28" x14ac:dyDescent="0.3">
      <c r="A439" s="8" t="str">
        <f t="shared" si="113"/>
        <v>S0438</v>
      </c>
      <c r="B439" s="3">
        <f t="shared" ca="1" si="102"/>
        <v>45843</v>
      </c>
      <c r="C439" s="3" t="str">
        <f ca="1">INDEX(Customers!$A$2:$A$21,RANDBETWEEN(1,20))</f>
        <v>C011</v>
      </c>
      <c r="D439" s="3" t="str">
        <f ca="1">INDEX(Routes!$A$2:$A$31,RANDBETWEEN(1,30))</f>
        <v>R012</v>
      </c>
      <c r="E439" s="3" t="str">
        <f ca="1">INDEX(Vehicles!$A$2:$A$21,RANDBETWEEN(1,20))</f>
        <v>V019</v>
      </c>
      <c r="F439" s="3" t="str">
        <f ca="1">INDEX(Drivers!$A$2:$A$31,RANDBETWEEN(1,30))</f>
        <v>D017</v>
      </c>
      <c r="G439" s="3">
        <f t="shared" ca="1" si="103"/>
        <v>29.5</v>
      </c>
      <c r="H439" s="3">
        <f t="shared" ca="1" si="104"/>
        <v>61680</v>
      </c>
      <c r="I439" s="3">
        <f t="shared" ca="1" si="105"/>
        <v>17270</v>
      </c>
      <c r="J439" s="3">
        <f t="shared" ca="1" si="106"/>
        <v>865</v>
      </c>
      <c r="K439" s="3">
        <f t="shared" ca="1" si="107"/>
        <v>28</v>
      </c>
      <c r="L439" s="3">
        <f t="shared" ca="1" si="108"/>
        <v>28</v>
      </c>
      <c r="M439" s="3">
        <f t="shared" ca="1" si="109"/>
        <v>0</v>
      </c>
      <c r="N439" s="3" t="str">
        <f t="shared" ca="1" si="110"/>
        <v>On Time</v>
      </c>
      <c r="O439" s="3" t="str">
        <f t="shared" ca="1" si="111"/>
        <v>High</v>
      </c>
      <c r="P439" s="3">
        <f t="shared" ca="1" si="112"/>
        <v>98.3</v>
      </c>
      <c r="Q439" s="1" t="str">
        <f ca="1">VLOOKUP(D439,Routes!$A$2:$D$31,2,FALSE)</f>
        <v>Chennai</v>
      </c>
      <c r="R439" s="1" t="str">
        <f ca="1">VLOOKUP(D439,Routes!$A$2:$D$31,3,FALSE)</f>
        <v>Coimbatore</v>
      </c>
      <c r="S439" s="3">
        <f ca="1">VLOOKUP(D439,Routes!$A$2:$D$31,4,FALSE)</f>
        <v>500</v>
      </c>
      <c r="T439" s="3" t="str">
        <f ca="1">VLOOKUP(E439,Vehicles!$A$2:$D$21,2,FALSE)</f>
        <v>Trailer</v>
      </c>
      <c r="U439" s="3">
        <f ca="1">VLOOKUP(E439,Vehicles!$A$2:$D$21,3,FALSE)</f>
        <v>35</v>
      </c>
      <c r="V439" s="3" t="str">
        <f ca="1">VLOOKUP(E439,Vehicles!$A$2:$D$21,4,FALSE)</f>
        <v>Diesel</v>
      </c>
      <c r="W439" s="3">
        <f ca="1">VLOOKUP(V439,Fuel_Rates!$A$2:$B$3,2,FALSE)</f>
        <v>95</v>
      </c>
      <c r="X439" s="3">
        <f t="shared" ca="1" si="114"/>
        <v>123.36</v>
      </c>
      <c r="Y439" s="3">
        <f t="shared" ca="1" si="115"/>
        <v>79815</v>
      </c>
      <c r="Z439" s="3" t="str">
        <f t="shared" ca="1" si="116"/>
        <v>Jul</v>
      </c>
      <c r="AA439" s="3" t="str">
        <f t="shared" ca="1" si="117"/>
        <v>Q3</v>
      </c>
      <c r="AB439" s="4" t="str">
        <f t="shared" ca="1" si="118"/>
        <v>Medium Haul</v>
      </c>
    </row>
    <row r="440" spans="1:28" x14ac:dyDescent="0.3">
      <c r="A440" s="8" t="str">
        <f t="shared" si="113"/>
        <v>S0439</v>
      </c>
      <c r="B440" s="3">
        <f t="shared" ca="1" si="102"/>
        <v>45993</v>
      </c>
      <c r="C440" s="3" t="str">
        <f ca="1">INDEX(Customers!$A$2:$A$21,RANDBETWEEN(1,20))</f>
        <v>C003</v>
      </c>
      <c r="D440" s="3" t="str">
        <f ca="1">INDEX(Routes!$A$2:$A$31,RANDBETWEEN(1,30))</f>
        <v>R023</v>
      </c>
      <c r="E440" s="3" t="str">
        <f ca="1">INDEX(Vehicles!$A$2:$A$21,RANDBETWEEN(1,20))</f>
        <v>V015</v>
      </c>
      <c r="F440" s="3" t="str">
        <f ca="1">INDEX(Drivers!$A$2:$A$31,RANDBETWEEN(1,30))</f>
        <v>D030</v>
      </c>
      <c r="G440" s="3">
        <f t="shared" ca="1" si="103"/>
        <v>19.3</v>
      </c>
      <c r="H440" s="3">
        <f t="shared" ca="1" si="104"/>
        <v>43916</v>
      </c>
      <c r="I440" s="3">
        <f t="shared" ca="1" si="105"/>
        <v>12296</v>
      </c>
      <c r="J440" s="3">
        <f t="shared" ca="1" si="106"/>
        <v>685</v>
      </c>
      <c r="K440" s="3">
        <f t="shared" ca="1" si="107"/>
        <v>43</v>
      </c>
      <c r="L440" s="3">
        <f t="shared" ca="1" si="108"/>
        <v>49</v>
      </c>
      <c r="M440" s="3">
        <f t="shared" ca="1" si="109"/>
        <v>6</v>
      </c>
      <c r="N440" s="3" t="str">
        <f t="shared" ca="1" si="110"/>
        <v>Delayed</v>
      </c>
      <c r="O440" s="3" t="str">
        <f t="shared" ca="1" si="111"/>
        <v>Low</v>
      </c>
      <c r="P440" s="3">
        <f t="shared" ca="1" si="112"/>
        <v>64.3</v>
      </c>
      <c r="Q440" s="1" t="str">
        <f ca="1">VLOOKUP(D440,Routes!$A$2:$D$31,2,FALSE)</f>
        <v>Kochi</v>
      </c>
      <c r="R440" s="1" t="str">
        <f ca="1">VLOOKUP(D440,Routes!$A$2:$D$31,3,FALSE)</f>
        <v>Bengaluru</v>
      </c>
      <c r="S440" s="3">
        <f ca="1">VLOOKUP(D440,Routes!$A$2:$D$31,4,FALSE)</f>
        <v>550</v>
      </c>
      <c r="T440" s="3" t="str">
        <f ca="1">VLOOKUP(E440,Vehicles!$A$2:$D$21,2,FALSE)</f>
        <v>Trailer</v>
      </c>
      <c r="U440" s="3">
        <f ca="1">VLOOKUP(E440,Vehicles!$A$2:$D$21,3,FALSE)</f>
        <v>30</v>
      </c>
      <c r="V440" s="3" t="str">
        <f ca="1">VLOOKUP(E440,Vehicles!$A$2:$D$21,4,FALSE)</f>
        <v>Diesel</v>
      </c>
      <c r="W440" s="3">
        <f ca="1">VLOOKUP(V440,Fuel_Rates!$A$2:$B$3,2,FALSE)</f>
        <v>95</v>
      </c>
      <c r="X440" s="3">
        <f t="shared" ca="1" si="114"/>
        <v>79.849999999999994</v>
      </c>
      <c r="Y440" s="3">
        <f t="shared" ca="1" si="115"/>
        <v>56897</v>
      </c>
      <c r="Z440" s="3" t="str">
        <f t="shared" ca="1" si="116"/>
        <v>Dec</v>
      </c>
      <c r="AA440" s="3" t="str">
        <f t="shared" ca="1" si="117"/>
        <v>Q4</v>
      </c>
      <c r="AB440" s="4" t="str">
        <f t="shared" ca="1" si="118"/>
        <v>Medium Haul</v>
      </c>
    </row>
    <row r="441" spans="1:28" x14ac:dyDescent="0.3">
      <c r="A441" s="8" t="str">
        <f t="shared" si="113"/>
        <v>S0440</v>
      </c>
      <c r="B441" s="3">
        <f t="shared" ca="1" si="102"/>
        <v>45730</v>
      </c>
      <c r="C441" s="3" t="str">
        <f ca="1">INDEX(Customers!$A$2:$A$21,RANDBETWEEN(1,20))</f>
        <v>C004</v>
      </c>
      <c r="D441" s="3" t="str">
        <f ca="1">INDEX(Routes!$A$2:$A$31,RANDBETWEEN(1,30))</f>
        <v>R007</v>
      </c>
      <c r="E441" s="3" t="str">
        <f ca="1">INDEX(Vehicles!$A$2:$A$21,RANDBETWEEN(1,20))</f>
        <v>V003</v>
      </c>
      <c r="F441" s="3" t="str">
        <f ca="1">INDEX(Drivers!$A$2:$A$31,RANDBETWEEN(1,30))</f>
        <v>D020</v>
      </c>
      <c r="G441" s="3">
        <f t="shared" ca="1" si="103"/>
        <v>19.7</v>
      </c>
      <c r="H441" s="3">
        <f t="shared" ca="1" si="104"/>
        <v>40844</v>
      </c>
      <c r="I441" s="3">
        <f t="shared" ca="1" si="105"/>
        <v>11436</v>
      </c>
      <c r="J441" s="3">
        <f t="shared" ca="1" si="106"/>
        <v>2239</v>
      </c>
      <c r="K441" s="3">
        <f t="shared" ca="1" si="107"/>
        <v>42</v>
      </c>
      <c r="L441" s="3">
        <f t="shared" ca="1" si="108"/>
        <v>45</v>
      </c>
      <c r="M441" s="3">
        <f t="shared" ca="1" si="109"/>
        <v>3</v>
      </c>
      <c r="N441" s="3" t="str">
        <f t="shared" ca="1" si="110"/>
        <v>Delayed</v>
      </c>
      <c r="O441" s="3" t="str">
        <f t="shared" ca="1" si="111"/>
        <v>High</v>
      </c>
      <c r="P441" s="3">
        <f t="shared" ca="1" si="112"/>
        <v>65.7</v>
      </c>
      <c r="Q441" s="1" t="str">
        <f ca="1">VLOOKUP(D441,Routes!$A$2:$D$31,2,FALSE)</f>
        <v>Delhi</v>
      </c>
      <c r="R441" s="1" t="str">
        <f ca="1">VLOOKUP(D441,Routes!$A$2:$D$31,3,FALSE)</f>
        <v>Chandigarh</v>
      </c>
      <c r="S441" s="3">
        <f ca="1">VLOOKUP(D441,Routes!$A$2:$D$31,4,FALSE)</f>
        <v>250</v>
      </c>
      <c r="T441" s="3" t="str">
        <f ca="1">VLOOKUP(E441,Vehicles!$A$2:$D$21,2,FALSE)</f>
        <v>Truck</v>
      </c>
      <c r="U441" s="3">
        <f ca="1">VLOOKUP(E441,Vehicles!$A$2:$D$21,3,FALSE)</f>
        <v>25</v>
      </c>
      <c r="V441" s="3" t="str">
        <f ca="1">VLOOKUP(E441,Vehicles!$A$2:$D$21,4,FALSE)</f>
        <v>Diesel</v>
      </c>
      <c r="W441" s="3">
        <f ca="1">VLOOKUP(V441,Fuel_Rates!$A$2:$B$3,2,FALSE)</f>
        <v>95</v>
      </c>
      <c r="X441" s="3">
        <f t="shared" ca="1" si="114"/>
        <v>163.38</v>
      </c>
      <c r="Y441" s="3">
        <f t="shared" ca="1" si="115"/>
        <v>54519</v>
      </c>
      <c r="Z441" s="3" t="str">
        <f t="shared" ca="1" si="116"/>
        <v>Mar</v>
      </c>
      <c r="AA441" s="3" t="str">
        <f t="shared" ca="1" si="117"/>
        <v>Q1</v>
      </c>
      <c r="AB441" s="4" t="str">
        <f t="shared" ca="1" si="118"/>
        <v>Short Haul</v>
      </c>
    </row>
    <row r="442" spans="1:28" x14ac:dyDescent="0.3">
      <c r="A442" s="8" t="str">
        <f t="shared" si="113"/>
        <v>S0441</v>
      </c>
      <c r="B442" s="3">
        <f t="shared" ca="1" si="102"/>
        <v>45789</v>
      </c>
      <c r="C442" s="3" t="str">
        <f ca="1">INDEX(Customers!$A$2:$A$21,RANDBETWEEN(1,20))</f>
        <v>C019</v>
      </c>
      <c r="D442" s="3" t="str">
        <f ca="1">INDEX(Routes!$A$2:$A$31,RANDBETWEEN(1,30))</f>
        <v>R005</v>
      </c>
      <c r="E442" s="3" t="str">
        <f ca="1">INDEX(Vehicles!$A$2:$A$21,RANDBETWEEN(1,20))</f>
        <v>V009</v>
      </c>
      <c r="F442" s="3" t="str">
        <f ca="1">INDEX(Drivers!$A$2:$A$31,RANDBETWEEN(1,30))</f>
        <v>D007</v>
      </c>
      <c r="G442" s="3">
        <f t="shared" ca="1" si="103"/>
        <v>9.6999999999999993</v>
      </c>
      <c r="H442" s="3">
        <f t="shared" ca="1" si="104"/>
        <v>24433</v>
      </c>
      <c r="I442" s="3">
        <f t="shared" ca="1" si="105"/>
        <v>6841</v>
      </c>
      <c r="J442" s="3">
        <f t="shared" ca="1" si="106"/>
        <v>1609</v>
      </c>
      <c r="K442" s="3">
        <f t="shared" ca="1" si="107"/>
        <v>8</v>
      </c>
      <c r="L442" s="3">
        <f t="shared" ca="1" si="108"/>
        <v>14</v>
      </c>
      <c r="M442" s="3">
        <f t="shared" ca="1" si="109"/>
        <v>6</v>
      </c>
      <c r="N442" s="3" t="str">
        <f t="shared" ca="1" si="110"/>
        <v>Delayed</v>
      </c>
      <c r="O442" s="3" t="str">
        <f t="shared" ca="1" si="111"/>
        <v>Medium</v>
      </c>
      <c r="P442" s="3">
        <f t="shared" ca="1" si="112"/>
        <v>32.299999999999997</v>
      </c>
      <c r="Q442" s="1" t="str">
        <f ca="1">VLOOKUP(D442,Routes!$A$2:$D$31,2,FALSE)</f>
        <v>Delhi</v>
      </c>
      <c r="R442" s="1" t="str">
        <f ca="1">VLOOKUP(D442,Routes!$A$2:$D$31,3,FALSE)</f>
        <v>Jaipur</v>
      </c>
      <c r="S442" s="3">
        <f ca="1">VLOOKUP(D442,Routes!$A$2:$D$31,4,FALSE)</f>
        <v>280</v>
      </c>
      <c r="T442" s="3" t="str">
        <f ca="1">VLOOKUP(E442,Vehicles!$A$2:$D$21,2,FALSE)</f>
        <v>LCV</v>
      </c>
      <c r="U442" s="3">
        <f ca="1">VLOOKUP(E442,Vehicles!$A$2:$D$21,3,FALSE)</f>
        <v>5</v>
      </c>
      <c r="V442" s="3" t="str">
        <f ca="1">VLOOKUP(E442,Vehicles!$A$2:$D$21,4,FALSE)</f>
        <v>Diesel</v>
      </c>
      <c r="W442" s="3">
        <f ca="1">VLOOKUP(V442,Fuel_Rates!$A$2:$B$3,2,FALSE)</f>
        <v>95</v>
      </c>
      <c r="X442" s="3">
        <f t="shared" ca="1" si="114"/>
        <v>87.26</v>
      </c>
      <c r="Y442" s="3">
        <f t="shared" ca="1" si="115"/>
        <v>32883</v>
      </c>
      <c r="Z442" s="3" t="str">
        <f t="shared" ca="1" si="116"/>
        <v>May</v>
      </c>
      <c r="AA442" s="3" t="str">
        <f t="shared" ca="1" si="117"/>
        <v>Q2</v>
      </c>
      <c r="AB442" s="4" t="str">
        <f t="shared" ca="1" si="118"/>
        <v>Short Haul</v>
      </c>
    </row>
    <row r="443" spans="1:28" x14ac:dyDescent="0.3">
      <c r="A443" s="8" t="str">
        <f t="shared" si="113"/>
        <v>S0442</v>
      </c>
      <c r="B443" s="3">
        <f t="shared" ca="1" si="102"/>
        <v>45724</v>
      </c>
      <c r="C443" s="3" t="str">
        <f ca="1">INDEX(Customers!$A$2:$A$21,RANDBETWEEN(1,20))</f>
        <v>C006</v>
      </c>
      <c r="D443" s="3" t="str">
        <f ca="1">INDEX(Routes!$A$2:$A$31,RANDBETWEEN(1,30))</f>
        <v>R006</v>
      </c>
      <c r="E443" s="3" t="str">
        <f ca="1">INDEX(Vehicles!$A$2:$A$21,RANDBETWEEN(1,20))</f>
        <v>V013</v>
      </c>
      <c r="F443" s="3" t="str">
        <f ca="1">INDEX(Drivers!$A$2:$A$31,RANDBETWEEN(1,30))</f>
        <v>D008</v>
      </c>
      <c r="G443" s="3">
        <f t="shared" ca="1" si="103"/>
        <v>2.4</v>
      </c>
      <c r="H443" s="3">
        <f t="shared" ca="1" si="104"/>
        <v>11458</v>
      </c>
      <c r="I443" s="3">
        <f t="shared" ca="1" si="105"/>
        <v>3208</v>
      </c>
      <c r="J443" s="3">
        <f t="shared" ca="1" si="106"/>
        <v>3571</v>
      </c>
      <c r="K443" s="3">
        <f t="shared" ca="1" si="107"/>
        <v>16</v>
      </c>
      <c r="L443" s="3">
        <f t="shared" ca="1" si="108"/>
        <v>21</v>
      </c>
      <c r="M443" s="3">
        <f t="shared" ca="1" si="109"/>
        <v>5</v>
      </c>
      <c r="N443" s="3" t="str">
        <f t="shared" ca="1" si="110"/>
        <v>Delayed</v>
      </c>
      <c r="O443" s="3" t="str">
        <f t="shared" ca="1" si="111"/>
        <v>Low</v>
      </c>
      <c r="P443" s="3">
        <f t="shared" ca="1" si="112"/>
        <v>8</v>
      </c>
      <c r="Q443" s="1" t="str">
        <f ca="1">VLOOKUP(D443,Routes!$A$2:$D$31,2,FALSE)</f>
        <v>Delhi</v>
      </c>
      <c r="R443" s="1" t="str">
        <f ca="1">VLOOKUP(D443,Routes!$A$2:$D$31,3,FALSE)</f>
        <v>Lucknow</v>
      </c>
      <c r="S443" s="3">
        <f ca="1">VLOOKUP(D443,Routes!$A$2:$D$31,4,FALSE)</f>
        <v>550</v>
      </c>
      <c r="T443" s="3" t="str">
        <f ca="1">VLOOKUP(E443,Vehicles!$A$2:$D$21,2,FALSE)</f>
        <v>LCV</v>
      </c>
      <c r="U443" s="3">
        <f ca="1">VLOOKUP(E443,Vehicles!$A$2:$D$21,3,FALSE)</f>
        <v>4</v>
      </c>
      <c r="V443" s="3" t="str">
        <f ca="1">VLOOKUP(E443,Vehicles!$A$2:$D$21,4,FALSE)</f>
        <v>CNG</v>
      </c>
      <c r="W443" s="3">
        <f ca="1">VLOOKUP(V443,Fuel_Rates!$A$2:$B$3,2,FALSE)</f>
        <v>78</v>
      </c>
      <c r="X443" s="3">
        <f t="shared" ca="1" si="114"/>
        <v>20.83</v>
      </c>
      <c r="Y443" s="3">
        <f t="shared" ca="1" si="115"/>
        <v>18237</v>
      </c>
      <c r="Z443" s="3" t="str">
        <f t="shared" ca="1" si="116"/>
        <v>Mar</v>
      </c>
      <c r="AA443" s="3" t="str">
        <f t="shared" ca="1" si="117"/>
        <v>Q1</v>
      </c>
      <c r="AB443" s="4" t="str">
        <f t="shared" ca="1" si="118"/>
        <v>Medium Haul</v>
      </c>
    </row>
    <row r="444" spans="1:28" x14ac:dyDescent="0.3">
      <c r="A444" s="8" t="str">
        <f t="shared" si="113"/>
        <v>S0443</v>
      </c>
      <c r="B444" s="3">
        <f t="shared" ca="1" si="102"/>
        <v>45771</v>
      </c>
      <c r="C444" s="3" t="str">
        <f ca="1">INDEX(Customers!$A$2:$A$21,RANDBETWEEN(1,20))</f>
        <v>C010</v>
      </c>
      <c r="D444" s="3" t="str">
        <f ca="1">INDEX(Routes!$A$2:$A$31,RANDBETWEEN(1,30))</f>
        <v>R012</v>
      </c>
      <c r="E444" s="3" t="str">
        <f ca="1">INDEX(Vehicles!$A$2:$A$21,RANDBETWEEN(1,20))</f>
        <v>V017</v>
      </c>
      <c r="F444" s="3" t="str">
        <f ca="1">INDEX(Drivers!$A$2:$A$31,RANDBETWEEN(1,30))</f>
        <v>D018</v>
      </c>
      <c r="G444" s="3">
        <f t="shared" ca="1" si="103"/>
        <v>5.9</v>
      </c>
      <c r="H444" s="3">
        <f t="shared" ca="1" si="104"/>
        <v>15792</v>
      </c>
      <c r="I444" s="3">
        <f t="shared" ca="1" si="105"/>
        <v>4422</v>
      </c>
      <c r="J444" s="3">
        <f t="shared" ca="1" si="106"/>
        <v>3202</v>
      </c>
      <c r="K444" s="3">
        <f t="shared" ca="1" si="107"/>
        <v>28</v>
      </c>
      <c r="L444" s="3">
        <f t="shared" ca="1" si="108"/>
        <v>29</v>
      </c>
      <c r="M444" s="3">
        <f t="shared" ca="1" si="109"/>
        <v>1</v>
      </c>
      <c r="N444" s="3" t="str">
        <f t="shared" ca="1" si="110"/>
        <v>On Time</v>
      </c>
      <c r="O444" s="3" t="str">
        <f t="shared" ca="1" si="111"/>
        <v>Medium</v>
      </c>
      <c r="P444" s="3">
        <f t="shared" ca="1" si="112"/>
        <v>19.7</v>
      </c>
      <c r="Q444" s="1" t="str">
        <f ca="1">VLOOKUP(D444,Routes!$A$2:$D$31,2,FALSE)</f>
        <v>Chennai</v>
      </c>
      <c r="R444" s="1" t="str">
        <f ca="1">VLOOKUP(D444,Routes!$A$2:$D$31,3,FALSE)</f>
        <v>Coimbatore</v>
      </c>
      <c r="S444" s="3">
        <f ca="1">VLOOKUP(D444,Routes!$A$2:$D$31,4,FALSE)</f>
        <v>500</v>
      </c>
      <c r="T444" s="3" t="str">
        <f ca="1">VLOOKUP(E444,Vehicles!$A$2:$D$21,2,FALSE)</f>
        <v>Truck</v>
      </c>
      <c r="U444" s="3">
        <f ca="1">VLOOKUP(E444,Vehicles!$A$2:$D$21,3,FALSE)</f>
        <v>24</v>
      </c>
      <c r="V444" s="3" t="str">
        <f ca="1">VLOOKUP(E444,Vehicles!$A$2:$D$21,4,FALSE)</f>
        <v>Diesel</v>
      </c>
      <c r="W444" s="3">
        <f ca="1">VLOOKUP(V444,Fuel_Rates!$A$2:$B$3,2,FALSE)</f>
        <v>95</v>
      </c>
      <c r="X444" s="3">
        <f t="shared" ca="1" si="114"/>
        <v>31.58</v>
      </c>
      <c r="Y444" s="3">
        <f t="shared" ca="1" si="115"/>
        <v>23416</v>
      </c>
      <c r="Z444" s="3" t="str">
        <f t="shared" ca="1" si="116"/>
        <v>Apr</v>
      </c>
      <c r="AA444" s="3" t="str">
        <f t="shared" ca="1" si="117"/>
        <v>Q2</v>
      </c>
      <c r="AB444" s="4" t="str">
        <f t="shared" ca="1" si="118"/>
        <v>Medium Haul</v>
      </c>
    </row>
    <row r="445" spans="1:28" x14ac:dyDescent="0.3">
      <c r="A445" s="8" t="str">
        <f t="shared" si="113"/>
        <v>S0444</v>
      </c>
      <c r="B445" s="3">
        <f t="shared" ca="1" si="102"/>
        <v>45693</v>
      </c>
      <c r="C445" s="3" t="str">
        <f ca="1">INDEX(Customers!$A$2:$A$21,RANDBETWEEN(1,20))</f>
        <v>C015</v>
      </c>
      <c r="D445" s="3" t="str">
        <f ca="1">INDEX(Routes!$A$2:$A$31,RANDBETWEEN(1,30))</f>
        <v>R022</v>
      </c>
      <c r="E445" s="3" t="str">
        <f ca="1">INDEX(Vehicles!$A$2:$A$21,RANDBETWEEN(1,20))</f>
        <v>V015</v>
      </c>
      <c r="F445" s="3" t="str">
        <f ca="1">INDEX(Drivers!$A$2:$A$31,RANDBETWEEN(1,30))</f>
        <v>D029</v>
      </c>
      <c r="G445" s="3">
        <f t="shared" ca="1" si="103"/>
        <v>6.4</v>
      </c>
      <c r="H445" s="3">
        <f t="shared" ca="1" si="104"/>
        <v>22208</v>
      </c>
      <c r="I445" s="3">
        <f t="shared" ca="1" si="105"/>
        <v>6218</v>
      </c>
      <c r="J445" s="3">
        <f t="shared" ca="1" si="106"/>
        <v>1371</v>
      </c>
      <c r="K445" s="3">
        <f t="shared" ca="1" si="107"/>
        <v>17</v>
      </c>
      <c r="L445" s="3">
        <f t="shared" ca="1" si="108"/>
        <v>24</v>
      </c>
      <c r="M445" s="3">
        <f t="shared" ca="1" si="109"/>
        <v>7</v>
      </c>
      <c r="N445" s="3" t="str">
        <f t="shared" ca="1" si="110"/>
        <v>Delayed</v>
      </c>
      <c r="O445" s="3" t="str">
        <f t="shared" ca="1" si="111"/>
        <v>Low</v>
      </c>
      <c r="P445" s="3">
        <f t="shared" ca="1" si="112"/>
        <v>21.3</v>
      </c>
      <c r="Q445" s="1" t="str">
        <f ca="1">VLOOKUP(D445,Routes!$A$2:$D$31,2,FALSE)</f>
        <v>Jaipur</v>
      </c>
      <c r="R445" s="1" t="str">
        <f ca="1">VLOOKUP(D445,Routes!$A$2:$D$31,3,FALSE)</f>
        <v>Indore</v>
      </c>
      <c r="S445" s="3">
        <f ca="1">VLOOKUP(D445,Routes!$A$2:$D$31,4,FALSE)</f>
        <v>600</v>
      </c>
      <c r="T445" s="3" t="str">
        <f ca="1">VLOOKUP(E445,Vehicles!$A$2:$D$21,2,FALSE)</f>
        <v>Trailer</v>
      </c>
      <c r="U445" s="3">
        <f ca="1">VLOOKUP(E445,Vehicles!$A$2:$D$21,3,FALSE)</f>
        <v>30</v>
      </c>
      <c r="V445" s="3" t="str">
        <f ca="1">VLOOKUP(E445,Vehicles!$A$2:$D$21,4,FALSE)</f>
        <v>Diesel</v>
      </c>
      <c r="W445" s="3">
        <f ca="1">VLOOKUP(V445,Fuel_Rates!$A$2:$B$3,2,FALSE)</f>
        <v>95</v>
      </c>
      <c r="X445" s="3">
        <f t="shared" ca="1" si="114"/>
        <v>37.01</v>
      </c>
      <c r="Y445" s="3">
        <f t="shared" ca="1" si="115"/>
        <v>29797</v>
      </c>
      <c r="Z445" s="3" t="str">
        <f t="shared" ca="1" si="116"/>
        <v>Feb</v>
      </c>
      <c r="AA445" s="3" t="str">
        <f t="shared" ca="1" si="117"/>
        <v>Q1</v>
      </c>
      <c r="AB445" s="4" t="str">
        <f t="shared" ca="1" si="118"/>
        <v>Medium Haul</v>
      </c>
    </row>
    <row r="446" spans="1:28" x14ac:dyDescent="0.3">
      <c r="A446" s="8" t="str">
        <f t="shared" si="113"/>
        <v>S0445</v>
      </c>
      <c r="B446" s="3">
        <f t="shared" ca="1" si="102"/>
        <v>45791</v>
      </c>
      <c r="C446" s="3" t="str">
        <f ca="1">INDEX(Customers!$A$2:$A$21,RANDBETWEEN(1,20))</f>
        <v>C008</v>
      </c>
      <c r="D446" s="3" t="str">
        <f ca="1">INDEX(Routes!$A$2:$A$31,RANDBETWEEN(1,30))</f>
        <v>R006</v>
      </c>
      <c r="E446" s="3" t="str">
        <f ca="1">INDEX(Vehicles!$A$2:$A$21,RANDBETWEEN(1,20))</f>
        <v>V003</v>
      </c>
      <c r="F446" s="3" t="str">
        <f ca="1">INDEX(Drivers!$A$2:$A$31,RANDBETWEEN(1,30))</f>
        <v>D011</v>
      </c>
      <c r="G446" s="3">
        <f t="shared" ca="1" si="103"/>
        <v>20.100000000000001</v>
      </c>
      <c r="H446" s="3">
        <f t="shared" ca="1" si="104"/>
        <v>45701</v>
      </c>
      <c r="I446" s="3">
        <f t="shared" ca="1" si="105"/>
        <v>12796</v>
      </c>
      <c r="J446" s="3">
        <f t="shared" ca="1" si="106"/>
        <v>2372</v>
      </c>
      <c r="K446" s="3">
        <f t="shared" ca="1" si="107"/>
        <v>23</v>
      </c>
      <c r="L446" s="3">
        <f t="shared" ca="1" si="108"/>
        <v>31</v>
      </c>
      <c r="M446" s="3">
        <f t="shared" ca="1" si="109"/>
        <v>8</v>
      </c>
      <c r="N446" s="3" t="str">
        <f t="shared" ca="1" si="110"/>
        <v>Delayed</v>
      </c>
      <c r="O446" s="3" t="str">
        <f t="shared" ca="1" si="111"/>
        <v>Medium</v>
      </c>
      <c r="P446" s="3">
        <f t="shared" ca="1" si="112"/>
        <v>67</v>
      </c>
      <c r="Q446" s="1" t="str">
        <f ca="1">VLOOKUP(D446,Routes!$A$2:$D$31,2,FALSE)</f>
        <v>Delhi</v>
      </c>
      <c r="R446" s="1" t="str">
        <f ca="1">VLOOKUP(D446,Routes!$A$2:$D$31,3,FALSE)</f>
        <v>Lucknow</v>
      </c>
      <c r="S446" s="3">
        <f ca="1">VLOOKUP(D446,Routes!$A$2:$D$31,4,FALSE)</f>
        <v>550</v>
      </c>
      <c r="T446" s="3" t="str">
        <f ca="1">VLOOKUP(E446,Vehicles!$A$2:$D$21,2,FALSE)</f>
        <v>Truck</v>
      </c>
      <c r="U446" s="3">
        <f ca="1">VLOOKUP(E446,Vehicles!$A$2:$D$21,3,FALSE)</f>
        <v>25</v>
      </c>
      <c r="V446" s="3" t="str">
        <f ca="1">VLOOKUP(E446,Vehicles!$A$2:$D$21,4,FALSE)</f>
        <v>Diesel</v>
      </c>
      <c r="W446" s="3">
        <f ca="1">VLOOKUP(V446,Fuel_Rates!$A$2:$B$3,2,FALSE)</f>
        <v>95</v>
      </c>
      <c r="X446" s="3">
        <f t="shared" ca="1" si="114"/>
        <v>83.09</v>
      </c>
      <c r="Y446" s="3">
        <f t="shared" ca="1" si="115"/>
        <v>60869</v>
      </c>
      <c r="Z446" s="3" t="str">
        <f t="shared" ca="1" si="116"/>
        <v>May</v>
      </c>
      <c r="AA446" s="3" t="str">
        <f t="shared" ca="1" si="117"/>
        <v>Q2</v>
      </c>
      <c r="AB446" s="4" t="str">
        <f t="shared" ca="1" si="118"/>
        <v>Medium Haul</v>
      </c>
    </row>
    <row r="447" spans="1:28" x14ac:dyDescent="0.3">
      <c r="A447" s="8" t="str">
        <f t="shared" si="113"/>
        <v>S0446</v>
      </c>
      <c r="B447" s="3">
        <f t="shared" ca="1" si="102"/>
        <v>45795</v>
      </c>
      <c r="C447" s="3" t="str">
        <f ca="1">INDEX(Customers!$A$2:$A$21,RANDBETWEEN(1,20))</f>
        <v>C019</v>
      </c>
      <c r="D447" s="3" t="str">
        <f ca="1">INDEX(Routes!$A$2:$A$31,RANDBETWEEN(1,30))</f>
        <v>R010</v>
      </c>
      <c r="E447" s="3" t="str">
        <f ca="1">INDEX(Vehicles!$A$2:$A$21,RANDBETWEEN(1,20))</f>
        <v>V002</v>
      </c>
      <c r="F447" s="3" t="str">
        <f ca="1">INDEX(Drivers!$A$2:$A$31,RANDBETWEEN(1,30))</f>
        <v>D014</v>
      </c>
      <c r="G447" s="3">
        <f t="shared" ca="1" si="103"/>
        <v>29.5</v>
      </c>
      <c r="H447" s="3">
        <f t="shared" ca="1" si="104"/>
        <v>67462</v>
      </c>
      <c r="I447" s="3">
        <f t="shared" ca="1" si="105"/>
        <v>18889</v>
      </c>
      <c r="J447" s="3">
        <f t="shared" ca="1" si="106"/>
        <v>3417</v>
      </c>
      <c r="K447" s="3">
        <f t="shared" ca="1" si="107"/>
        <v>18</v>
      </c>
      <c r="L447" s="3">
        <f t="shared" ca="1" si="108"/>
        <v>21</v>
      </c>
      <c r="M447" s="3">
        <f t="shared" ca="1" si="109"/>
        <v>3</v>
      </c>
      <c r="N447" s="3" t="str">
        <f t="shared" ca="1" si="110"/>
        <v>Delayed</v>
      </c>
      <c r="O447" s="3" t="str">
        <f t="shared" ca="1" si="111"/>
        <v>Medium</v>
      </c>
      <c r="P447" s="3">
        <f t="shared" ca="1" si="112"/>
        <v>98.3</v>
      </c>
      <c r="Q447" s="1" t="str">
        <f ca="1">VLOOKUP(D447,Routes!$A$2:$D$31,2,FALSE)</f>
        <v>Bengaluru</v>
      </c>
      <c r="R447" s="1" t="str">
        <f ca="1">VLOOKUP(D447,Routes!$A$2:$D$31,3,FALSE)</f>
        <v>Hyderabad</v>
      </c>
      <c r="S447" s="3">
        <f ca="1">VLOOKUP(D447,Routes!$A$2:$D$31,4,FALSE)</f>
        <v>570</v>
      </c>
      <c r="T447" s="3" t="str">
        <f ca="1">VLOOKUP(E447,Vehicles!$A$2:$D$21,2,FALSE)</f>
        <v>Truck</v>
      </c>
      <c r="U447" s="3">
        <f ca="1">VLOOKUP(E447,Vehicles!$A$2:$D$21,3,FALSE)</f>
        <v>20</v>
      </c>
      <c r="V447" s="3" t="str">
        <f ca="1">VLOOKUP(E447,Vehicles!$A$2:$D$21,4,FALSE)</f>
        <v>Diesel</v>
      </c>
      <c r="W447" s="3">
        <f ca="1">VLOOKUP(V447,Fuel_Rates!$A$2:$B$3,2,FALSE)</f>
        <v>95</v>
      </c>
      <c r="X447" s="3">
        <f t="shared" ca="1" si="114"/>
        <v>118.35</v>
      </c>
      <c r="Y447" s="3">
        <f t="shared" ca="1" si="115"/>
        <v>89768</v>
      </c>
      <c r="Z447" s="3" t="str">
        <f t="shared" ca="1" si="116"/>
        <v>May</v>
      </c>
      <c r="AA447" s="3" t="str">
        <f t="shared" ca="1" si="117"/>
        <v>Q2</v>
      </c>
      <c r="AB447" s="4" t="str">
        <f t="shared" ca="1" si="118"/>
        <v>Medium Haul</v>
      </c>
    </row>
    <row r="448" spans="1:28" x14ac:dyDescent="0.3">
      <c r="A448" s="8" t="str">
        <f t="shared" si="113"/>
        <v>S0447</v>
      </c>
      <c r="B448" s="3">
        <f t="shared" ca="1" si="102"/>
        <v>45683</v>
      </c>
      <c r="C448" s="3" t="str">
        <f ca="1">INDEX(Customers!$A$2:$A$21,RANDBETWEEN(1,20))</f>
        <v>C004</v>
      </c>
      <c r="D448" s="3" t="str">
        <f ca="1">INDEX(Routes!$A$2:$A$31,RANDBETWEEN(1,30))</f>
        <v>R011</v>
      </c>
      <c r="E448" s="3" t="str">
        <f ca="1">INDEX(Vehicles!$A$2:$A$21,RANDBETWEEN(1,20))</f>
        <v>V005</v>
      </c>
      <c r="F448" s="3" t="str">
        <f ca="1">INDEX(Drivers!$A$2:$A$31,RANDBETWEEN(1,30))</f>
        <v>D014</v>
      </c>
      <c r="G448" s="3">
        <f t="shared" ca="1" si="103"/>
        <v>4.5999999999999996</v>
      </c>
      <c r="H448" s="3">
        <f t="shared" ca="1" si="104"/>
        <v>17165</v>
      </c>
      <c r="I448" s="3">
        <f t="shared" ca="1" si="105"/>
        <v>4806</v>
      </c>
      <c r="J448" s="3">
        <f t="shared" ca="1" si="106"/>
        <v>2006</v>
      </c>
      <c r="K448" s="3">
        <f t="shared" ca="1" si="107"/>
        <v>47</v>
      </c>
      <c r="L448" s="3">
        <f t="shared" ca="1" si="108"/>
        <v>48</v>
      </c>
      <c r="M448" s="3">
        <f t="shared" ca="1" si="109"/>
        <v>1</v>
      </c>
      <c r="N448" s="3" t="str">
        <f t="shared" ca="1" si="110"/>
        <v>On Time</v>
      </c>
      <c r="O448" s="3" t="str">
        <f t="shared" ca="1" si="111"/>
        <v>Low</v>
      </c>
      <c r="P448" s="3">
        <f t="shared" ca="1" si="112"/>
        <v>15.3</v>
      </c>
      <c r="Q448" s="1" t="str">
        <f ca="1">VLOOKUP(D448,Routes!$A$2:$D$31,2,FALSE)</f>
        <v>Bengaluru</v>
      </c>
      <c r="R448" s="1" t="str">
        <f ca="1">VLOOKUP(D448,Routes!$A$2:$D$31,3,FALSE)</f>
        <v>Kochi</v>
      </c>
      <c r="S448" s="3">
        <f ca="1">VLOOKUP(D448,Routes!$A$2:$D$31,4,FALSE)</f>
        <v>550</v>
      </c>
      <c r="T448" s="3" t="str">
        <f ca="1">VLOOKUP(E448,Vehicles!$A$2:$D$21,2,FALSE)</f>
        <v>Trailer</v>
      </c>
      <c r="U448" s="3">
        <f ca="1">VLOOKUP(E448,Vehicles!$A$2:$D$21,3,FALSE)</f>
        <v>32</v>
      </c>
      <c r="V448" s="3" t="str">
        <f ca="1">VLOOKUP(E448,Vehicles!$A$2:$D$21,4,FALSE)</f>
        <v>Diesel</v>
      </c>
      <c r="W448" s="3">
        <f ca="1">VLOOKUP(V448,Fuel_Rates!$A$2:$B$3,2,FALSE)</f>
        <v>95</v>
      </c>
      <c r="X448" s="3">
        <f t="shared" ca="1" si="114"/>
        <v>31.21</v>
      </c>
      <c r="Y448" s="3">
        <f t="shared" ca="1" si="115"/>
        <v>23977</v>
      </c>
      <c r="Z448" s="3" t="str">
        <f t="shared" ca="1" si="116"/>
        <v>Jan</v>
      </c>
      <c r="AA448" s="3" t="str">
        <f t="shared" ca="1" si="117"/>
        <v>Q1</v>
      </c>
      <c r="AB448" s="4" t="str">
        <f t="shared" ca="1" si="118"/>
        <v>Medium Haul</v>
      </c>
    </row>
    <row r="449" spans="1:28" x14ac:dyDescent="0.3">
      <c r="A449" s="8" t="str">
        <f t="shared" si="113"/>
        <v>S0448</v>
      </c>
      <c r="B449" s="3">
        <f t="shared" ca="1" si="102"/>
        <v>45797</v>
      </c>
      <c r="C449" s="3" t="str">
        <f ca="1">INDEX(Customers!$A$2:$A$21,RANDBETWEEN(1,20))</f>
        <v>C015</v>
      </c>
      <c r="D449" s="3" t="str">
        <f ca="1">INDEX(Routes!$A$2:$A$31,RANDBETWEEN(1,30))</f>
        <v>R011</v>
      </c>
      <c r="E449" s="3" t="str">
        <f ca="1">INDEX(Vehicles!$A$2:$A$21,RANDBETWEEN(1,20))</f>
        <v>V020</v>
      </c>
      <c r="F449" s="3" t="str">
        <f ca="1">INDEX(Drivers!$A$2:$A$31,RANDBETWEEN(1,30))</f>
        <v>D015</v>
      </c>
      <c r="G449" s="3">
        <f t="shared" ca="1" si="103"/>
        <v>26.4</v>
      </c>
      <c r="H449" s="3">
        <f t="shared" ca="1" si="104"/>
        <v>54014</v>
      </c>
      <c r="I449" s="3">
        <f t="shared" ca="1" si="105"/>
        <v>15124</v>
      </c>
      <c r="J449" s="3">
        <f t="shared" ca="1" si="106"/>
        <v>914</v>
      </c>
      <c r="K449" s="3">
        <f t="shared" ca="1" si="107"/>
        <v>28</v>
      </c>
      <c r="L449" s="3">
        <f t="shared" ca="1" si="108"/>
        <v>32</v>
      </c>
      <c r="M449" s="3">
        <f t="shared" ca="1" si="109"/>
        <v>4</v>
      </c>
      <c r="N449" s="3" t="str">
        <f t="shared" ca="1" si="110"/>
        <v>Delayed</v>
      </c>
      <c r="O449" s="3" t="str">
        <f t="shared" ca="1" si="111"/>
        <v>High</v>
      </c>
      <c r="P449" s="3">
        <f t="shared" ca="1" si="112"/>
        <v>88</v>
      </c>
      <c r="Q449" s="1" t="str">
        <f ca="1">VLOOKUP(D449,Routes!$A$2:$D$31,2,FALSE)</f>
        <v>Bengaluru</v>
      </c>
      <c r="R449" s="1" t="str">
        <f ca="1">VLOOKUP(D449,Routes!$A$2:$D$31,3,FALSE)</f>
        <v>Kochi</v>
      </c>
      <c r="S449" s="3">
        <f ca="1">VLOOKUP(D449,Routes!$A$2:$D$31,4,FALSE)</f>
        <v>550</v>
      </c>
      <c r="T449" s="3" t="str">
        <f ca="1">VLOOKUP(E449,Vehicles!$A$2:$D$21,2,FALSE)</f>
        <v>Container</v>
      </c>
      <c r="U449" s="3">
        <f ca="1">VLOOKUP(E449,Vehicles!$A$2:$D$21,3,FALSE)</f>
        <v>28</v>
      </c>
      <c r="V449" s="3" t="str">
        <f ca="1">VLOOKUP(E449,Vehicles!$A$2:$D$21,4,FALSE)</f>
        <v>Diesel</v>
      </c>
      <c r="W449" s="3">
        <f ca="1">VLOOKUP(V449,Fuel_Rates!$A$2:$B$3,2,FALSE)</f>
        <v>95</v>
      </c>
      <c r="X449" s="3">
        <f t="shared" ca="1" si="114"/>
        <v>98.21</v>
      </c>
      <c r="Y449" s="3">
        <f t="shared" ca="1" si="115"/>
        <v>70052</v>
      </c>
      <c r="Z449" s="3" t="str">
        <f t="shared" ca="1" si="116"/>
        <v>May</v>
      </c>
      <c r="AA449" s="3" t="str">
        <f t="shared" ca="1" si="117"/>
        <v>Q2</v>
      </c>
      <c r="AB449" s="4" t="str">
        <f t="shared" ca="1" si="118"/>
        <v>Medium Haul</v>
      </c>
    </row>
    <row r="450" spans="1:28" x14ac:dyDescent="0.3">
      <c r="A450" s="8" t="str">
        <f t="shared" si="113"/>
        <v>S0449</v>
      </c>
      <c r="B450" s="3">
        <f t="shared" ref="B450:B513" ca="1" si="119">DATE(2025,RANDBETWEEN(1,12),RANDBETWEEN(1,28))</f>
        <v>45846</v>
      </c>
      <c r="C450" s="3" t="str">
        <f ca="1">INDEX(Customers!$A$2:$A$21,RANDBETWEEN(1,20))</f>
        <v>C020</v>
      </c>
      <c r="D450" s="3" t="str">
        <f ca="1">INDEX(Routes!$A$2:$A$31,RANDBETWEEN(1,30))</f>
        <v>R021</v>
      </c>
      <c r="E450" s="3" t="str">
        <f ca="1">INDEX(Vehicles!$A$2:$A$21,RANDBETWEEN(1,20))</f>
        <v>V019</v>
      </c>
      <c r="F450" s="3" t="str">
        <f ca="1">INDEX(Drivers!$A$2:$A$31,RANDBETWEEN(1,30))</f>
        <v>D029</v>
      </c>
      <c r="G450" s="3">
        <f t="shared" ref="G450:G513" ca="1" si="120">ROUND(RANDBETWEEN(20,300)/10,1)</f>
        <v>12.2</v>
      </c>
      <c r="H450" s="3">
        <f t="shared" ref="H450:H513" ca="1" si="121">ROUND((G450*1800)+RANDBETWEEN(3000,15000),0)</f>
        <v>33458</v>
      </c>
      <c r="I450" s="3">
        <f t="shared" ref="I450:I513" ca="1" si="122">ROUND(H450*0.28,0)</f>
        <v>9368</v>
      </c>
      <c r="J450" s="3">
        <f t="shared" ref="J450:J513" ca="1" si="123">RANDBETWEEN(500,4000)</f>
        <v>3403</v>
      </c>
      <c r="K450" s="3">
        <f t="shared" ref="K450:K513" ca="1" si="124">RANDBETWEEN(4,48)</f>
        <v>38</v>
      </c>
      <c r="L450" s="3">
        <f t="shared" ref="L450:L513" ca="1" si="125">K450+RANDBETWEEN(0,8)</f>
        <v>42</v>
      </c>
      <c r="M450" s="3">
        <f t="shared" ref="M450:M513" ca="1" si="126">L450-K450</f>
        <v>4</v>
      </c>
      <c r="N450" s="3" t="str">
        <f t="shared" ref="N450:N513" ca="1" si="127">IF(M450&lt;=2,"On Time","Delayed")</f>
        <v>Delayed</v>
      </c>
      <c r="O450" s="3" t="str">
        <f t="shared" ref="O450:O513" ca="1" si="128">CHOOSE(RANDBETWEEN(1,3),"High","Medium","Low")</f>
        <v>Low</v>
      </c>
      <c r="P450" s="3">
        <f t="shared" ref="P450:P513" ca="1" si="129">ROUND((G450/30)*100,1)</f>
        <v>40.700000000000003</v>
      </c>
      <c r="Q450" s="1" t="str">
        <f ca="1">VLOOKUP(D450,Routes!$A$2:$D$31,2,FALSE)</f>
        <v>Lucknow</v>
      </c>
      <c r="R450" s="1" t="str">
        <f ca="1">VLOOKUP(D450,Routes!$A$2:$D$31,3,FALSE)</f>
        <v>Kanpur</v>
      </c>
      <c r="S450" s="3">
        <f ca="1">VLOOKUP(D450,Routes!$A$2:$D$31,4,FALSE)</f>
        <v>90</v>
      </c>
      <c r="T450" s="3" t="str">
        <f ca="1">VLOOKUP(E450,Vehicles!$A$2:$D$21,2,FALSE)</f>
        <v>Trailer</v>
      </c>
      <c r="U450" s="3">
        <f ca="1">VLOOKUP(E450,Vehicles!$A$2:$D$21,3,FALSE)</f>
        <v>35</v>
      </c>
      <c r="V450" s="3" t="str">
        <f ca="1">VLOOKUP(E450,Vehicles!$A$2:$D$21,4,FALSE)</f>
        <v>Diesel</v>
      </c>
      <c r="W450" s="3">
        <f ca="1">VLOOKUP(V450,Fuel_Rates!$A$2:$B$3,2,FALSE)</f>
        <v>95</v>
      </c>
      <c r="X450" s="3">
        <f t="shared" ca="1" si="114"/>
        <v>371.76</v>
      </c>
      <c r="Y450" s="3">
        <f t="shared" ca="1" si="115"/>
        <v>46229</v>
      </c>
      <c r="Z450" s="3" t="str">
        <f t="shared" ca="1" si="116"/>
        <v>Jul</v>
      </c>
      <c r="AA450" s="3" t="str">
        <f t="shared" ca="1" si="117"/>
        <v>Q3</v>
      </c>
      <c r="AB450" s="4" t="str">
        <f t="shared" ca="1" si="118"/>
        <v>Short Haul</v>
      </c>
    </row>
    <row r="451" spans="1:28" x14ac:dyDescent="0.3">
      <c r="A451" s="8" t="str">
        <f t="shared" ref="A451:A514" si="130">"S"&amp;TEXT(ROW()-1,"0000")</f>
        <v>S0450</v>
      </c>
      <c r="B451" s="3">
        <f t="shared" ca="1" si="119"/>
        <v>45749</v>
      </c>
      <c r="C451" s="3" t="str">
        <f ca="1">INDEX(Customers!$A$2:$A$21,RANDBETWEEN(1,20))</f>
        <v>C011</v>
      </c>
      <c r="D451" s="3" t="str">
        <f ca="1">INDEX(Routes!$A$2:$A$31,RANDBETWEEN(1,30))</f>
        <v>R022</v>
      </c>
      <c r="E451" s="3" t="str">
        <f ca="1">INDEX(Vehicles!$A$2:$A$21,RANDBETWEEN(1,20))</f>
        <v>V020</v>
      </c>
      <c r="F451" s="3" t="str">
        <f ca="1">INDEX(Drivers!$A$2:$A$31,RANDBETWEEN(1,30))</f>
        <v>D027</v>
      </c>
      <c r="G451" s="3">
        <f t="shared" ca="1" si="120"/>
        <v>16.2</v>
      </c>
      <c r="H451" s="3">
        <f t="shared" ca="1" si="121"/>
        <v>42867</v>
      </c>
      <c r="I451" s="3">
        <f t="shared" ca="1" si="122"/>
        <v>12003</v>
      </c>
      <c r="J451" s="3">
        <f t="shared" ca="1" si="123"/>
        <v>3883</v>
      </c>
      <c r="K451" s="3">
        <f t="shared" ca="1" si="124"/>
        <v>22</v>
      </c>
      <c r="L451" s="3">
        <f t="shared" ca="1" si="125"/>
        <v>24</v>
      </c>
      <c r="M451" s="3">
        <f t="shared" ca="1" si="126"/>
        <v>2</v>
      </c>
      <c r="N451" s="3" t="str">
        <f t="shared" ca="1" si="127"/>
        <v>On Time</v>
      </c>
      <c r="O451" s="3" t="str">
        <f t="shared" ca="1" si="128"/>
        <v>Low</v>
      </c>
      <c r="P451" s="3">
        <f t="shared" ca="1" si="129"/>
        <v>54</v>
      </c>
      <c r="Q451" s="1" t="str">
        <f ca="1">VLOOKUP(D451,Routes!$A$2:$D$31,2,FALSE)</f>
        <v>Jaipur</v>
      </c>
      <c r="R451" s="1" t="str">
        <f ca="1">VLOOKUP(D451,Routes!$A$2:$D$31,3,FALSE)</f>
        <v>Indore</v>
      </c>
      <c r="S451" s="3">
        <f ca="1">VLOOKUP(D451,Routes!$A$2:$D$31,4,FALSE)</f>
        <v>600</v>
      </c>
      <c r="T451" s="3" t="str">
        <f ca="1">VLOOKUP(E451,Vehicles!$A$2:$D$21,2,FALSE)</f>
        <v>Container</v>
      </c>
      <c r="U451" s="3">
        <f ca="1">VLOOKUP(E451,Vehicles!$A$2:$D$21,3,FALSE)</f>
        <v>28</v>
      </c>
      <c r="V451" s="3" t="str">
        <f ca="1">VLOOKUP(E451,Vehicles!$A$2:$D$21,4,FALSE)</f>
        <v>Diesel</v>
      </c>
      <c r="W451" s="3">
        <f ca="1">VLOOKUP(V451,Fuel_Rates!$A$2:$B$3,2,FALSE)</f>
        <v>95</v>
      </c>
      <c r="X451" s="3">
        <f t="shared" ref="X451:X514" ca="1" si="131">ROUND(H451/S451,2)</f>
        <v>71.45</v>
      </c>
      <c r="Y451" s="3">
        <f t="shared" ref="Y451:Y514" ca="1" si="132">H451+I451+J451</f>
        <v>58753</v>
      </c>
      <c r="Z451" s="3" t="str">
        <f t="shared" ref="Z451:Z514" ca="1" si="133">TEXT(B451,"mmm")</f>
        <v>Apr</v>
      </c>
      <c r="AA451" s="3" t="str">
        <f t="shared" ref="AA451:AA514" ca="1" si="134">"Q"&amp;ROUNDUP(MONTH(B451)/3,0)</f>
        <v>Q2</v>
      </c>
      <c r="AB451" s="4" t="str">
        <f t="shared" ref="AB451:AB514" ca="1" si="135">IF(S451&lt;300,"Short Haul",IF(S451&lt;800,"Medium Haul","Long Haul"))</f>
        <v>Medium Haul</v>
      </c>
    </row>
    <row r="452" spans="1:28" x14ac:dyDescent="0.3">
      <c r="A452" s="8" t="str">
        <f t="shared" si="130"/>
        <v>S0451</v>
      </c>
      <c r="B452" s="3">
        <f t="shared" ca="1" si="119"/>
        <v>45665</v>
      </c>
      <c r="C452" s="3" t="str">
        <f ca="1">INDEX(Customers!$A$2:$A$21,RANDBETWEEN(1,20))</f>
        <v>C017</v>
      </c>
      <c r="D452" s="3" t="str">
        <f ca="1">INDEX(Routes!$A$2:$A$31,RANDBETWEEN(1,30))</f>
        <v>R015</v>
      </c>
      <c r="E452" s="3" t="str">
        <f ca="1">INDEX(Vehicles!$A$2:$A$21,RANDBETWEEN(1,20))</f>
        <v>V018</v>
      </c>
      <c r="F452" s="3" t="str">
        <f ca="1">INDEX(Drivers!$A$2:$A$31,RANDBETWEEN(1,30))</f>
        <v>D022</v>
      </c>
      <c r="G452" s="3">
        <f t="shared" ca="1" si="120"/>
        <v>21.9</v>
      </c>
      <c r="H452" s="3">
        <f t="shared" ca="1" si="121"/>
        <v>48237</v>
      </c>
      <c r="I452" s="3">
        <f t="shared" ca="1" si="122"/>
        <v>13506</v>
      </c>
      <c r="J452" s="3">
        <f t="shared" ca="1" si="123"/>
        <v>2315</v>
      </c>
      <c r="K452" s="3">
        <f t="shared" ca="1" si="124"/>
        <v>38</v>
      </c>
      <c r="L452" s="3">
        <f t="shared" ca="1" si="125"/>
        <v>42</v>
      </c>
      <c r="M452" s="3">
        <f t="shared" ca="1" si="126"/>
        <v>4</v>
      </c>
      <c r="N452" s="3" t="str">
        <f t="shared" ca="1" si="127"/>
        <v>Delayed</v>
      </c>
      <c r="O452" s="3" t="str">
        <f t="shared" ca="1" si="128"/>
        <v>High</v>
      </c>
      <c r="P452" s="3">
        <f t="shared" ca="1" si="129"/>
        <v>73</v>
      </c>
      <c r="Q452" s="1" t="str">
        <f ca="1">VLOOKUP(D452,Routes!$A$2:$D$31,2,FALSE)</f>
        <v>Hyderabad</v>
      </c>
      <c r="R452" s="1" t="str">
        <f ca="1">VLOOKUP(D452,Routes!$A$2:$D$31,3,FALSE)</f>
        <v>Pune</v>
      </c>
      <c r="S452" s="3">
        <f ca="1">VLOOKUP(D452,Routes!$A$2:$D$31,4,FALSE)</f>
        <v>560</v>
      </c>
      <c r="T452" s="3" t="str">
        <f ca="1">VLOOKUP(E452,Vehicles!$A$2:$D$21,2,FALSE)</f>
        <v>Truck</v>
      </c>
      <c r="U452" s="3">
        <f ca="1">VLOOKUP(E452,Vehicles!$A$2:$D$21,3,FALSE)</f>
        <v>26</v>
      </c>
      <c r="V452" s="3" t="str">
        <f ca="1">VLOOKUP(E452,Vehicles!$A$2:$D$21,4,FALSE)</f>
        <v>Diesel</v>
      </c>
      <c r="W452" s="3">
        <f ca="1">VLOOKUP(V452,Fuel_Rates!$A$2:$B$3,2,FALSE)</f>
        <v>95</v>
      </c>
      <c r="X452" s="3">
        <f t="shared" ca="1" si="131"/>
        <v>86.14</v>
      </c>
      <c r="Y452" s="3">
        <f t="shared" ca="1" si="132"/>
        <v>64058</v>
      </c>
      <c r="Z452" s="3" t="str">
        <f t="shared" ca="1" si="133"/>
        <v>Jan</v>
      </c>
      <c r="AA452" s="3" t="str">
        <f t="shared" ca="1" si="134"/>
        <v>Q1</v>
      </c>
      <c r="AB452" s="4" t="str">
        <f t="shared" ca="1" si="135"/>
        <v>Medium Haul</v>
      </c>
    </row>
    <row r="453" spans="1:28" x14ac:dyDescent="0.3">
      <c r="A453" s="8" t="str">
        <f t="shared" si="130"/>
        <v>S0452</v>
      </c>
      <c r="B453" s="3">
        <f t="shared" ca="1" si="119"/>
        <v>45709</v>
      </c>
      <c r="C453" s="3" t="str">
        <f ca="1">INDEX(Customers!$A$2:$A$21,RANDBETWEEN(1,20))</f>
        <v>C009</v>
      </c>
      <c r="D453" s="3" t="str">
        <f ca="1">INDEX(Routes!$A$2:$A$31,RANDBETWEEN(1,30))</f>
        <v>R004</v>
      </c>
      <c r="E453" s="3" t="str">
        <f ca="1">INDEX(Vehicles!$A$2:$A$21,RANDBETWEEN(1,20))</f>
        <v>V003</v>
      </c>
      <c r="F453" s="3" t="str">
        <f ca="1">INDEX(Drivers!$A$2:$A$31,RANDBETWEEN(1,30))</f>
        <v>D030</v>
      </c>
      <c r="G453" s="3">
        <f t="shared" ca="1" si="120"/>
        <v>18.5</v>
      </c>
      <c r="H453" s="3">
        <f t="shared" ca="1" si="121"/>
        <v>46422</v>
      </c>
      <c r="I453" s="3">
        <f t="shared" ca="1" si="122"/>
        <v>12998</v>
      </c>
      <c r="J453" s="3">
        <f t="shared" ca="1" si="123"/>
        <v>3305</v>
      </c>
      <c r="K453" s="3">
        <f t="shared" ca="1" si="124"/>
        <v>44</v>
      </c>
      <c r="L453" s="3">
        <f t="shared" ca="1" si="125"/>
        <v>46</v>
      </c>
      <c r="M453" s="3">
        <f t="shared" ca="1" si="126"/>
        <v>2</v>
      </c>
      <c r="N453" s="3" t="str">
        <f t="shared" ca="1" si="127"/>
        <v>On Time</v>
      </c>
      <c r="O453" s="3" t="str">
        <f t="shared" ca="1" si="128"/>
        <v>Medium</v>
      </c>
      <c r="P453" s="3">
        <f t="shared" ca="1" si="129"/>
        <v>61.7</v>
      </c>
      <c r="Q453" s="1" t="str">
        <f ca="1">VLOOKUP(D453,Routes!$A$2:$D$31,2,FALSE)</f>
        <v>Mumbai</v>
      </c>
      <c r="R453" s="1" t="str">
        <f ca="1">VLOOKUP(D453,Routes!$A$2:$D$31,3,FALSE)</f>
        <v>Bengaluru</v>
      </c>
      <c r="S453" s="3">
        <f ca="1">VLOOKUP(D453,Routes!$A$2:$D$31,4,FALSE)</f>
        <v>980</v>
      </c>
      <c r="T453" s="3" t="str">
        <f ca="1">VLOOKUP(E453,Vehicles!$A$2:$D$21,2,FALSE)</f>
        <v>Truck</v>
      </c>
      <c r="U453" s="3">
        <f ca="1">VLOOKUP(E453,Vehicles!$A$2:$D$21,3,FALSE)</f>
        <v>25</v>
      </c>
      <c r="V453" s="3" t="str">
        <f ca="1">VLOOKUP(E453,Vehicles!$A$2:$D$21,4,FALSE)</f>
        <v>Diesel</v>
      </c>
      <c r="W453" s="3">
        <f ca="1">VLOOKUP(V453,Fuel_Rates!$A$2:$B$3,2,FALSE)</f>
        <v>95</v>
      </c>
      <c r="X453" s="3">
        <f t="shared" ca="1" si="131"/>
        <v>47.37</v>
      </c>
      <c r="Y453" s="3">
        <f t="shared" ca="1" si="132"/>
        <v>62725</v>
      </c>
      <c r="Z453" s="3" t="str">
        <f t="shared" ca="1" si="133"/>
        <v>Feb</v>
      </c>
      <c r="AA453" s="3" t="str">
        <f t="shared" ca="1" si="134"/>
        <v>Q1</v>
      </c>
      <c r="AB453" s="4" t="str">
        <f t="shared" ca="1" si="135"/>
        <v>Long Haul</v>
      </c>
    </row>
    <row r="454" spans="1:28" x14ac:dyDescent="0.3">
      <c r="A454" s="8" t="str">
        <f t="shared" si="130"/>
        <v>S0453</v>
      </c>
      <c r="B454" s="3">
        <f t="shared" ca="1" si="119"/>
        <v>45920</v>
      </c>
      <c r="C454" s="3" t="str">
        <f ca="1">INDEX(Customers!$A$2:$A$21,RANDBETWEEN(1,20))</f>
        <v>C005</v>
      </c>
      <c r="D454" s="3" t="str">
        <f ca="1">INDEX(Routes!$A$2:$A$31,RANDBETWEEN(1,30))</f>
        <v>R017</v>
      </c>
      <c r="E454" s="3" t="str">
        <f ca="1">INDEX(Vehicles!$A$2:$A$21,RANDBETWEEN(1,20))</f>
        <v>V005</v>
      </c>
      <c r="F454" s="3" t="str">
        <f ca="1">INDEX(Drivers!$A$2:$A$31,RANDBETWEEN(1,30))</f>
        <v>D006</v>
      </c>
      <c r="G454" s="3">
        <f t="shared" ca="1" si="120"/>
        <v>17.5</v>
      </c>
      <c r="H454" s="3">
        <f t="shared" ca="1" si="121"/>
        <v>35172</v>
      </c>
      <c r="I454" s="3">
        <f t="shared" ca="1" si="122"/>
        <v>9848</v>
      </c>
      <c r="J454" s="3">
        <f t="shared" ca="1" si="123"/>
        <v>2828</v>
      </c>
      <c r="K454" s="3">
        <f t="shared" ca="1" si="124"/>
        <v>29</v>
      </c>
      <c r="L454" s="3">
        <f t="shared" ca="1" si="125"/>
        <v>32</v>
      </c>
      <c r="M454" s="3">
        <f t="shared" ca="1" si="126"/>
        <v>3</v>
      </c>
      <c r="N454" s="3" t="str">
        <f t="shared" ca="1" si="127"/>
        <v>Delayed</v>
      </c>
      <c r="O454" s="3" t="str">
        <f t="shared" ca="1" si="128"/>
        <v>Medium</v>
      </c>
      <c r="P454" s="3">
        <f t="shared" ca="1" si="129"/>
        <v>58.3</v>
      </c>
      <c r="Q454" s="1" t="str">
        <f ca="1">VLOOKUP(D454,Routes!$A$2:$D$31,2,FALSE)</f>
        <v>Kolkata</v>
      </c>
      <c r="R454" s="1" t="str">
        <f ca="1">VLOOKUP(D454,Routes!$A$2:$D$31,3,FALSE)</f>
        <v>Patna</v>
      </c>
      <c r="S454" s="3">
        <f ca="1">VLOOKUP(D454,Routes!$A$2:$D$31,4,FALSE)</f>
        <v>620</v>
      </c>
      <c r="T454" s="3" t="str">
        <f ca="1">VLOOKUP(E454,Vehicles!$A$2:$D$21,2,FALSE)</f>
        <v>Trailer</v>
      </c>
      <c r="U454" s="3">
        <f ca="1">VLOOKUP(E454,Vehicles!$A$2:$D$21,3,FALSE)</f>
        <v>32</v>
      </c>
      <c r="V454" s="3" t="str">
        <f ca="1">VLOOKUP(E454,Vehicles!$A$2:$D$21,4,FALSE)</f>
        <v>Diesel</v>
      </c>
      <c r="W454" s="3">
        <f ca="1">VLOOKUP(V454,Fuel_Rates!$A$2:$B$3,2,FALSE)</f>
        <v>95</v>
      </c>
      <c r="X454" s="3">
        <f t="shared" ca="1" si="131"/>
        <v>56.73</v>
      </c>
      <c r="Y454" s="3">
        <f t="shared" ca="1" si="132"/>
        <v>47848</v>
      </c>
      <c r="Z454" s="3" t="str">
        <f t="shared" ca="1" si="133"/>
        <v>Sep</v>
      </c>
      <c r="AA454" s="3" t="str">
        <f t="shared" ca="1" si="134"/>
        <v>Q3</v>
      </c>
      <c r="AB454" s="4" t="str">
        <f t="shared" ca="1" si="135"/>
        <v>Medium Haul</v>
      </c>
    </row>
    <row r="455" spans="1:28" x14ac:dyDescent="0.3">
      <c r="A455" s="8" t="str">
        <f t="shared" si="130"/>
        <v>S0454</v>
      </c>
      <c r="B455" s="3">
        <f t="shared" ca="1" si="119"/>
        <v>45916</v>
      </c>
      <c r="C455" s="3" t="str">
        <f ca="1">INDEX(Customers!$A$2:$A$21,RANDBETWEEN(1,20))</f>
        <v>C001</v>
      </c>
      <c r="D455" s="3" t="str">
        <f ca="1">INDEX(Routes!$A$2:$A$31,RANDBETWEEN(1,30))</f>
        <v>R029</v>
      </c>
      <c r="E455" s="3" t="str">
        <f ca="1">INDEX(Vehicles!$A$2:$A$21,RANDBETWEEN(1,20))</f>
        <v>V006</v>
      </c>
      <c r="F455" s="3" t="str">
        <f ca="1">INDEX(Drivers!$A$2:$A$31,RANDBETWEEN(1,30))</f>
        <v>D030</v>
      </c>
      <c r="G455" s="3">
        <f t="shared" ca="1" si="120"/>
        <v>3.4</v>
      </c>
      <c r="H455" s="3">
        <f t="shared" ca="1" si="121"/>
        <v>15543</v>
      </c>
      <c r="I455" s="3">
        <f t="shared" ca="1" si="122"/>
        <v>4352</v>
      </c>
      <c r="J455" s="3">
        <f t="shared" ca="1" si="123"/>
        <v>1412</v>
      </c>
      <c r="K455" s="3">
        <f t="shared" ca="1" si="124"/>
        <v>11</v>
      </c>
      <c r="L455" s="3">
        <f t="shared" ca="1" si="125"/>
        <v>14</v>
      </c>
      <c r="M455" s="3">
        <f t="shared" ca="1" si="126"/>
        <v>3</v>
      </c>
      <c r="N455" s="3" t="str">
        <f t="shared" ca="1" si="127"/>
        <v>Delayed</v>
      </c>
      <c r="O455" s="3" t="str">
        <f t="shared" ca="1" si="128"/>
        <v>Low</v>
      </c>
      <c r="P455" s="3">
        <f t="shared" ca="1" si="129"/>
        <v>11.3</v>
      </c>
      <c r="Q455" s="1" t="str">
        <f ca="1">VLOOKUP(D455,Routes!$A$2:$D$31,2,FALSE)</f>
        <v>Chandigarh</v>
      </c>
      <c r="R455" s="1" t="str">
        <f ca="1">VLOOKUP(D455,Routes!$A$2:$D$31,3,FALSE)</f>
        <v>Delhi</v>
      </c>
      <c r="S455" s="3">
        <f ca="1">VLOOKUP(D455,Routes!$A$2:$D$31,4,FALSE)</f>
        <v>250</v>
      </c>
      <c r="T455" s="3" t="str">
        <f ca="1">VLOOKUP(E455,Vehicles!$A$2:$D$21,2,FALSE)</f>
        <v>Container</v>
      </c>
      <c r="U455" s="3">
        <f ca="1">VLOOKUP(E455,Vehicles!$A$2:$D$21,3,FALSE)</f>
        <v>18</v>
      </c>
      <c r="V455" s="3" t="str">
        <f ca="1">VLOOKUP(E455,Vehicles!$A$2:$D$21,4,FALSE)</f>
        <v>Diesel</v>
      </c>
      <c r="W455" s="3">
        <f ca="1">VLOOKUP(V455,Fuel_Rates!$A$2:$B$3,2,FALSE)</f>
        <v>95</v>
      </c>
      <c r="X455" s="3">
        <f t="shared" ca="1" si="131"/>
        <v>62.17</v>
      </c>
      <c r="Y455" s="3">
        <f t="shared" ca="1" si="132"/>
        <v>21307</v>
      </c>
      <c r="Z455" s="3" t="str">
        <f t="shared" ca="1" si="133"/>
        <v>Sep</v>
      </c>
      <c r="AA455" s="3" t="str">
        <f t="shared" ca="1" si="134"/>
        <v>Q3</v>
      </c>
      <c r="AB455" s="4" t="str">
        <f t="shared" ca="1" si="135"/>
        <v>Short Haul</v>
      </c>
    </row>
    <row r="456" spans="1:28" x14ac:dyDescent="0.3">
      <c r="A456" s="8" t="str">
        <f t="shared" si="130"/>
        <v>S0455</v>
      </c>
      <c r="B456" s="3">
        <f t="shared" ca="1" si="119"/>
        <v>45762</v>
      </c>
      <c r="C456" s="3" t="str">
        <f ca="1">INDEX(Customers!$A$2:$A$21,RANDBETWEEN(1,20))</f>
        <v>C015</v>
      </c>
      <c r="D456" s="3" t="str">
        <f ca="1">INDEX(Routes!$A$2:$A$31,RANDBETWEEN(1,30))</f>
        <v>R020</v>
      </c>
      <c r="E456" s="3" t="str">
        <f ca="1">INDEX(Vehicles!$A$2:$A$21,RANDBETWEEN(1,20))</f>
        <v>V001</v>
      </c>
      <c r="F456" s="3" t="str">
        <f ca="1">INDEX(Drivers!$A$2:$A$31,RANDBETWEEN(1,30))</f>
        <v>D014</v>
      </c>
      <c r="G456" s="3">
        <f t="shared" ca="1" si="120"/>
        <v>5.9</v>
      </c>
      <c r="H456" s="3">
        <f t="shared" ca="1" si="121"/>
        <v>14409</v>
      </c>
      <c r="I456" s="3">
        <f t="shared" ca="1" si="122"/>
        <v>4035</v>
      </c>
      <c r="J456" s="3">
        <f t="shared" ca="1" si="123"/>
        <v>2494</v>
      </c>
      <c r="K456" s="3">
        <f t="shared" ca="1" si="124"/>
        <v>5</v>
      </c>
      <c r="L456" s="3">
        <f t="shared" ca="1" si="125"/>
        <v>7</v>
      </c>
      <c r="M456" s="3">
        <f t="shared" ca="1" si="126"/>
        <v>2</v>
      </c>
      <c r="N456" s="3" t="str">
        <f t="shared" ca="1" si="127"/>
        <v>On Time</v>
      </c>
      <c r="O456" s="3" t="str">
        <f t="shared" ca="1" si="128"/>
        <v>Low</v>
      </c>
      <c r="P456" s="3">
        <f t="shared" ca="1" si="129"/>
        <v>19.7</v>
      </c>
      <c r="Q456" s="1" t="str">
        <f ca="1">VLOOKUP(D456,Routes!$A$2:$D$31,2,FALSE)</f>
        <v>Pune</v>
      </c>
      <c r="R456" s="1" t="str">
        <f ca="1">VLOOKUP(D456,Routes!$A$2:$D$31,3,FALSE)</f>
        <v>Nagpur</v>
      </c>
      <c r="S456" s="3">
        <f ca="1">VLOOKUP(D456,Routes!$A$2:$D$31,4,FALSE)</f>
        <v>720</v>
      </c>
      <c r="T456" s="3" t="str">
        <f ca="1">VLOOKUP(E456,Vehicles!$A$2:$D$21,2,FALSE)</f>
        <v>Truck</v>
      </c>
      <c r="U456" s="3">
        <f ca="1">VLOOKUP(E456,Vehicles!$A$2:$D$21,3,FALSE)</f>
        <v>16</v>
      </c>
      <c r="V456" s="3" t="str">
        <f ca="1">VLOOKUP(E456,Vehicles!$A$2:$D$21,4,FALSE)</f>
        <v>Diesel</v>
      </c>
      <c r="W456" s="3">
        <f ca="1">VLOOKUP(V456,Fuel_Rates!$A$2:$B$3,2,FALSE)</f>
        <v>95</v>
      </c>
      <c r="X456" s="3">
        <f t="shared" ca="1" si="131"/>
        <v>20.010000000000002</v>
      </c>
      <c r="Y456" s="3">
        <f t="shared" ca="1" si="132"/>
        <v>20938</v>
      </c>
      <c r="Z456" s="3" t="str">
        <f t="shared" ca="1" si="133"/>
        <v>Apr</v>
      </c>
      <c r="AA456" s="3" t="str">
        <f t="shared" ca="1" si="134"/>
        <v>Q2</v>
      </c>
      <c r="AB456" s="4" t="str">
        <f t="shared" ca="1" si="135"/>
        <v>Medium Haul</v>
      </c>
    </row>
    <row r="457" spans="1:28" x14ac:dyDescent="0.3">
      <c r="A457" s="8" t="str">
        <f t="shared" si="130"/>
        <v>S0456</v>
      </c>
      <c r="B457" s="3">
        <f t="shared" ca="1" si="119"/>
        <v>45910</v>
      </c>
      <c r="C457" s="3" t="str">
        <f ca="1">INDEX(Customers!$A$2:$A$21,RANDBETWEEN(1,20))</f>
        <v>C017</v>
      </c>
      <c r="D457" s="3" t="str">
        <f ca="1">INDEX(Routes!$A$2:$A$31,RANDBETWEEN(1,30))</f>
        <v>R019</v>
      </c>
      <c r="E457" s="3" t="str">
        <f ca="1">INDEX(Vehicles!$A$2:$A$21,RANDBETWEEN(1,20))</f>
        <v>V011</v>
      </c>
      <c r="F457" s="3" t="str">
        <f ca="1">INDEX(Drivers!$A$2:$A$31,RANDBETWEEN(1,30))</f>
        <v>D021</v>
      </c>
      <c r="G457" s="3">
        <f t="shared" ca="1" si="120"/>
        <v>10.9</v>
      </c>
      <c r="H457" s="3">
        <f t="shared" ca="1" si="121"/>
        <v>33160</v>
      </c>
      <c r="I457" s="3">
        <f t="shared" ca="1" si="122"/>
        <v>9285</v>
      </c>
      <c r="J457" s="3">
        <f t="shared" ca="1" si="123"/>
        <v>3046</v>
      </c>
      <c r="K457" s="3">
        <f t="shared" ca="1" si="124"/>
        <v>28</v>
      </c>
      <c r="L457" s="3">
        <f t="shared" ca="1" si="125"/>
        <v>31</v>
      </c>
      <c r="M457" s="3">
        <f t="shared" ca="1" si="126"/>
        <v>3</v>
      </c>
      <c r="N457" s="3" t="str">
        <f t="shared" ca="1" si="127"/>
        <v>Delayed</v>
      </c>
      <c r="O457" s="3" t="str">
        <f t="shared" ca="1" si="128"/>
        <v>Low</v>
      </c>
      <c r="P457" s="3">
        <f t="shared" ca="1" si="129"/>
        <v>36.299999999999997</v>
      </c>
      <c r="Q457" s="1" t="str">
        <f ca="1">VLOOKUP(D457,Routes!$A$2:$D$31,2,FALSE)</f>
        <v>Ahmedabad</v>
      </c>
      <c r="R457" s="1" t="str">
        <f ca="1">VLOOKUP(D457,Routes!$A$2:$D$31,3,FALSE)</f>
        <v>Indore</v>
      </c>
      <c r="S457" s="3">
        <f ca="1">VLOOKUP(D457,Routes!$A$2:$D$31,4,FALSE)</f>
        <v>390</v>
      </c>
      <c r="T457" s="3" t="str">
        <f ca="1">VLOOKUP(E457,Vehicles!$A$2:$D$21,2,FALSE)</f>
        <v>Truck</v>
      </c>
      <c r="U457" s="3">
        <f ca="1">VLOOKUP(E457,Vehicles!$A$2:$D$21,3,FALSE)</f>
        <v>18</v>
      </c>
      <c r="V457" s="3" t="str">
        <f ca="1">VLOOKUP(E457,Vehicles!$A$2:$D$21,4,FALSE)</f>
        <v>CNG</v>
      </c>
      <c r="W457" s="3">
        <f ca="1">VLOOKUP(V457,Fuel_Rates!$A$2:$B$3,2,FALSE)</f>
        <v>78</v>
      </c>
      <c r="X457" s="3">
        <f t="shared" ca="1" si="131"/>
        <v>85.03</v>
      </c>
      <c r="Y457" s="3">
        <f t="shared" ca="1" si="132"/>
        <v>45491</v>
      </c>
      <c r="Z457" s="3" t="str">
        <f t="shared" ca="1" si="133"/>
        <v>Sep</v>
      </c>
      <c r="AA457" s="3" t="str">
        <f t="shared" ca="1" si="134"/>
        <v>Q3</v>
      </c>
      <c r="AB457" s="4" t="str">
        <f t="shared" ca="1" si="135"/>
        <v>Medium Haul</v>
      </c>
    </row>
    <row r="458" spans="1:28" x14ac:dyDescent="0.3">
      <c r="A458" s="8" t="str">
        <f t="shared" si="130"/>
        <v>S0457</v>
      </c>
      <c r="B458" s="3">
        <f t="shared" ca="1" si="119"/>
        <v>45886</v>
      </c>
      <c r="C458" s="3" t="str">
        <f ca="1">INDEX(Customers!$A$2:$A$21,RANDBETWEEN(1,20))</f>
        <v>C019</v>
      </c>
      <c r="D458" s="3" t="str">
        <f ca="1">INDEX(Routes!$A$2:$A$31,RANDBETWEEN(1,30))</f>
        <v>R015</v>
      </c>
      <c r="E458" s="3" t="str">
        <f ca="1">INDEX(Vehicles!$A$2:$A$21,RANDBETWEEN(1,20))</f>
        <v>V002</v>
      </c>
      <c r="F458" s="3" t="str">
        <f ca="1">INDEX(Drivers!$A$2:$A$31,RANDBETWEEN(1,30))</f>
        <v>D022</v>
      </c>
      <c r="G458" s="3">
        <f t="shared" ca="1" si="120"/>
        <v>15</v>
      </c>
      <c r="H458" s="3">
        <f t="shared" ca="1" si="121"/>
        <v>39721</v>
      </c>
      <c r="I458" s="3">
        <f t="shared" ca="1" si="122"/>
        <v>11122</v>
      </c>
      <c r="J458" s="3">
        <f t="shared" ca="1" si="123"/>
        <v>823</v>
      </c>
      <c r="K458" s="3">
        <f t="shared" ca="1" si="124"/>
        <v>17</v>
      </c>
      <c r="L458" s="3">
        <f t="shared" ca="1" si="125"/>
        <v>25</v>
      </c>
      <c r="M458" s="3">
        <f t="shared" ca="1" si="126"/>
        <v>8</v>
      </c>
      <c r="N458" s="3" t="str">
        <f t="shared" ca="1" si="127"/>
        <v>Delayed</v>
      </c>
      <c r="O458" s="3" t="str">
        <f t="shared" ca="1" si="128"/>
        <v>High</v>
      </c>
      <c r="P458" s="3">
        <f t="shared" ca="1" si="129"/>
        <v>50</v>
      </c>
      <c r="Q458" s="1" t="str">
        <f ca="1">VLOOKUP(D458,Routes!$A$2:$D$31,2,FALSE)</f>
        <v>Hyderabad</v>
      </c>
      <c r="R458" s="1" t="str">
        <f ca="1">VLOOKUP(D458,Routes!$A$2:$D$31,3,FALSE)</f>
        <v>Pune</v>
      </c>
      <c r="S458" s="3">
        <f ca="1">VLOOKUP(D458,Routes!$A$2:$D$31,4,FALSE)</f>
        <v>560</v>
      </c>
      <c r="T458" s="3" t="str">
        <f ca="1">VLOOKUP(E458,Vehicles!$A$2:$D$21,2,FALSE)</f>
        <v>Truck</v>
      </c>
      <c r="U458" s="3">
        <f ca="1">VLOOKUP(E458,Vehicles!$A$2:$D$21,3,FALSE)</f>
        <v>20</v>
      </c>
      <c r="V458" s="3" t="str">
        <f ca="1">VLOOKUP(E458,Vehicles!$A$2:$D$21,4,FALSE)</f>
        <v>Diesel</v>
      </c>
      <c r="W458" s="3">
        <f ca="1">VLOOKUP(V458,Fuel_Rates!$A$2:$B$3,2,FALSE)</f>
        <v>95</v>
      </c>
      <c r="X458" s="3">
        <f t="shared" ca="1" si="131"/>
        <v>70.930000000000007</v>
      </c>
      <c r="Y458" s="3">
        <f t="shared" ca="1" si="132"/>
        <v>51666</v>
      </c>
      <c r="Z458" s="3" t="str">
        <f t="shared" ca="1" si="133"/>
        <v>Aug</v>
      </c>
      <c r="AA458" s="3" t="str">
        <f t="shared" ca="1" si="134"/>
        <v>Q3</v>
      </c>
      <c r="AB458" s="4" t="str">
        <f t="shared" ca="1" si="135"/>
        <v>Medium Haul</v>
      </c>
    </row>
    <row r="459" spans="1:28" x14ac:dyDescent="0.3">
      <c r="A459" s="8" t="str">
        <f t="shared" si="130"/>
        <v>S0458</v>
      </c>
      <c r="B459" s="3">
        <f t="shared" ca="1" si="119"/>
        <v>45730</v>
      </c>
      <c r="C459" s="3" t="str">
        <f ca="1">INDEX(Customers!$A$2:$A$21,RANDBETWEEN(1,20))</f>
        <v>C019</v>
      </c>
      <c r="D459" s="3" t="str">
        <f ca="1">INDEX(Routes!$A$2:$A$31,RANDBETWEEN(1,30))</f>
        <v>R010</v>
      </c>
      <c r="E459" s="3" t="str">
        <f ca="1">INDEX(Vehicles!$A$2:$A$21,RANDBETWEEN(1,20))</f>
        <v>V018</v>
      </c>
      <c r="F459" s="3" t="str">
        <f ca="1">INDEX(Drivers!$A$2:$A$31,RANDBETWEEN(1,30))</f>
        <v>D021</v>
      </c>
      <c r="G459" s="3">
        <f t="shared" ca="1" si="120"/>
        <v>8.6</v>
      </c>
      <c r="H459" s="3">
        <f t="shared" ca="1" si="121"/>
        <v>24431</v>
      </c>
      <c r="I459" s="3">
        <f t="shared" ca="1" si="122"/>
        <v>6841</v>
      </c>
      <c r="J459" s="3">
        <f t="shared" ca="1" si="123"/>
        <v>1251</v>
      </c>
      <c r="K459" s="3">
        <f t="shared" ca="1" si="124"/>
        <v>31</v>
      </c>
      <c r="L459" s="3">
        <f t="shared" ca="1" si="125"/>
        <v>37</v>
      </c>
      <c r="M459" s="3">
        <f t="shared" ca="1" si="126"/>
        <v>6</v>
      </c>
      <c r="N459" s="3" t="str">
        <f t="shared" ca="1" si="127"/>
        <v>Delayed</v>
      </c>
      <c r="O459" s="3" t="str">
        <f t="shared" ca="1" si="128"/>
        <v>High</v>
      </c>
      <c r="P459" s="3">
        <f t="shared" ca="1" si="129"/>
        <v>28.7</v>
      </c>
      <c r="Q459" s="1" t="str">
        <f ca="1">VLOOKUP(D459,Routes!$A$2:$D$31,2,FALSE)</f>
        <v>Bengaluru</v>
      </c>
      <c r="R459" s="1" t="str">
        <f ca="1">VLOOKUP(D459,Routes!$A$2:$D$31,3,FALSE)</f>
        <v>Hyderabad</v>
      </c>
      <c r="S459" s="3">
        <f ca="1">VLOOKUP(D459,Routes!$A$2:$D$31,4,FALSE)</f>
        <v>570</v>
      </c>
      <c r="T459" s="3" t="str">
        <f ca="1">VLOOKUP(E459,Vehicles!$A$2:$D$21,2,FALSE)</f>
        <v>Truck</v>
      </c>
      <c r="U459" s="3">
        <f ca="1">VLOOKUP(E459,Vehicles!$A$2:$D$21,3,FALSE)</f>
        <v>26</v>
      </c>
      <c r="V459" s="3" t="str">
        <f ca="1">VLOOKUP(E459,Vehicles!$A$2:$D$21,4,FALSE)</f>
        <v>Diesel</v>
      </c>
      <c r="W459" s="3">
        <f ca="1">VLOOKUP(V459,Fuel_Rates!$A$2:$B$3,2,FALSE)</f>
        <v>95</v>
      </c>
      <c r="X459" s="3">
        <f t="shared" ca="1" si="131"/>
        <v>42.86</v>
      </c>
      <c r="Y459" s="3">
        <f t="shared" ca="1" si="132"/>
        <v>32523</v>
      </c>
      <c r="Z459" s="3" t="str">
        <f t="shared" ca="1" si="133"/>
        <v>Mar</v>
      </c>
      <c r="AA459" s="3" t="str">
        <f t="shared" ca="1" si="134"/>
        <v>Q1</v>
      </c>
      <c r="AB459" s="4" t="str">
        <f t="shared" ca="1" si="135"/>
        <v>Medium Haul</v>
      </c>
    </row>
    <row r="460" spans="1:28" x14ac:dyDescent="0.3">
      <c r="A460" s="8" t="str">
        <f t="shared" si="130"/>
        <v>S0459</v>
      </c>
      <c r="B460" s="3">
        <f t="shared" ca="1" si="119"/>
        <v>45719</v>
      </c>
      <c r="C460" s="3" t="str">
        <f ca="1">INDEX(Customers!$A$2:$A$21,RANDBETWEEN(1,20))</f>
        <v>C005</v>
      </c>
      <c r="D460" s="3" t="str">
        <f ca="1">INDEX(Routes!$A$2:$A$31,RANDBETWEEN(1,30))</f>
        <v>R024</v>
      </c>
      <c r="E460" s="3" t="str">
        <f ca="1">INDEX(Vehicles!$A$2:$A$21,RANDBETWEEN(1,20))</f>
        <v>V008</v>
      </c>
      <c r="F460" s="3" t="str">
        <f ca="1">INDEX(Drivers!$A$2:$A$31,RANDBETWEEN(1,30))</f>
        <v>D015</v>
      </c>
      <c r="G460" s="3">
        <f t="shared" ca="1" si="120"/>
        <v>27.1</v>
      </c>
      <c r="H460" s="3">
        <f t="shared" ca="1" si="121"/>
        <v>52428</v>
      </c>
      <c r="I460" s="3">
        <f t="shared" ca="1" si="122"/>
        <v>14680</v>
      </c>
      <c r="J460" s="3">
        <f t="shared" ca="1" si="123"/>
        <v>2368</v>
      </c>
      <c r="K460" s="3">
        <f t="shared" ca="1" si="124"/>
        <v>42</v>
      </c>
      <c r="L460" s="3">
        <f t="shared" ca="1" si="125"/>
        <v>43</v>
      </c>
      <c r="M460" s="3">
        <f t="shared" ca="1" si="126"/>
        <v>1</v>
      </c>
      <c r="N460" s="3" t="str">
        <f t="shared" ca="1" si="127"/>
        <v>On Time</v>
      </c>
      <c r="O460" s="3" t="str">
        <f t="shared" ca="1" si="128"/>
        <v>High</v>
      </c>
      <c r="P460" s="3">
        <f t="shared" ca="1" si="129"/>
        <v>90.3</v>
      </c>
      <c r="Q460" s="1" t="str">
        <f ca="1">VLOOKUP(D460,Routes!$A$2:$D$31,2,FALSE)</f>
        <v>Surat</v>
      </c>
      <c r="R460" s="1" t="str">
        <f ca="1">VLOOKUP(D460,Routes!$A$2:$D$31,3,FALSE)</f>
        <v>Mumbai</v>
      </c>
      <c r="S460" s="3">
        <f ca="1">VLOOKUP(D460,Routes!$A$2:$D$31,4,FALSE)</f>
        <v>280</v>
      </c>
      <c r="T460" s="3" t="str">
        <f ca="1">VLOOKUP(E460,Vehicles!$A$2:$D$21,2,FALSE)</f>
        <v>Container</v>
      </c>
      <c r="U460" s="3">
        <f ca="1">VLOOKUP(E460,Vehicles!$A$2:$D$21,3,FALSE)</f>
        <v>25</v>
      </c>
      <c r="V460" s="3" t="str">
        <f ca="1">VLOOKUP(E460,Vehicles!$A$2:$D$21,4,FALSE)</f>
        <v>Diesel</v>
      </c>
      <c r="W460" s="3">
        <f ca="1">VLOOKUP(V460,Fuel_Rates!$A$2:$B$3,2,FALSE)</f>
        <v>95</v>
      </c>
      <c r="X460" s="3">
        <f t="shared" ca="1" si="131"/>
        <v>187.24</v>
      </c>
      <c r="Y460" s="3">
        <f t="shared" ca="1" si="132"/>
        <v>69476</v>
      </c>
      <c r="Z460" s="3" t="str">
        <f t="shared" ca="1" si="133"/>
        <v>Mar</v>
      </c>
      <c r="AA460" s="3" t="str">
        <f t="shared" ca="1" si="134"/>
        <v>Q1</v>
      </c>
      <c r="AB460" s="4" t="str">
        <f t="shared" ca="1" si="135"/>
        <v>Short Haul</v>
      </c>
    </row>
    <row r="461" spans="1:28" x14ac:dyDescent="0.3">
      <c r="A461" s="8" t="str">
        <f t="shared" si="130"/>
        <v>S0460</v>
      </c>
      <c r="B461" s="3">
        <f t="shared" ca="1" si="119"/>
        <v>45805</v>
      </c>
      <c r="C461" s="3" t="str">
        <f ca="1">INDEX(Customers!$A$2:$A$21,RANDBETWEEN(1,20))</f>
        <v>C009</v>
      </c>
      <c r="D461" s="3" t="str">
        <f ca="1">INDEX(Routes!$A$2:$A$31,RANDBETWEEN(1,30))</f>
        <v>R028</v>
      </c>
      <c r="E461" s="3" t="str">
        <f ca="1">INDEX(Vehicles!$A$2:$A$21,RANDBETWEEN(1,20))</f>
        <v>V017</v>
      </c>
      <c r="F461" s="3" t="str">
        <f ca="1">INDEX(Drivers!$A$2:$A$31,RANDBETWEEN(1,30))</f>
        <v>D005</v>
      </c>
      <c r="G461" s="3">
        <f t="shared" ca="1" si="120"/>
        <v>5.2</v>
      </c>
      <c r="H461" s="3">
        <f t="shared" ca="1" si="121"/>
        <v>12725</v>
      </c>
      <c r="I461" s="3">
        <f t="shared" ca="1" si="122"/>
        <v>3563</v>
      </c>
      <c r="J461" s="3">
        <f t="shared" ca="1" si="123"/>
        <v>1134</v>
      </c>
      <c r="K461" s="3">
        <f t="shared" ca="1" si="124"/>
        <v>41</v>
      </c>
      <c r="L461" s="3">
        <f t="shared" ca="1" si="125"/>
        <v>41</v>
      </c>
      <c r="M461" s="3">
        <f t="shared" ca="1" si="126"/>
        <v>0</v>
      </c>
      <c r="N461" s="3" t="str">
        <f t="shared" ca="1" si="127"/>
        <v>On Time</v>
      </c>
      <c r="O461" s="3" t="str">
        <f t="shared" ca="1" si="128"/>
        <v>High</v>
      </c>
      <c r="P461" s="3">
        <f t="shared" ca="1" si="129"/>
        <v>17.3</v>
      </c>
      <c r="Q461" s="1" t="str">
        <f ca="1">VLOOKUP(D461,Routes!$A$2:$D$31,2,FALSE)</f>
        <v>Indore</v>
      </c>
      <c r="R461" s="1" t="str">
        <f ca="1">VLOOKUP(D461,Routes!$A$2:$D$31,3,FALSE)</f>
        <v>Mumbai</v>
      </c>
      <c r="S461" s="3">
        <f ca="1">VLOOKUP(D461,Routes!$A$2:$D$31,4,FALSE)</f>
        <v>590</v>
      </c>
      <c r="T461" s="3" t="str">
        <f ca="1">VLOOKUP(E461,Vehicles!$A$2:$D$21,2,FALSE)</f>
        <v>Truck</v>
      </c>
      <c r="U461" s="3">
        <f ca="1">VLOOKUP(E461,Vehicles!$A$2:$D$21,3,FALSE)</f>
        <v>24</v>
      </c>
      <c r="V461" s="3" t="str">
        <f ca="1">VLOOKUP(E461,Vehicles!$A$2:$D$21,4,FALSE)</f>
        <v>Diesel</v>
      </c>
      <c r="W461" s="3">
        <f ca="1">VLOOKUP(V461,Fuel_Rates!$A$2:$B$3,2,FALSE)</f>
        <v>95</v>
      </c>
      <c r="X461" s="3">
        <f t="shared" ca="1" si="131"/>
        <v>21.57</v>
      </c>
      <c r="Y461" s="3">
        <f t="shared" ca="1" si="132"/>
        <v>17422</v>
      </c>
      <c r="Z461" s="3" t="str">
        <f t="shared" ca="1" si="133"/>
        <v>May</v>
      </c>
      <c r="AA461" s="3" t="str">
        <f t="shared" ca="1" si="134"/>
        <v>Q2</v>
      </c>
      <c r="AB461" s="4" t="str">
        <f t="shared" ca="1" si="135"/>
        <v>Medium Haul</v>
      </c>
    </row>
    <row r="462" spans="1:28" x14ac:dyDescent="0.3">
      <c r="A462" s="8" t="str">
        <f t="shared" si="130"/>
        <v>S0461</v>
      </c>
      <c r="B462" s="3">
        <f t="shared" ca="1" si="119"/>
        <v>45833</v>
      </c>
      <c r="C462" s="3" t="str">
        <f ca="1">INDEX(Customers!$A$2:$A$21,RANDBETWEEN(1,20))</f>
        <v>C020</v>
      </c>
      <c r="D462" s="3" t="str">
        <f ca="1">INDEX(Routes!$A$2:$A$31,RANDBETWEEN(1,30))</f>
        <v>R020</v>
      </c>
      <c r="E462" s="3" t="str">
        <f ca="1">INDEX(Vehicles!$A$2:$A$21,RANDBETWEEN(1,20))</f>
        <v>V008</v>
      </c>
      <c r="F462" s="3" t="str">
        <f ca="1">INDEX(Drivers!$A$2:$A$31,RANDBETWEEN(1,30))</f>
        <v>D027</v>
      </c>
      <c r="G462" s="3">
        <f t="shared" ca="1" si="120"/>
        <v>5.0999999999999996</v>
      </c>
      <c r="H462" s="3">
        <f t="shared" ca="1" si="121"/>
        <v>23457</v>
      </c>
      <c r="I462" s="3">
        <f t="shared" ca="1" si="122"/>
        <v>6568</v>
      </c>
      <c r="J462" s="3">
        <f t="shared" ca="1" si="123"/>
        <v>1244</v>
      </c>
      <c r="K462" s="3">
        <f t="shared" ca="1" si="124"/>
        <v>20</v>
      </c>
      <c r="L462" s="3">
        <f t="shared" ca="1" si="125"/>
        <v>28</v>
      </c>
      <c r="M462" s="3">
        <f t="shared" ca="1" si="126"/>
        <v>8</v>
      </c>
      <c r="N462" s="3" t="str">
        <f t="shared" ca="1" si="127"/>
        <v>Delayed</v>
      </c>
      <c r="O462" s="3" t="str">
        <f t="shared" ca="1" si="128"/>
        <v>High</v>
      </c>
      <c r="P462" s="3">
        <f t="shared" ca="1" si="129"/>
        <v>17</v>
      </c>
      <c r="Q462" s="1" t="str">
        <f ca="1">VLOOKUP(D462,Routes!$A$2:$D$31,2,FALSE)</f>
        <v>Pune</v>
      </c>
      <c r="R462" s="1" t="str">
        <f ca="1">VLOOKUP(D462,Routes!$A$2:$D$31,3,FALSE)</f>
        <v>Nagpur</v>
      </c>
      <c r="S462" s="3">
        <f ca="1">VLOOKUP(D462,Routes!$A$2:$D$31,4,FALSE)</f>
        <v>720</v>
      </c>
      <c r="T462" s="3" t="str">
        <f ca="1">VLOOKUP(E462,Vehicles!$A$2:$D$21,2,FALSE)</f>
        <v>Container</v>
      </c>
      <c r="U462" s="3">
        <f ca="1">VLOOKUP(E462,Vehicles!$A$2:$D$21,3,FALSE)</f>
        <v>25</v>
      </c>
      <c r="V462" s="3" t="str">
        <f ca="1">VLOOKUP(E462,Vehicles!$A$2:$D$21,4,FALSE)</f>
        <v>Diesel</v>
      </c>
      <c r="W462" s="3">
        <f ca="1">VLOOKUP(V462,Fuel_Rates!$A$2:$B$3,2,FALSE)</f>
        <v>95</v>
      </c>
      <c r="X462" s="3">
        <f t="shared" ca="1" si="131"/>
        <v>32.58</v>
      </c>
      <c r="Y462" s="3">
        <f t="shared" ca="1" si="132"/>
        <v>31269</v>
      </c>
      <c r="Z462" s="3" t="str">
        <f t="shared" ca="1" si="133"/>
        <v>Jun</v>
      </c>
      <c r="AA462" s="3" t="str">
        <f t="shared" ca="1" si="134"/>
        <v>Q2</v>
      </c>
      <c r="AB462" s="4" t="str">
        <f t="shared" ca="1" si="135"/>
        <v>Medium Haul</v>
      </c>
    </row>
    <row r="463" spans="1:28" x14ac:dyDescent="0.3">
      <c r="A463" s="8" t="str">
        <f t="shared" si="130"/>
        <v>S0462</v>
      </c>
      <c r="B463" s="3">
        <f t="shared" ca="1" si="119"/>
        <v>45717</v>
      </c>
      <c r="C463" s="3" t="str">
        <f ca="1">INDEX(Customers!$A$2:$A$21,RANDBETWEEN(1,20))</f>
        <v>C019</v>
      </c>
      <c r="D463" s="3" t="str">
        <f ca="1">INDEX(Routes!$A$2:$A$31,RANDBETWEEN(1,30))</f>
        <v>R015</v>
      </c>
      <c r="E463" s="3" t="str">
        <f ca="1">INDEX(Vehicles!$A$2:$A$21,RANDBETWEEN(1,20))</f>
        <v>V018</v>
      </c>
      <c r="F463" s="3" t="str">
        <f ca="1">INDEX(Drivers!$A$2:$A$31,RANDBETWEEN(1,30))</f>
        <v>D022</v>
      </c>
      <c r="G463" s="3">
        <f t="shared" ca="1" si="120"/>
        <v>7.8</v>
      </c>
      <c r="H463" s="3">
        <f t="shared" ca="1" si="121"/>
        <v>28374</v>
      </c>
      <c r="I463" s="3">
        <f t="shared" ca="1" si="122"/>
        <v>7945</v>
      </c>
      <c r="J463" s="3">
        <f t="shared" ca="1" si="123"/>
        <v>3763</v>
      </c>
      <c r="K463" s="3">
        <f t="shared" ca="1" si="124"/>
        <v>31</v>
      </c>
      <c r="L463" s="3">
        <f t="shared" ca="1" si="125"/>
        <v>32</v>
      </c>
      <c r="M463" s="3">
        <f t="shared" ca="1" si="126"/>
        <v>1</v>
      </c>
      <c r="N463" s="3" t="str">
        <f t="shared" ca="1" si="127"/>
        <v>On Time</v>
      </c>
      <c r="O463" s="3" t="str">
        <f t="shared" ca="1" si="128"/>
        <v>Low</v>
      </c>
      <c r="P463" s="3">
        <f t="shared" ca="1" si="129"/>
        <v>26</v>
      </c>
      <c r="Q463" s="1" t="str">
        <f ca="1">VLOOKUP(D463,Routes!$A$2:$D$31,2,FALSE)</f>
        <v>Hyderabad</v>
      </c>
      <c r="R463" s="1" t="str">
        <f ca="1">VLOOKUP(D463,Routes!$A$2:$D$31,3,FALSE)</f>
        <v>Pune</v>
      </c>
      <c r="S463" s="3">
        <f ca="1">VLOOKUP(D463,Routes!$A$2:$D$31,4,FALSE)</f>
        <v>560</v>
      </c>
      <c r="T463" s="3" t="str">
        <f ca="1">VLOOKUP(E463,Vehicles!$A$2:$D$21,2,FALSE)</f>
        <v>Truck</v>
      </c>
      <c r="U463" s="3">
        <f ca="1">VLOOKUP(E463,Vehicles!$A$2:$D$21,3,FALSE)</f>
        <v>26</v>
      </c>
      <c r="V463" s="3" t="str">
        <f ca="1">VLOOKUP(E463,Vehicles!$A$2:$D$21,4,FALSE)</f>
        <v>Diesel</v>
      </c>
      <c r="W463" s="3">
        <f ca="1">VLOOKUP(V463,Fuel_Rates!$A$2:$B$3,2,FALSE)</f>
        <v>95</v>
      </c>
      <c r="X463" s="3">
        <f t="shared" ca="1" si="131"/>
        <v>50.67</v>
      </c>
      <c r="Y463" s="3">
        <f t="shared" ca="1" si="132"/>
        <v>40082</v>
      </c>
      <c r="Z463" s="3" t="str">
        <f t="shared" ca="1" si="133"/>
        <v>Mar</v>
      </c>
      <c r="AA463" s="3" t="str">
        <f t="shared" ca="1" si="134"/>
        <v>Q1</v>
      </c>
      <c r="AB463" s="4" t="str">
        <f t="shared" ca="1" si="135"/>
        <v>Medium Haul</v>
      </c>
    </row>
    <row r="464" spans="1:28" x14ac:dyDescent="0.3">
      <c r="A464" s="8" t="str">
        <f t="shared" si="130"/>
        <v>S0463</v>
      </c>
      <c r="B464" s="3">
        <f t="shared" ca="1" si="119"/>
        <v>45853</v>
      </c>
      <c r="C464" s="3" t="str">
        <f ca="1">INDEX(Customers!$A$2:$A$21,RANDBETWEEN(1,20))</f>
        <v>C018</v>
      </c>
      <c r="D464" s="3" t="str">
        <f ca="1">INDEX(Routes!$A$2:$A$31,RANDBETWEEN(1,30))</f>
        <v>R024</v>
      </c>
      <c r="E464" s="3" t="str">
        <f ca="1">INDEX(Vehicles!$A$2:$A$21,RANDBETWEEN(1,20))</f>
        <v>V002</v>
      </c>
      <c r="F464" s="3" t="str">
        <f ca="1">INDEX(Drivers!$A$2:$A$31,RANDBETWEEN(1,30))</f>
        <v>D027</v>
      </c>
      <c r="G464" s="3">
        <f t="shared" ca="1" si="120"/>
        <v>22.1</v>
      </c>
      <c r="H464" s="3">
        <f t="shared" ca="1" si="121"/>
        <v>46034</v>
      </c>
      <c r="I464" s="3">
        <f t="shared" ca="1" si="122"/>
        <v>12890</v>
      </c>
      <c r="J464" s="3">
        <f t="shared" ca="1" si="123"/>
        <v>2951</v>
      </c>
      <c r="K464" s="3">
        <f t="shared" ca="1" si="124"/>
        <v>4</v>
      </c>
      <c r="L464" s="3">
        <f t="shared" ca="1" si="125"/>
        <v>12</v>
      </c>
      <c r="M464" s="3">
        <f t="shared" ca="1" si="126"/>
        <v>8</v>
      </c>
      <c r="N464" s="3" t="str">
        <f t="shared" ca="1" si="127"/>
        <v>Delayed</v>
      </c>
      <c r="O464" s="3" t="str">
        <f t="shared" ca="1" si="128"/>
        <v>Low</v>
      </c>
      <c r="P464" s="3">
        <f t="shared" ca="1" si="129"/>
        <v>73.7</v>
      </c>
      <c r="Q464" s="1" t="str">
        <f ca="1">VLOOKUP(D464,Routes!$A$2:$D$31,2,FALSE)</f>
        <v>Surat</v>
      </c>
      <c r="R464" s="1" t="str">
        <f ca="1">VLOOKUP(D464,Routes!$A$2:$D$31,3,FALSE)</f>
        <v>Mumbai</v>
      </c>
      <c r="S464" s="3">
        <f ca="1">VLOOKUP(D464,Routes!$A$2:$D$31,4,FALSE)</f>
        <v>280</v>
      </c>
      <c r="T464" s="3" t="str">
        <f ca="1">VLOOKUP(E464,Vehicles!$A$2:$D$21,2,FALSE)</f>
        <v>Truck</v>
      </c>
      <c r="U464" s="3">
        <f ca="1">VLOOKUP(E464,Vehicles!$A$2:$D$21,3,FALSE)</f>
        <v>20</v>
      </c>
      <c r="V464" s="3" t="str">
        <f ca="1">VLOOKUP(E464,Vehicles!$A$2:$D$21,4,FALSE)</f>
        <v>Diesel</v>
      </c>
      <c r="W464" s="3">
        <f ca="1">VLOOKUP(V464,Fuel_Rates!$A$2:$B$3,2,FALSE)</f>
        <v>95</v>
      </c>
      <c r="X464" s="3">
        <f t="shared" ca="1" si="131"/>
        <v>164.41</v>
      </c>
      <c r="Y464" s="3">
        <f t="shared" ca="1" si="132"/>
        <v>61875</v>
      </c>
      <c r="Z464" s="3" t="str">
        <f t="shared" ca="1" si="133"/>
        <v>Jul</v>
      </c>
      <c r="AA464" s="3" t="str">
        <f t="shared" ca="1" si="134"/>
        <v>Q3</v>
      </c>
      <c r="AB464" s="4" t="str">
        <f t="shared" ca="1" si="135"/>
        <v>Short Haul</v>
      </c>
    </row>
    <row r="465" spans="1:28" x14ac:dyDescent="0.3">
      <c r="A465" s="8" t="str">
        <f t="shared" si="130"/>
        <v>S0464</v>
      </c>
      <c r="B465" s="3">
        <f t="shared" ca="1" si="119"/>
        <v>45724</v>
      </c>
      <c r="C465" s="3" t="str">
        <f ca="1">INDEX(Customers!$A$2:$A$21,RANDBETWEEN(1,20))</f>
        <v>C003</v>
      </c>
      <c r="D465" s="3" t="str">
        <f ca="1">INDEX(Routes!$A$2:$A$31,RANDBETWEEN(1,30))</f>
        <v>R008</v>
      </c>
      <c r="E465" s="3" t="str">
        <f ca="1">INDEX(Vehicles!$A$2:$A$21,RANDBETWEEN(1,20))</f>
        <v>V018</v>
      </c>
      <c r="F465" s="3" t="str">
        <f ca="1">INDEX(Drivers!$A$2:$A$31,RANDBETWEEN(1,30))</f>
        <v>D030</v>
      </c>
      <c r="G465" s="3">
        <f t="shared" ca="1" si="120"/>
        <v>21.8</v>
      </c>
      <c r="H465" s="3">
        <f t="shared" ca="1" si="121"/>
        <v>47994</v>
      </c>
      <c r="I465" s="3">
        <f t="shared" ca="1" si="122"/>
        <v>13438</v>
      </c>
      <c r="J465" s="3">
        <f t="shared" ca="1" si="123"/>
        <v>608</v>
      </c>
      <c r="K465" s="3">
        <f t="shared" ca="1" si="124"/>
        <v>9</v>
      </c>
      <c r="L465" s="3">
        <f t="shared" ca="1" si="125"/>
        <v>17</v>
      </c>
      <c r="M465" s="3">
        <f t="shared" ca="1" si="126"/>
        <v>8</v>
      </c>
      <c r="N465" s="3" t="str">
        <f t="shared" ca="1" si="127"/>
        <v>Delayed</v>
      </c>
      <c r="O465" s="3" t="str">
        <f t="shared" ca="1" si="128"/>
        <v>Medium</v>
      </c>
      <c r="P465" s="3">
        <f t="shared" ca="1" si="129"/>
        <v>72.7</v>
      </c>
      <c r="Q465" s="1" t="str">
        <f ca="1">VLOOKUP(D465,Routes!$A$2:$D$31,2,FALSE)</f>
        <v>Delhi</v>
      </c>
      <c r="R465" s="1" t="str">
        <f ca="1">VLOOKUP(D465,Routes!$A$2:$D$31,3,FALSE)</f>
        <v>Kolkata</v>
      </c>
      <c r="S465" s="3">
        <f ca="1">VLOOKUP(D465,Routes!$A$2:$D$31,4,FALSE)</f>
        <v>1500</v>
      </c>
      <c r="T465" s="3" t="str">
        <f ca="1">VLOOKUP(E465,Vehicles!$A$2:$D$21,2,FALSE)</f>
        <v>Truck</v>
      </c>
      <c r="U465" s="3">
        <f ca="1">VLOOKUP(E465,Vehicles!$A$2:$D$21,3,FALSE)</f>
        <v>26</v>
      </c>
      <c r="V465" s="3" t="str">
        <f ca="1">VLOOKUP(E465,Vehicles!$A$2:$D$21,4,FALSE)</f>
        <v>Diesel</v>
      </c>
      <c r="W465" s="3">
        <f ca="1">VLOOKUP(V465,Fuel_Rates!$A$2:$B$3,2,FALSE)</f>
        <v>95</v>
      </c>
      <c r="X465" s="3">
        <f t="shared" ca="1" si="131"/>
        <v>32</v>
      </c>
      <c r="Y465" s="3">
        <f t="shared" ca="1" si="132"/>
        <v>62040</v>
      </c>
      <c r="Z465" s="3" t="str">
        <f t="shared" ca="1" si="133"/>
        <v>Mar</v>
      </c>
      <c r="AA465" s="3" t="str">
        <f t="shared" ca="1" si="134"/>
        <v>Q1</v>
      </c>
      <c r="AB465" s="4" t="str">
        <f t="shared" ca="1" si="135"/>
        <v>Long Haul</v>
      </c>
    </row>
    <row r="466" spans="1:28" x14ac:dyDescent="0.3">
      <c r="A466" s="8" t="str">
        <f t="shared" si="130"/>
        <v>S0465</v>
      </c>
      <c r="B466" s="3">
        <f t="shared" ca="1" si="119"/>
        <v>45963</v>
      </c>
      <c r="C466" s="3" t="str">
        <f ca="1">INDEX(Customers!$A$2:$A$21,RANDBETWEEN(1,20))</f>
        <v>C005</v>
      </c>
      <c r="D466" s="3" t="str">
        <f ca="1">INDEX(Routes!$A$2:$A$31,RANDBETWEEN(1,30))</f>
        <v>R020</v>
      </c>
      <c r="E466" s="3" t="str">
        <f ca="1">INDEX(Vehicles!$A$2:$A$21,RANDBETWEEN(1,20))</f>
        <v>V007</v>
      </c>
      <c r="F466" s="3" t="str">
        <f ca="1">INDEX(Drivers!$A$2:$A$31,RANDBETWEEN(1,30))</f>
        <v>D023</v>
      </c>
      <c r="G466" s="3">
        <f t="shared" ca="1" si="120"/>
        <v>26</v>
      </c>
      <c r="H466" s="3">
        <f t="shared" ca="1" si="121"/>
        <v>55208</v>
      </c>
      <c r="I466" s="3">
        <f t="shared" ca="1" si="122"/>
        <v>15458</v>
      </c>
      <c r="J466" s="3">
        <f t="shared" ca="1" si="123"/>
        <v>1814</v>
      </c>
      <c r="K466" s="3">
        <f t="shared" ca="1" si="124"/>
        <v>19</v>
      </c>
      <c r="L466" s="3">
        <f t="shared" ca="1" si="125"/>
        <v>21</v>
      </c>
      <c r="M466" s="3">
        <f t="shared" ca="1" si="126"/>
        <v>2</v>
      </c>
      <c r="N466" s="3" t="str">
        <f t="shared" ca="1" si="127"/>
        <v>On Time</v>
      </c>
      <c r="O466" s="3" t="str">
        <f t="shared" ca="1" si="128"/>
        <v>Medium</v>
      </c>
      <c r="P466" s="3">
        <f t="shared" ca="1" si="129"/>
        <v>86.7</v>
      </c>
      <c r="Q466" s="1" t="str">
        <f ca="1">VLOOKUP(D466,Routes!$A$2:$D$31,2,FALSE)</f>
        <v>Pune</v>
      </c>
      <c r="R466" s="1" t="str">
        <f ca="1">VLOOKUP(D466,Routes!$A$2:$D$31,3,FALSE)</f>
        <v>Nagpur</v>
      </c>
      <c r="S466" s="3">
        <f ca="1">VLOOKUP(D466,Routes!$A$2:$D$31,4,FALSE)</f>
        <v>720</v>
      </c>
      <c r="T466" s="3" t="str">
        <f ca="1">VLOOKUP(E466,Vehicles!$A$2:$D$21,2,FALSE)</f>
        <v>Container</v>
      </c>
      <c r="U466" s="3">
        <f ca="1">VLOOKUP(E466,Vehicles!$A$2:$D$21,3,FALSE)</f>
        <v>20</v>
      </c>
      <c r="V466" s="3" t="str">
        <f ca="1">VLOOKUP(E466,Vehicles!$A$2:$D$21,4,FALSE)</f>
        <v>Diesel</v>
      </c>
      <c r="W466" s="3">
        <f ca="1">VLOOKUP(V466,Fuel_Rates!$A$2:$B$3,2,FALSE)</f>
        <v>95</v>
      </c>
      <c r="X466" s="3">
        <f t="shared" ca="1" si="131"/>
        <v>76.680000000000007</v>
      </c>
      <c r="Y466" s="3">
        <f t="shared" ca="1" si="132"/>
        <v>72480</v>
      </c>
      <c r="Z466" s="3" t="str">
        <f t="shared" ca="1" si="133"/>
        <v>Nov</v>
      </c>
      <c r="AA466" s="3" t="str">
        <f t="shared" ca="1" si="134"/>
        <v>Q4</v>
      </c>
      <c r="AB466" s="4" t="str">
        <f t="shared" ca="1" si="135"/>
        <v>Medium Haul</v>
      </c>
    </row>
    <row r="467" spans="1:28" x14ac:dyDescent="0.3">
      <c r="A467" s="8" t="str">
        <f t="shared" si="130"/>
        <v>S0466</v>
      </c>
      <c r="B467" s="3">
        <f t="shared" ca="1" si="119"/>
        <v>45905</v>
      </c>
      <c r="C467" s="3" t="str">
        <f ca="1">INDEX(Customers!$A$2:$A$21,RANDBETWEEN(1,20))</f>
        <v>C004</v>
      </c>
      <c r="D467" s="3" t="str">
        <f ca="1">INDEX(Routes!$A$2:$A$31,RANDBETWEEN(1,30))</f>
        <v>R005</v>
      </c>
      <c r="E467" s="3" t="str">
        <f ca="1">INDEX(Vehicles!$A$2:$A$21,RANDBETWEEN(1,20))</f>
        <v>V008</v>
      </c>
      <c r="F467" s="3" t="str">
        <f ca="1">INDEX(Drivers!$A$2:$A$31,RANDBETWEEN(1,30))</f>
        <v>D018</v>
      </c>
      <c r="G467" s="3">
        <f t="shared" ca="1" si="120"/>
        <v>24.8</v>
      </c>
      <c r="H467" s="3">
        <f t="shared" ca="1" si="121"/>
        <v>51988</v>
      </c>
      <c r="I467" s="3">
        <f t="shared" ca="1" si="122"/>
        <v>14557</v>
      </c>
      <c r="J467" s="3">
        <f t="shared" ca="1" si="123"/>
        <v>2359</v>
      </c>
      <c r="K467" s="3">
        <f t="shared" ca="1" si="124"/>
        <v>24</v>
      </c>
      <c r="L467" s="3">
        <f t="shared" ca="1" si="125"/>
        <v>29</v>
      </c>
      <c r="M467" s="3">
        <f t="shared" ca="1" si="126"/>
        <v>5</v>
      </c>
      <c r="N467" s="3" t="str">
        <f t="shared" ca="1" si="127"/>
        <v>Delayed</v>
      </c>
      <c r="O467" s="3" t="str">
        <f t="shared" ca="1" si="128"/>
        <v>Low</v>
      </c>
      <c r="P467" s="3">
        <f t="shared" ca="1" si="129"/>
        <v>82.7</v>
      </c>
      <c r="Q467" s="1" t="str">
        <f ca="1">VLOOKUP(D467,Routes!$A$2:$D$31,2,FALSE)</f>
        <v>Delhi</v>
      </c>
      <c r="R467" s="1" t="str">
        <f ca="1">VLOOKUP(D467,Routes!$A$2:$D$31,3,FALSE)</f>
        <v>Jaipur</v>
      </c>
      <c r="S467" s="3">
        <f ca="1">VLOOKUP(D467,Routes!$A$2:$D$31,4,FALSE)</f>
        <v>280</v>
      </c>
      <c r="T467" s="3" t="str">
        <f ca="1">VLOOKUP(E467,Vehicles!$A$2:$D$21,2,FALSE)</f>
        <v>Container</v>
      </c>
      <c r="U467" s="3">
        <f ca="1">VLOOKUP(E467,Vehicles!$A$2:$D$21,3,FALSE)</f>
        <v>25</v>
      </c>
      <c r="V467" s="3" t="str">
        <f ca="1">VLOOKUP(E467,Vehicles!$A$2:$D$21,4,FALSE)</f>
        <v>Diesel</v>
      </c>
      <c r="W467" s="3">
        <f ca="1">VLOOKUP(V467,Fuel_Rates!$A$2:$B$3,2,FALSE)</f>
        <v>95</v>
      </c>
      <c r="X467" s="3">
        <f t="shared" ca="1" si="131"/>
        <v>185.67</v>
      </c>
      <c r="Y467" s="3">
        <f t="shared" ca="1" si="132"/>
        <v>68904</v>
      </c>
      <c r="Z467" s="3" t="str">
        <f t="shared" ca="1" si="133"/>
        <v>Sep</v>
      </c>
      <c r="AA467" s="3" t="str">
        <f t="shared" ca="1" si="134"/>
        <v>Q3</v>
      </c>
      <c r="AB467" s="4" t="str">
        <f t="shared" ca="1" si="135"/>
        <v>Short Haul</v>
      </c>
    </row>
    <row r="468" spans="1:28" x14ac:dyDescent="0.3">
      <c r="A468" s="8" t="str">
        <f t="shared" si="130"/>
        <v>S0467</v>
      </c>
      <c r="B468" s="3">
        <f t="shared" ca="1" si="119"/>
        <v>45719</v>
      </c>
      <c r="C468" s="3" t="str">
        <f ca="1">INDEX(Customers!$A$2:$A$21,RANDBETWEEN(1,20))</f>
        <v>C012</v>
      </c>
      <c r="D468" s="3" t="str">
        <f ca="1">INDEX(Routes!$A$2:$A$31,RANDBETWEEN(1,30))</f>
        <v>R004</v>
      </c>
      <c r="E468" s="3" t="str">
        <f ca="1">INDEX(Vehicles!$A$2:$A$21,RANDBETWEEN(1,20))</f>
        <v>V004</v>
      </c>
      <c r="F468" s="3" t="str">
        <f ca="1">INDEX(Drivers!$A$2:$A$31,RANDBETWEEN(1,30))</f>
        <v>D012</v>
      </c>
      <c r="G468" s="3">
        <f t="shared" ca="1" si="120"/>
        <v>10.6</v>
      </c>
      <c r="H468" s="3">
        <f t="shared" ca="1" si="121"/>
        <v>32646</v>
      </c>
      <c r="I468" s="3">
        <f t="shared" ca="1" si="122"/>
        <v>9141</v>
      </c>
      <c r="J468" s="3">
        <f t="shared" ca="1" si="123"/>
        <v>3840</v>
      </c>
      <c r="K468" s="3">
        <f t="shared" ca="1" si="124"/>
        <v>42</v>
      </c>
      <c r="L468" s="3">
        <f t="shared" ca="1" si="125"/>
        <v>48</v>
      </c>
      <c r="M468" s="3">
        <f t="shared" ca="1" si="126"/>
        <v>6</v>
      </c>
      <c r="N468" s="3" t="str">
        <f t="shared" ca="1" si="127"/>
        <v>Delayed</v>
      </c>
      <c r="O468" s="3" t="str">
        <f t="shared" ca="1" si="128"/>
        <v>High</v>
      </c>
      <c r="P468" s="3">
        <f t="shared" ca="1" si="129"/>
        <v>35.299999999999997</v>
      </c>
      <c r="Q468" s="1" t="str">
        <f ca="1">VLOOKUP(D468,Routes!$A$2:$D$31,2,FALSE)</f>
        <v>Mumbai</v>
      </c>
      <c r="R468" s="1" t="str">
        <f ca="1">VLOOKUP(D468,Routes!$A$2:$D$31,3,FALSE)</f>
        <v>Bengaluru</v>
      </c>
      <c r="S468" s="3">
        <f ca="1">VLOOKUP(D468,Routes!$A$2:$D$31,4,FALSE)</f>
        <v>980</v>
      </c>
      <c r="T468" s="3" t="str">
        <f ca="1">VLOOKUP(E468,Vehicles!$A$2:$D$21,2,FALSE)</f>
        <v>Trailer</v>
      </c>
      <c r="U468" s="3">
        <f ca="1">VLOOKUP(E468,Vehicles!$A$2:$D$21,3,FALSE)</f>
        <v>28</v>
      </c>
      <c r="V468" s="3" t="str">
        <f ca="1">VLOOKUP(E468,Vehicles!$A$2:$D$21,4,FALSE)</f>
        <v>Diesel</v>
      </c>
      <c r="W468" s="3">
        <f ca="1">VLOOKUP(V468,Fuel_Rates!$A$2:$B$3,2,FALSE)</f>
        <v>95</v>
      </c>
      <c r="X468" s="3">
        <f t="shared" ca="1" si="131"/>
        <v>33.31</v>
      </c>
      <c r="Y468" s="3">
        <f t="shared" ca="1" si="132"/>
        <v>45627</v>
      </c>
      <c r="Z468" s="3" t="str">
        <f t="shared" ca="1" si="133"/>
        <v>Mar</v>
      </c>
      <c r="AA468" s="3" t="str">
        <f t="shared" ca="1" si="134"/>
        <v>Q1</v>
      </c>
      <c r="AB468" s="4" t="str">
        <f t="shared" ca="1" si="135"/>
        <v>Long Haul</v>
      </c>
    </row>
    <row r="469" spans="1:28" x14ac:dyDescent="0.3">
      <c r="A469" s="8" t="str">
        <f t="shared" si="130"/>
        <v>S0468</v>
      </c>
      <c r="B469" s="3">
        <f t="shared" ca="1" si="119"/>
        <v>45673</v>
      </c>
      <c r="C469" s="3" t="str">
        <f ca="1">INDEX(Customers!$A$2:$A$21,RANDBETWEEN(1,20))</f>
        <v>C004</v>
      </c>
      <c r="D469" s="3" t="str">
        <f ca="1">INDEX(Routes!$A$2:$A$31,RANDBETWEEN(1,30))</f>
        <v>R018</v>
      </c>
      <c r="E469" s="3" t="str">
        <f ca="1">INDEX(Vehicles!$A$2:$A$21,RANDBETWEEN(1,20))</f>
        <v>V014</v>
      </c>
      <c r="F469" s="3" t="str">
        <f ca="1">INDEX(Drivers!$A$2:$A$31,RANDBETWEEN(1,30))</f>
        <v>D028</v>
      </c>
      <c r="G469" s="3">
        <f t="shared" ca="1" si="120"/>
        <v>13.7</v>
      </c>
      <c r="H469" s="3">
        <f t="shared" ca="1" si="121"/>
        <v>31168</v>
      </c>
      <c r="I469" s="3">
        <f t="shared" ca="1" si="122"/>
        <v>8727</v>
      </c>
      <c r="J469" s="3">
        <f t="shared" ca="1" si="123"/>
        <v>521</v>
      </c>
      <c r="K469" s="3">
        <f t="shared" ca="1" si="124"/>
        <v>13</v>
      </c>
      <c r="L469" s="3">
        <f t="shared" ca="1" si="125"/>
        <v>15</v>
      </c>
      <c r="M469" s="3">
        <f t="shared" ca="1" si="126"/>
        <v>2</v>
      </c>
      <c r="N469" s="3" t="str">
        <f t="shared" ca="1" si="127"/>
        <v>On Time</v>
      </c>
      <c r="O469" s="3" t="str">
        <f t="shared" ca="1" si="128"/>
        <v>High</v>
      </c>
      <c r="P469" s="3">
        <f t="shared" ca="1" si="129"/>
        <v>45.7</v>
      </c>
      <c r="Q469" s="1" t="str">
        <f ca="1">VLOOKUP(D469,Routes!$A$2:$D$31,2,FALSE)</f>
        <v>Ahmedabad</v>
      </c>
      <c r="R469" s="1" t="str">
        <f ca="1">VLOOKUP(D469,Routes!$A$2:$D$31,3,FALSE)</f>
        <v>Jaipur</v>
      </c>
      <c r="S469" s="3">
        <f ca="1">VLOOKUP(D469,Routes!$A$2:$D$31,4,FALSE)</f>
        <v>670</v>
      </c>
      <c r="T469" s="3" t="str">
        <f ca="1">VLOOKUP(E469,Vehicles!$A$2:$D$21,2,FALSE)</f>
        <v>LCV</v>
      </c>
      <c r="U469" s="3">
        <f ca="1">VLOOKUP(E469,Vehicles!$A$2:$D$21,3,FALSE)</f>
        <v>6</v>
      </c>
      <c r="V469" s="3" t="str">
        <f ca="1">VLOOKUP(E469,Vehicles!$A$2:$D$21,4,FALSE)</f>
        <v>CNG</v>
      </c>
      <c r="W469" s="3">
        <f ca="1">VLOOKUP(V469,Fuel_Rates!$A$2:$B$3,2,FALSE)</f>
        <v>78</v>
      </c>
      <c r="X469" s="3">
        <f t="shared" ca="1" si="131"/>
        <v>46.52</v>
      </c>
      <c r="Y469" s="3">
        <f t="shared" ca="1" si="132"/>
        <v>40416</v>
      </c>
      <c r="Z469" s="3" t="str">
        <f t="shared" ca="1" si="133"/>
        <v>Jan</v>
      </c>
      <c r="AA469" s="3" t="str">
        <f t="shared" ca="1" si="134"/>
        <v>Q1</v>
      </c>
      <c r="AB469" s="4" t="str">
        <f t="shared" ca="1" si="135"/>
        <v>Medium Haul</v>
      </c>
    </row>
    <row r="470" spans="1:28" x14ac:dyDescent="0.3">
      <c r="A470" s="8" t="str">
        <f t="shared" si="130"/>
        <v>S0469</v>
      </c>
      <c r="B470" s="3">
        <f t="shared" ca="1" si="119"/>
        <v>45673</v>
      </c>
      <c r="C470" s="3" t="str">
        <f ca="1">INDEX(Customers!$A$2:$A$21,RANDBETWEEN(1,20))</f>
        <v>C001</v>
      </c>
      <c r="D470" s="3" t="str">
        <f ca="1">INDEX(Routes!$A$2:$A$31,RANDBETWEEN(1,30))</f>
        <v>R018</v>
      </c>
      <c r="E470" s="3" t="str">
        <f ca="1">INDEX(Vehicles!$A$2:$A$21,RANDBETWEEN(1,20))</f>
        <v>V013</v>
      </c>
      <c r="F470" s="3" t="str">
        <f ca="1">INDEX(Drivers!$A$2:$A$31,RANDBETWEEN(1,30))</f>
        <v>D027</v>
      </c>
      <c r="G470" s="3">
        <f t="shared" ca="1" si="120"/>
        <v>11.9</v>
      </c>
      <c r="H470" s="3">
        <f t="shared" ca="1" si="121"/>
        <v>24862</v>
      </c>
      <c r="I470" s="3">
        <f t="shared" ca="1" si="122"/>
        <v>6961</v>
      </c>
      <c r="J470" s="3">
        <f t="shared" ca="1" si="123"/>
        <v>1303</v>
      </c>
      <c r="K470" s="3">
        <f t="shared" ca="1" si="124"/>
        <v>26</v>
      </c>
      <c r="L470" s="3">
        <f t="shared" ca="1" si="125"/>
        <v>26</v>
      </c>
      <c r="M470" s="3">
        <f t="shared" ca="1" si="126"/>
        <v>0</v>
      </c>
      <c r="N470" s="3" t="str">
        <f t="shared" ca="1" si="127"/>
        <v>On Time</v>
      </c>
      <c r="O470" s="3" t="str">
        <f t="shared" ca="1" si="128"/>
        <v>High</v>
      </c>
      <c r="P470" s="3">
        <f t="shared" ca="1" si="129"/>
        <v>39.700000000000003</v>
      </c>
      <c r="Q470" s="1" t="str">
        <f ca="1">VLOOKUP(D470,Routes!$A$2:$D$31,2,FALSE)</f>
        <v>Ahmedabad</v>
      </c>
      <c r="R470" s="1" t="str">
        <f ca="1">VLOOKUP(D470,Routes!$A$2:$D$31,3,FALSE)</f>
        <v>Jaipur</v>
      </c>
      <c r="S470" s="3">
        <f ca="1">VLOOKUP(D470,Routes!$A$2:$D$31,4,FALSE)</f>
        <v>670</v>
      </c>
      <c r="T470" s="3" t="str">
        <f ca="1">VLOOKUP(E470,Vehicles!$A$2:$D$21,2,FALSE)</f>
        <v>LCV</v>
      </c>
      <c r="U470" s="3">
        <f ca="1">VLOOKUP(E470,Vehicles!$A$2:$D$21,3,FALSE)</f>
        <v>4</v>
      </c>
      <c r="V470" s="3" t="str">
        <f ca="1">VLOOKUP(E470,Vehicles!$A$2:$D$21,4,FALSE)</f>
        <v>CNG</v>
      </c>
      <c r="W470" s="3">
        <f ca="1">VLOOKUP(V470,Fuel_Rates!$A$2:$B$3,2,FALSE)</f>
        <v>78</v>
      </c>
      <c r="X470" s="3">
        <f t="shared" ca="1" si="131"/>
        <v>37.11</v>
      </c>
      <c r="Y470" s="3">
        <f t="shared" ca="1" si="132"/>
        <v>33126</v>
      </c>
      <c r="Z470" s="3" t="str">
        <f t="shared" ca="1" si="133"/>
        <v>Jan</v>
      </c>
      <c r="AA470" s="3" t="str">
        <f t="shared" ca="1" si="134"/>
        <v>Q1</v>
      </c>
      <c r="AB470" s="4" t="str">
        <f t="shared" ca="1" si="135"/>
        <v>Medium Haul</v>
      </c>
    </row>
    <row r="471" spans="1:28" x14ac:dyDescent="0.3">
      <c r="A471" s="8" t="str">
        <f t="shared" si="130"/>
        <v>S0470</v>
      </c>
      <c r="B471" s="3">
        <f t="shared" ca="1" si="119"/>
        <v>45896</v>
      </c>
      <c r="C471" s="3" t="str">
        <f ca="1">INDEX(Customers!$A$2:$A$21,RANDBETWEEN(1,20))</f>
        <v>C006</v>
      </c>
      <c r="D471" s="3" t="str">
        <f ca="1">INDEX(Routes!$A$2:$A$31,RANDBETWEEN(1,30))</f>
        <v>R017</v>
      </c>
      <c r="E471" s="3" t="str">
        <f ca="1">INDEX(Vehicles!$A$2:$A$21,RANDBETWEEN(1,20))</f>
        <v>V012</v>
      </c>
      <c r="F471" s="3" t="str">
        <f ca="1">INDEX(Drivers!$A$2:$A$31,RANDBETWEEN(1,30))</f>
        <v>D015</v>
      </c>
      <c r="G471" s="3">
        <f t="shared" ca="1" si="120"/>
        <v>23.9</v>
      </c>
      <c r="H471" s="3">
        <f t="shared" ca="1" si="121"/>
        <v>55556</v>
      </c>
      <c r="I471" s="3">
        <f t="shared" ca="1" si="122"/>
        <v>15556</v>
      </c>
      <c r="J471" s="3">
        <f t="shared" ca="1" si="123"/>
        <v>1753</v>
      </c>
      <c r="K471" s="3">
        <f t="shared" ca="1" si="124"/>
        <v>15</v>
      </c>
      <c r="L471" s="3">
        <f t="shared" ca="1" si="125"/>
        <v>19</v>
      </c>
      <c r="M471" s="3">
        <f t="shared" ca="1" si="126"/>
        <v>4</v>
      </c>
      <c r="N471" s="3" t="str">
        <f t="shared" ca="1" si="127"/>
        <v>Delayed</v>
      </c>
      <c r="O471" s="3" t="str">
        <f t="shared" ca="1" si="128"/>
        <v>Medium</v>
      </c>
      <c r="P471" s="3">
        <f t="shared" ca="1" si="129"/>
        <v>79.7</v>
      </c>
      <c r="Q471" s="1" t="str">
        <f ca="1">VLOOKUP(D471,Routes!$A$2:$D$31,2,FALSE)</f>
        <v>Kolkata</v>
      </c>
      <c r="R471" s="1" t="str">
        <f ca="1">VLOOKUP(D471,Routes!$A$2:$D$31,3,FALSE)</f>
        <v>Patna</v>
      </c>
      <c r="S471" s="3">
        <f ca="1">VLOOKUP(D471,Routes!$A$2:$D$31,4,FALSE)</f>
        <v>620</v>
      </c>
      <c r="T471" s="3" t="str">
        <f ca="1">VLOOKUP(E471,Vehicles!$A$2:$D$21,2,FALSE)</f>
        <v>Truck</v>
      </c>
      <c r="U471" s="3">
        <f ca="1">VLOOKUP(E471,Vehicles!$A$2:$D$21,3,FALSE)</f>
        <v>20</v>
      </c>
      <c r="V471" s="3" t="str">
        <f ca="1">VLOOKUP(E471,Vehicles!$A$2:$D$21,4,FALSE)</f>
        <v>CNG</v>
      </c>
      <c r="W471" s="3">
        <f ca="1">VLOOKUP(V471,Fuel_Rates!$A$2:$B$3,2,FALSE)</f>
        <v>78</v>
      </c>
      <c r="X471" s="3">
        <f t="shared" ca="1" si="131"/>
        <v>89.61</v>
      </c>
      <c r="Y471" s="3">
        <f t="shared" ca="1" si="132"/>
        <v>72865</v>
      </c>
      <c r="Z471" s="3" t="str">
        <f t="shared" ca="1" si="133"/>
        <v>Aug</v>
      </c>
      <c r="AA471" s="3" t="str">
        <f t="shared" ca="1" si="134"/>
        <v>Q3</v>
      </c>
      <c r="AB471" s="4" t="str">
        <f t="shared" ca="1" si="135"/>
        <v>Medium Haul</v>
      </c>
    </row>
    <row r="472" spans="1:28" x14ac:dyDescent="0.3">
      <c r="A472" s="8" t="str">
        <f t="shared" si="130"/>
        <v>S0471</v>
      </c>
      <c r="B472" s="3">
        <f t="shared" ca="1" si="119"/>
        <v>45788</v>
      </c>
      <c r="C472" s="3" t="str">
        <f ca="1">INDEX(Customers!$A$2:$A$21,RANDBETWEEN(1,20))</f>
        <v>C014</v>
      </c>
      <c r="D472" s="3" t="str">
        <f ca="1">INDEX(Routes!$A$2:$A$31,RANDBETWEEN(1,30))</f>
        <v>R016</v>
      </c>
      <c r="E472" s="3" t="str">
        <f ca="1">INDEX(Vehicles!$A$2:$A$21,RANDBETWEEN(1,20))</f>
        <v>V004</v>
      </c>
      <c r="F472" s="3" t="str">
        <f ca="1">INDEX(Drivers!$A$2:$A$31,RANDBETWEEN(1,30))</f>
        <v>D029</v>
      </c>
      <c r="G472" s="3">
        <f t="shared" ca="1" si="120"/>
        <v>21.4</v>
      </c>
      <c r="H472" s="3">
        <f t="shared" ca="1" si="121"/>
        <v>46904</v>
      </c>
      <c r="I472" s="3">
        <f t="shared" ca="1" si="122"/>
        <v>13133</v>
      </c>
      <c r="J472" s="3">
        <f t="shared" ca="1" si="123"/>
        <v>3533</v>
      </c>
      <c r="K472" s="3">
        <f t="shared" ca="1" si="124"/>
        <v>35</v>
      </c>
      <c r="L472" s="3">
        <f t="shared" ca="1" si="125"/>
        <v>37</v>
      </c>
      <c r="M472" s="3">
        <f t="shared" ca="1" si="126"/>
        <v>2</v>
      </c>
      <c r="N472" s="3" t="str">
        <f t="shared" ca="1" si="127"/>
        <v>On Time</v>
      </c>
      <c r="O472" s="3" t="str">
        <f t="shared" ca="1" si="128"/>
        <v>High</v>
      </c>
      <c r="P472" s="3">
        <f t="shared" ca="1" si="129"/>
        <v>71.3</v>
      </c>
      <c r="Q472" s="1" t="str">
        <f ca="1">VLOOKUP(D472,Routes!$A$2:$D$31,2,FALSE)</f>
        <v>Kolkata</v>
      </c>
      <c r="R472" s="1" t="str">
        <f ca="1">VLOOKUP(D472,Routes!$A$2:$D$31,3,FALSE)</f>
        <v>Bhubaneswar</v>
      </c>
      <c r="S472" s="3">
        <f ca="1">VLOOKUP(D472,Routes!$A$2:$D$31,4,FALSE)</f>
        <v>440</v>
      </c>
      <c r="T472" s="3" t="str">
        <f ca="1">VLOOKUP(E472,Vehicles!$A$2:$D$21,2,FALSE)</f>
        <v>Trailer</v>
      </c>
      <c r="U472" s="3">
        <f ca="1">VLOOKUP(E472,Vehicles!$A$2:$D$21,3,FALSE)</f>
        <v>28</v>
      </c>
      <c r="V472" s="3" t="str">
        <f ca="1">VLOOKUP(E472,Vehicles!$A$2:$D$21,4,FALSE)</f>
        <v>Diesel</v>
      </c>
      <c r="W472" s="3">
        <f ca="1">VLOOKUP(V472,Fuel_Rates!$A$2:$B$3,2,FALSE)</f>
        <v>95</v>
      </c>
      <c r="X472" s="3">
        <f t="shared" ca="1" si="131"/>
        <v>106.6</v>
      </c>
      <c r="Y472" s="3">
        <f t="shared" ca="1" si="132"/>
        <v>63570</v>
      </c>
      <c r="Z472" s="3" t="str">
        <f t="shared" ca="1" si="133"/>
        <v>May</v>
      </c>
      <c r="AA472" s="3" t="str">
        <f t="shared" ca="1" si="134"/>
        <v>Q2</v>
      </c>
      <c r="AB472" s="4" t="str">
        <f t="shared" ca="1" si="135"/>
        <v>Medium Haul</v>
      </c>
    </row>
    <row r="473" spans="1:28" x14ac:dyDescent="0.3">
      <c r="A473" s="8" t="str">
        <f t="shared" si="130"/>
        <v>S0472</v>
      </c>
      <c r="B473" s="3">
        <f t="shared" ca="1" si="119"/>
        <v>45973</v>
      </c>
      <c r="C473" s="3" t="str">
        <f ca="1">INDEX(Customers!$A$2:$A$21,RANDBETWEEN(1,20))</f>
        <v>C008</v>
      </c>
      <c r="D473" s="3" t="str">
        <f ca="1">INDEX(Routes!$A$2:$A$31,RANDBETWEEN(1,30))</f>
        <v>R026</v>
      </c>
      <c r="E473" s="3" t="str">
        <f ca="1">INDEX(Vehicles!$A$2:$A$21,RANDBETWEEN(1,20))</f>
        <v>V005</v>
      </c>
      <c r="F473" s="3" t="str">
        <f ca="1">INDEX(Drivers!$A$2:$A$31,RANDBETWEEN(1,30))</f>
        <v>D027</v>
      </c>
      <c r="G473" s="3">
        <f t="shared" ca="1" si="120"/>
        <v>7.2</v>
      </c>
      <c r="H473" s="3">
        <f t="shared" ca="1" si="121"/>
        <v>23157</v>
      </c>
      <c r="I473" s="3">
        <f t="shared" ca="1" si="122"/>
        <v>6484</v>
      </c>
      <c r="J473" s="3">
        <f t="shared" ca="1" si="123"/>
        <v>2830</v>
      </c>
      <c r="K473" s="3">
        <f t="shared" ca="1" si="124"/>
        <v>41</v>
      </c>
      <c r="L473" s="3">
        <f t="shared" ca="1" si="125"/>
        <v>46</v>
      </c>
      <c r="M473" s="3">
        <f t="shared" ca="1" si="126"/>
        <v>5</v>
      </c>
      <c r="N473" s="3" t="str">
        <f t="shared" ca="1" si="127"/>
        <v>Delayed</v>
      </c>
      <c r="O473" s="3" t="str">
        <f t="shared" ca="1" si="128"/>
        <v>Medium</v>
      </c>
      <c r="P473" s="3">
        <f t="shared" ca="1" si="129"/>
        <v>24</v>
      </c>
      <c r="Q473" s="1" t="str">
        <f ca="1">VLOOKUP(D473,Routes!$A$2:$D$31,2,FALSE)</f>
        <v>Nagpur</v>
      </c>
      <c r="R473" s="1" t="str">
        <f ca="1">VLOOKUP(D473,Routes!$A$2:$D$31,3,FALSE)</f>
        <v>Bhopal</v>
      </c>
      <c r="S473" s="3">
        <f ca="1">VLOOKUP(D473,Routes!$A$2:$D$31,4,FALSE)</f>
        <v>350</v>
      </c>
      <c r="T473" s="3" t="str">
        <f ca="1">VLOOKUP(E473,Vehicles!$A$2:$D$21,2,FALSE)</f>
        <v>Trailer</v>
      </c>
      <c r="U473" s="3">
        <f ca="1">VLOOKUP(E473,Vehicles!$A$2:$D$21,3,FALSE)</f>
        <v>32</v>
      </c>
      <c r="V473" s="3" t="str">
        <f ca="1">VLOOKUP(E473,Vehicles!$A$2:$D$21,4,FALSE)</f>
        <v>Diesel</v>
      </c>
      <c r="W473" s="3">
        <f ca="1">VLOOKUP(V473,Fuel_Rates!$A$2:$B$3,2,FALSE)</f>
        <v>95</v>
      </c>
      <c r="X473" s="3">
        <f t="shared" ca="1" si="131"/>
        <v>66.16</v>
      </c>
      <c r="Y473" s="3">
        <f t="shared" ca="1" si="132"/>
        <v>32471</v>
      </c>
      <c r="Z473" s="3" t="str">
        <f t="shared" ca="1" si="133"/>
        <v>Nov</v>
      </c>
      <c r="AA473" s="3" t="str">
        <f t="shared" ca="1" si="134"/>
        <v>Q4</v>
      </c>
      <c r="AB473" s="4" t="str">
        <f t="shared" ca="1" si="135"/>
        <v>Medium Haul</v>
      </c>
    </row>
    <row r="474" spans="1:28" x14ac:dyDescent="0.3">
      <c r="A474" s="8" t="str">
        <f t="shared" si="130"/>
        <v>S0473</v>
      </c>
      <c r="B474" s="3">
        <f t="shared" ca="1" si="119"/>
        <v>45674</v>
      </c>
      <c r="C474" s="3" t="str">
        <f ca="1">INDEX(Customers!$A$2:$A$21,RANDBETWEEN(1,20))</f>
        <v>C011</v>
      </c>
      <c r="D474" s="3" t="str">
        <f ca="1">INDEX(Routes!$A$2:$A$31,RANDBETWEEN(1,30))</f>
        <v>R014</v>
      </c>
      <c r="E474" s="3" t="str">
        <f ca="1">INDEX(Vehicles!$A$2:$A$21,RANDBETWEEN(1,20))</f>
        <v>V017</v>
      </c>
      <c r="F474" s="3" t="str">
        <f ca="1">INDEX(Drivers!$A$2:$A$31,RANDBETWEEN(1,30))</f>
        <v>D018</v>
      </c>
      <c r="G474" s="3">
        <f t="shared" ca="1" si="120"/>
        <v>14.1</v>
      </c>
      <c r="H474" s="3">
        <f t="shared" ca="1" si="121"/>
        <v>33997</v>
      </c>
      <c r="I474" s="3">
        <f t="shared" ca="1" si="122"/>
        <v>9519</v>
      </c>
      <c r="J474" s="3">
        <f t="shared" ca="1" si="123"/>
        <v>3168</v>
      </c>
      <c r="K474" s="3">
        <f t="shared" ca="1" si="124"/>
        <v>46</v>
      </c>
      <c r="L474" s="3">
        <f t="shared" ca="1" si="125"/>
        <v>49</v>
      </c>
      <c r="M474" s="3">
        <f t="shared" ca="1" si="126"/>
        <v>3</v>
      </c>
      <c r="N474" s="3" t="str">
        <f t="shared" ca="1" si="127"/>
        <v>Delayed</v>
      </c>
      <c r="O474" s="3" t="str">
        <f t="shared" ca="1" si="128"/>
        <v>Low</v>
      </c>
      <c r="P474" s="3">
        <f t="shared" ca="1" si="129"/>
        <v>47</v>
      </c>
      <c r="Q474" s="1" t="str">
        <f ca="1">VLOOKUP(D474,Routes!$A$2:$D$31,2,FALSE)</f>
        <v>Hyderabad</v>
      </c>
      <c r="R474" s="1" t="str">
        <f ca="1">VLOOKUP(D474,Routes!$A$2:$D$31,3,FALSE)</f>
        <v>Nagpur</v>
      </c>
      <c r="S474" s="3">
        <f ca="1">VLOOKUP(D474,Routes!$A$2:$D$31,4,FALSE)</f>
        <v>500</v>
      </c>
      <c r="T474" s="3" t="str">
        <f ca="1">VLOOKUP(E474,Vehicles!$A$2:$D$21,2,FALSE)</f>
        <v>Truck</v>
      </c>
      <c r="U474" s="3">
        <f ca="1">VLOOKUP(E474,Vehicles!$A$2:$D$21,3,FALSE)</f>
        <v>24</v>
      </c>
      <c r="V474" s="3" t="str">
        <f ca="1">VLOOKUP(E474,Vehicles!$A$2:$D$21,4,FALSE)</f>
        <v>Diesel</v>
      </c>
      <c r="W474" s="3">
        <f ca="1">VLOOKUP(V474,Fuel_Rates!$A$2:$B$3,2,FALSE)</f>
        <v>95</v>
      </c>
      <c r="X474" s="3">
        <f t="shared" ca="1" si="131"/>
        <v>67.989999999999995</v>
      </c>
      <c r="Y474" s="3">
        <f t="shared" ca="1" si="132"/>
        <v>46684</v>
      </c>
      <c r="Z474" s="3" t="str">
        <f t="shared" ca="1" si="133"/>
        <v>Jan</v>
      </c>
      <c r="AA474" s="3" t="str">
        <f t="shared" ca="1" si="134"/>
        <v>Q1</v>
      </c>
      <c r="AB474" s="4" t="str">
        <f t="shared" ca="1" si="135"/>
        <v>Medium Haul</v>
      </c>
    </row>
    <row r="475" spans="1:28" x14ac:dyDescent="0.3">
      <c r="A475" s="8" t="str">
        <f t="shared" si="130"/>
        <v>S0474</v>
      </c>
      <c r="B475" s="3">
        <f t="shared" ca="1" si="119"/>
        <v>45741</v>
      </c>
      <c r="C475" s="3" t="str">
        <f ca="1">INDEX(Customers!$A$2:$A$21,RANDBETWEEN(1,20))</f>
        <v>C005</v>
      </c>
      <c r="D475" s="3" t="str">
        <f ca="1">INDEX(Routes!$A$2:$A$31,RANDBETWEEN(1,30))</f>
        <v>R021</v>
      </c>
      <c r="E475" s="3" t="str">
        <f ca="1">INDEX(Vehicles!$A$2:$A$21,RANDBETWEEN(1,20))</f>
        <v>V009</v>
      </c>
      <c r="F475" s="3" t="str">
        <f ca="1">INDEX(Drivers!$A$2:$A$31,RANDBETWEEN(1,30))</f>
        <v>D025</v>
      </c>
      <c r="G475" s="3">
        <f t="shared" ca="1" si="120"/>
        <v>25.6</v>
      </c>
      <c r="H475" s="3">
        <f t="shared" ca="1" si="121"/>
        <v>51770</v>
      </c>
      <c r="I475" s="3">
        <f t="shared" ca="1" si="122"/>
        <v>14496</v>
      </c>
      <c r="J475" s="3">
        <f t="shared" ca="1" si="123"/>
        <v>1790</v>
      </c>
      <c r="K475" s="3">
        <f t="shared" ca="1" si="124"/>
        <v>19</v>
      </c>
      <c r="L475" s="3">
        <f t="shared" ca="1" si="125"/>
        <v>26</v>
      </c>
      <c r="M475" s="3">
        <f t="shared" ca="1" si="126"/>
        <v>7</v>
      </c>
      <c r="N475" s="3" t="str">
        <f t="shared" ca="1" si="127"/>
        <v>Delayed</v>
      </c>
      <c r="O475" s="3" t="str">
        <f t="shared" ca="1" si="128"/>
        <v>Medium</v>
      </c>
      <c r="P475" s="3">
        <f t="shared" ca="1" si="129"/>
        <v>85.3</v>
      </c>
      <c r="Q475" s="1" t="str">
        <f ca="1">VLOOKUP(D475,Routes!$A$2:$D$31,2,FALSE)</f>
        <v>Lucknow</v>
      </c>
      <c r="R475" s="1" t="str">
        <f ca="1">VLOOKUP(D475,Routes!$A$2:$D$31,3,FALSE)</f>
        <v>Kanpur</v>
      </c>
      <c r="S475" s="3">
        <f ca="1">VLOOKUP(D475,Routes!$A$2:$D$31,4,FALSE)</f>
        <v>90</v>
      </c>
      <c r="T475" s="3" t="str">
        <f ca="1">VLOOKUP(E475,Vehicles!$A$2:$D$21,2,FALSE)</f>
        <v>LCV</v>
      </c>
      <c r="U475" s="3">
        <f ca="1">VLOOKUP(E475,Vehicles!$A$2:$D$21,3,FALSE)</f>
        <v>5</v>
      </c>
      <c r="V475" s="3" t="str">
        <f ca="1">VLOOKUP(E475,Vehicles!$A$2:$D$21,4,FALSE)</f>
        <v>Diesel</v>
      </c>
      <c r="W475" s="3">
        <f ca="1">VLOOKUP(V475,Fuel_Rates!$A$2:$B$3,2,FALSE)</f>
        <v>95</v>
      </c>
      <c r="X475" s="3">
        <f t="shared" ca="1" si="131"/>
        <v>575.22</v>
      </c>
      <c r="Y475" s="3">
        <f t="shared" ca="1" si="132"/>
        <v>68056</v>
      </c>
      <c r="Z475" s="3" t="str">
        <f t="shared" ca="1" si="133"/>
        <v>Mar</v>
      </c>
      <c r="AA475" s="3" t="str">
        <f t="shared" ca="1" si="134"/>
        <v>Q1</v>
      </c>
      <c r="AB475" s="4" t="str">
        <f t="shared" ca="1" si="135"/>
        <v>Short Haul</v>
      </c>
    </row>
    <row r="476" spans="1:28" x14ac:dyDescent="0.3">
      <c r="A476" s="8" t="str">
        <f t="shared" si="130"/>
        <v>S0475</v>
      </c>
      <c r="B476" s="3">
        <f t="shared" ca="1" si="119"/>
        <v>45916</v>
      </c>
      <c r="C476" s="3" t="str">
        <f ca="1">INDEX(Customers!$A$2:$A$21,RANDBETWEEN(1,20))</f>
        <v>C010</v>
      </c>
      <c r="D476" s="3" t="str">
        <f ca="1">INDEX(Routes!$A$2:$A$31,RANDBETWEEN(1,30))</f>
        <v>R011</v>
      </c>
      <c r="E476" s="3" t="str">
        <f ca="1">INDEX(Vehicles!$A$2:$A$21,RANDBETWEEN(1,20))</f>
        <v>V005</v>
      </c>
      <c r="F476" s="3" t="str">
        <f ca="1">INDEX(Drivers!$A$2:$A$31,RANDBETWEEN(1,30))</f>
        <v>D001</v>
      </c>
      <c r="G476" s="3">
        <f t="shared" ca="1" si="120"/>
        <v>7.7</v>
      </c>
      <c r="H476" s="3">
        <f t="shared" ca="1" si="121"/>
        <v>22028</v>
      </c>
      <c r="I476" s="3">
        <f t="shared" ca="1" si="122"/>
        <v>6168</v>
      </c>
      <c r="J476" s="3">
        <f t="shared" ca="1" si="123"/>
        <v>1653</v>
      </c>
      <c r="K476" s="3">
        <f t="shared" ca="1" si="124"/>
        <v>17</v>
      </c>
      <c r="L476" s="3">
        <f t="shared" ca="1" si="125"/>
        <v>23</v>
      </c>
      <c r="M476" s="3">
        <f t="shared" ca="1" si="126"/>
        <v>6</v>
      </c>
      <c r="N476" s="3" t="str">
        <f t="shared" ca="1" si="127"/>
        <v>Delayed</v>
      </c>
      <c r="O476" s="3" t="str">
        <f t="shared" ca="1" si="128"/>
        <v>High</v>
      </c>
      <c r="P476" s="3">
        <f t="shared" ca="1" si="129"/>
        <v>25.7</v>
      </c>
      <c r="Q476" s="1" t="str">
        <f ca="1">VLOOKUP(D476,Routes!$A$2:$D$31,2,FALSE)</f>
        <v>Bengaluru</v>
      </c>
      <c r="R476" s="1" t="str">
        <f ca="1">VLOOKUP(D476,Routes!$A$2:$D$31,3,FALSE)</f>
        <v>Kochi</v>
      </c>
      <c r="S476" s="3">
        <f ca="1">VLOOKUP(D476,Routes!$A$2:$D$31,4,FALSE)</f>
        <v>550</v>
      </c>
      <c r="T476" s="3" t="str">
        <f ca="1">VLOOKUP(E476,Vehicles!$A$2:$D$21,2,FALSE)</f>
        <v>Trailer</v>
      </c>
      <c r="U476" s="3">
        <f ca="1">VLOOKUP(E476,Vehicles!$A$2:$D$21,3,FALSE)</f>
        <v>32</v>
      </c>
      <c r="V476" s="3" t="str">
        <f ca="1">VLOOKUP(E476,Vehicles!$A$2:$D$21,4,FALSE)</f>
        <v>Diesel</v>
      </c>
      <c r="W476" s="3">
        <f ca="1">VLOOKUP(V476,Fuel_Rates!$A$2:$B$3,2,FALSE)</f>
        <v>95</v>
      </c>
      <c r="X476" s="3">
        <f t="shared" ca="1" si="131"/>
        <v>40.049999999999997</v>
      </c>
      <c r="Y476" s="3">
        <f t="shared" ca="1" si="132"/>
        <v>29849</v>
      </c>
      <c r="Z476" s="3" t="str">
        <f t="shared" ca="1" si="133"/>
        <v>Sep</v>
      </c>
      <c r="AA476" s="3" t="str">
        <f t="shared" ca="1" si="134"/>
        <v>Q3</v>
      </c>
      <c r="AB476" s="4" t="str">
        <f t="shared" ca="1" si="135"/>
        <v>Medium Haul</v>
      </c>
    </row>
    <row r="477" spans="1:28" x14ac:dyDescent="0.3">
      <c r="A477" s="8" t="str">
        <f t="shared" si="130"/>
        <v>S0476</v>
      </c>
      <c r="B477" s="3">
        <f t="shared" ca="1" si="119"/>
        <v>45679</v>
      </c>
      <c r="C477" s="3" t="str">
        <f ca="1">INDEX(Customers!$A$2:$A$21,RANDBETWEEN(1,20))</f>
        <v>C005</v>
      </c>
      <c r="D477" s="3" t="str">
        <f ca="1">INDEX(Routes!$A$2:$A$31,RANDBETWEEN(1,30))</f>
        <v>R002</v>
      </c>
      <c r="E477" s="3" t="str">
        <f ca="1">INDEX(Vehicles!$A$2:$A$21,RANDBETWEEN(1,20))</f>
        <v>V011</v>
      </c>
      <c r="F477" s="3" t="str">
        <f ca="1">INDEX(Drivers!$A$2:$A$31,RANDBETWEEN(1,30))</f>
        <v>D012</v>
      </c>
      <c r="G477" s="3">
        <f t="shared" ca="1" si="120"/>
        <v>21.2</v>
      </c>
      <c r="H477" s="3">
        <f t="shared" ca="1" si="121"/>
        <v>47611</v>
      </c>
      <c r="I477" s="3">
        <f t="shared" ca="1" si="122"/>
        <v>13331</v>
      </c>
      <c r="J477" s="3">
        <f t="shared" ca="1" si="123"/>
        <v>1640</v>
      </c>
      <c r="K477" s="3">
        <f t="shared" ca="1" si="124"/>
        <v>31</v>
      </c>
      <c r="L477" s="3">
        <f t="shared" ca="1" si="125"/>
        <v>32</v>
      </c>
      <c r="M477" s="3">
        <f t="shared" ca="1" si="126"/>
        <v>1</v>
      </c>
      <c r="N477" s="3" t="str">
        <f t="shared" ca="1" si="127"/>
        <v>On Time</v>
      </c>
      <c r="O477" s="3" t="str">
        <f t="shared" ca="1" si="128"/>
        <v>Low</v>
      </c>
      <c r="P477" s="3">
        <f t="shared" ca="1" si="129"/>
        <v>70.7</v>
      </c>
      <c r="Q477" s="1" t="str">
        <f ca="1">VLOOKUP(D477,Routes!$A$2:$D$31,2,FALSE)</f>
        <v>Mumbai</v>
      </c>
      <c r="R477" s="1" t="str">
        <f ca="1">VLOOKUP(D477,Routes!$A$2:$D$31,3,FALSE)</f>
        <v>Ahmedabad</v>
      </c>
      <c r="S477" s="3">
        <f ca="1">VLOOKUP(D477,Routes!$A$2:$D$31,4,FALSE)</f>
        <v>530</v>
      </c>
      <c r="T477" s="3" t="str">
        <f ca="1">VLOOKUP(E477,Vehicles!$A$2:$D$21,2,FALSE)</f>
        <v>Truck</v>
      </c>
      <c r="U477" s="3">
        <f ca="1">VLOOKUP(E477,Vehicles!$A$2:$D$21,3,FALSE)</f>
        <v>18</v>
      </c>
      <c r="V477" s="3" t="str">
        <f ca="1">VLOOKUP(E477,Vehicles!$A$2:$D$21,4,FALSE)</f>
        <v>CNG</v>
      </c>
      <c r="W477" s="3">
        <f ca="1">VLOOKUP(V477,Fuel_Rates!$A$2:$B$3,2,FALSE)</f>
        <v>78</v>
      </c>
      <c r="X477" s="3">
        <f t="shared" ca="1" si="131"/>
        <v>89.83</v>
      </c>
      <c r="Y477" s="3">
        <f t="shared" ca="1" si="132"/>
        <v>62582</v>
      </c>
      <c r="Z477" s="3" t="str">
        <f t="shared" ca="1" si="133"/>
        <v>Jan</v>
      </c>
      <c r="AA477" s="3" t="str">
        <f t="shared" ca="1" si="134"/>
        <v>Q1</v>
      </c>
      <c r="AB477" s="4" t="str">
        <f t="shared" ca="1" si="135"/>
        <v>Medium Haul</v>
      </c>
    </row>
    <row r="478" spans="1:28" x14ac:dyDescent="0.3">
      <c r="A478" s="8" t="str">
        <f t="shared" si="130"/>
        <v>S0477</v>
      </c>
      <c r="B478" s="3">
        <f t="shared" ca="1" si="119"/>
        <v>45947</v>
      </c>
      <c r="C478" s="3" t="str">
        <f ca="1">INDEX(Customers!$A$2:$A$21,RANDBETWEEN(1,20))</f>
        <v>C004</v>
      </c>
      <c r="D478" s="3" t="str">
        <f ca="1">INDEX(Routes!$A$2:$A$31,RANDBETWEEN(1,30))</f>
        <v>R011</v>
      </c>
      <c r="E478" s="3" t="str">
        <f ca="1">INDEX(Vehicles!$A$2:$A$21,RANDBETWEEN(1,20))</f>
        <v>V007</v>
      </c>
      <c r="F478" s="3" t="str">
        <f ca="1">INDEX(Drivers!$A$2:$A$31,RANDBETWEEN(1,30))</f>
        <v>D012</v>
      </c>
      <c r="G478" s="3">
        <f t="shared" ca="1" si="120"/>
        <v>2.5</v>
      </c>
      <c r="H478" s="3">
        <f t="shared" ca="1" si="121"/>
        <v>12287</v>
      </c>
      <c r="I478" s="3">
        <f t="shared" ca="1" si="122"/>
        <v>3440</v>
      </c>
      <c r="J478" s="3">
        <f t="shared" ca="1" si="123"/>
        <v>2793</v>
      </c>
      <c r="K478" s="3">
        <f t="shared" ca="1" si="124"/>
        <v>42</v>
      </c>
      <c r="L478" s="3">
        <f t="shared" ca="1" si="125"/>
        <v>42</v>
      </c>
      <c r="M478" s="3">
        <f t="shared" ca="1" si="126"/>
        <v>0</v>
      </c>
      <c r="N478" s="3" t="str">
        <f t="shared" ca="1" si="127"/>
        <v>On Time</v>
      </c>
      <c r="O478" s="3" t="str">
        <f t="shared" ca="1" si="128"/>
        <v>Medium</v>
      </c>
      <c r="P478" s="3">
        <f t="shared" ca="1" si="129"/>
        <v>8.3000000000000007</v>
      </c>
      <c r="Q478" s="1" t="str">
        <f ca="1">VLOOKUP(D478,Routes!$A$2:$D$31,2,FALSE)</f>
        <v>Bengaluru</v>
      </c>
      <c r="R478" s="1" t="str">
        <f ca="1">VLOOKUP(D478,Routes!$A$2:$D$31,3,FALSE)</f>
        <v>Kochi</v>
      </c>
      <c r="S478" s="3">
        <f ca="1">VLOOKUP(D478,Routes!$A$2:$D$31,4,FALSE)</f>
        <v>550</v>
      </c>
      <c r="T478" s="3" t="str">
        <f ca="1">VLOOKUP(E478,Vehicles!$A$2:$D$21,2,FALSE)</f>
        <v>Container</v>
      </c>
      <c r="U478" s="3">
        <f ca="1">VLOOKUP(E478,Vehicles!$A$2:$D$21,3,FALSE)</f>
        <v>20</v>
      </c>
      <c r="V478" s="3" t="str">
        <f ca="1">VLOOKUP(E478,Vehicles!$A$2:$D$21,4,FALSE)</f>
        <v>Diesel</v>
      </c>
      <c r="W478" s="3">
        <f ca="1">VLOOKUP(V478,Fuel_Rates!$A$2:$B$3,2,FALSE)</f>
        <v>95</v>
      </c>
      <c r="X478" s="3">
        <f t="shared" ca="1" si="131"/>
        <v>22.34</v>
      </c>
      <c r="Y478" s="3">
        <f t="shared" ca="1" si="132"/>
        <v>18520</v>
      </c>
      <c r="Z478" s="3" t="str">
        <f t="shared" ca="1" si="133"/>
        <v>Oct</v>
      </c>
      <c r="AA478" s="3" t="str">
        <f t="shared" ca="1" si="134"/>
        <v>Q4</v>
      </c>
      <c r="AB478" s="4" t="str">
        <f t="shared" ca="1" si="135"/>
        <v>Medium Haul</v>
      </c>
    </row>
    <row r="479" spans="1:28" x14ac:dyDescent="0.3">
      <c r="A479" s="8" t="str">
        <f t="shared" si="130"/>
        <v>S0478</v>
      </c>
      <c r="B479" s="3">
        <f t="shared" ca="1" si="119"/>
        <v>45914</v>
      </c>
      <c r="C479" s="3" t="str">
        <f ca="1">INDEX(Customers!$A$2:$A$21,RANDBETWEEN(1,20))</f>
        <v>C005</v>
      </c>
      <c r="D479" s="3" t="str">
        <f ca="1">INDEX(Routes!$A$2:$A$31,RANDBETWEEN(1,30))</f>
        <v>R015</v>
      </c>
      <c r="E479" s="3" t="str">
        <f ca="1">INDEX(Vehicles!$A$2:$A$21,RANDBETWEEN(1,20))</f>
        <v>V015</v>
      </c>
      <c r="F479" s="3" t="str">
        <f ca="1">INDEX(Drivers!$A$2:$A$31,RANDBETWEEN(1,30))</f>
        <v>D010</v>
      </c>
      <c r="G479" s="3">
        <f t="shared" ca="1" si="120"/>
        <v>9.8000000000000007</v>
      </c>
      <c r="H479" s="3">
        <f t="shared" ca="1" si="121"/>
        <v>30525</v>
      </c>
      <c r="I479" s="3">
        <f t="shared" ca="1" si="122"/>
        <v>8547</v>
      </c>
      <c r="J479" s="3">
        <f t="shared" ca="1" si="123"/>
        <v>2020</v>
      </c>
      <c r="K479" s="3">
        <f t="shared" ca="1" si="124"/>
        <v>28</v>
      </c>
      <c r="L479" s="3">
        <f t="shared" ca="1" si="125"/>
        <v>31</v>
      </c>
      <c r="M479" s="3">
        <f t="shared" ca="1" si="126"/>
        <v>3</v>
      </c>
      <c r="N479" s="3" t="str">
        <f t="shared" ca="1" si="127"/>
        <v>Delayed</v>
      </c>
      <c r="O479" s="3" t="str">
        <f t="shared" ca="1" si="128"/>
        <v>High</v>
      </c>
      <c r="P479" s="3">
        <f t="shared" ca="1" si="129"/>
        <v>32.700000000000003</v>
      </c>
      <c r="Q479" s="1" t="str">
        <f ca="1">VLOOKUP(D479,Routes!$A$2:$D$31,2,FALSE)</f>
        <v>Hyderabad</v>
      </c>
      <c r="R479" s="1" t="str">
        <f ca="1">VLOOKUP(D479,Routes!$A$2:$D$31,3,FALSE)</f>
        <v>Pune</v>
      </c>
      <c r="S479" s="3">
        <f ca="1">VLOOKUP(D479,Routes!$A$2:$D$31,4,FALSE)</f>
        <v>560</v>
      </c>
      <c r="T479" s="3" t="str">
        <f ca="1">VLOOKUP(E479,Vehicles!$A$2:$D$21,2,FALSE)</f>
        <v>Trailer</v>
      </c>
      <c r="U479" s="3">
        <f ca="1">VLOOKUP(E479,Vehicles!$A$2:$D$21,3,FALSE)</f>
        <v>30</v>
      </c>
      <c r="V479" s="3" t="str">
        <f ca="1">VLOOKUP(E479,Vehicles!$A$2:$D$21,4,FALSE)</f>
        <v>Diesel</v>
      </c>
      <c r="W479" s="3">
        <f ca="1">VLOOKUP(V479,Fuel_Rates!$A$2:$B$3,2,FALSE)</f>
        <v>95</v>
      </c>
      <c r="X479" s="3">
        <f t="shared" ca="1" si="131"/>
        <v>54.51</v>
      </c>
      <c r="Y479" s="3">
        <f t="shared" ca="1" si="132"/>
        <v>41092</v>
      </c>
      <c r="Z479" s="3" t="str">
        <f t="shared" ca="1" si="133"/>
        <v>Sep</v>
      </c>
      <c r="AA479" s="3" t="str">
        <f t="shared" ca="1" si="134"/>
        <v>Q3</v>
      </c>
      <c r="AB479" s="4" t="str">
        <f t="shared" ca="1" si="135"/>
        <v>Medium Haul</v>
      </c>
    </row>
    <row r="480" spans="1:28" x14ac:dyDescent="0.3">
      <c r="A480" s="8" t="str">
        <f t="shared" si="130"/>
        <v>S0479</v>
      </c>
      <c r="B480" s="3">
        <f t="shared" ca="1" si="119"/>
        <v>45933</v>
      </c>
      <c r="C480" s="3" t="str">
        <f ca="1">INDEX(Customers!$A$2:$A$21,RANDBETWEEN(1,20))</f>
        <v>C018</v>
      </c>
      <c r="D480" s="3" t="str">
        <f ca="1">INDEX(Routes!$A$2:$A$31,RANDBETWEEN(1,30))</f>
        <v>R008</v>
      </c>
      <c r="E480" s="3" t="str">
        <f ca="1">INDEX(Vehicles!$A$2:$A$21,RANDBETWEEN(1,20))</f>
        <v>V015</v>
      </c>
      <c r="F480" s="3" t="str">
        <f ca="1">INDEX(Drivers!$A$2:$A$31,RANDBETWEEN(1,30))</f>
        <v>D030</v>
      </c>
      <c r="G480" s="3">
        <f t="shared" ca="1" si="120"/>
        <v>27.2</v>
      </c>
      <c r="H480" s="3">
        <f t="shared" ca="1" si="121"/>
        <v>54719</v>
      </c>
      <c r="I480" s="3">
        <f t="shared" ca="1" si="122"/>
        <v>15321</v>
      </c>
      <c r="J480" s="3">
        <f t="shared" ca="1" si="123"/>
        <v>2331</v>
      </c>
      <c r="K480" s="3">
        <f t="shared" ca="1" si="124"/>
        <v>10</v>
      </c>
      <c r="L480" s="3">
        <f t="shared" ca="1" si="125"/>
        <v>11</v>
      </c>
      <c r="M480" s="3">
        <f t="shared" ca="1" si="126"/>
        <v>1</v>
      </c>
      <c r="N480" s="3" t="str">
        <f t="shared" ca="1" si="127"/>
        <v>On Time</v>
      </c>
      <c r="O480" s="3" t="str">
        <f t="shared" ca="1" si="128"/>
        <v>Low</v>
      </c>
      <c r="P480" s="3">
        <f t="shared" ca="1" si="129"/>
        <v>90.7</v>
      </c>
      <c r="Q480" s="1" t="str">
        <f ca="1">VLOOKUP(D480,Routes!$A$2:$D$31,2,FALSE)</f>
        <v>Delhi</v>
      </c>
      <c r="R480" s="1" t="str">
        <f ca="1">VLOOKUP(D480,Routes!$A$2:$D$31,3,FALSE)</f>
        <v>Kolkata</v>
      </c>
      <c r="S480" s="3">
        <f ca="1">VLOOKUP(D480,Routes!$A$2:$D$31,4,FALSE)</f>
        <v>1500</v>
      </c>
      <c r="T480" s="3" t="str">
        <f ca="1">VLOOKUP(E480,Vehicles!$A$2:$D$21,2,FALSE)</f>
        <v>Trailer</v>
      </c>
      <c r="U480" s="3">
        <f ca="1">VLOOKUP(E480,Vehicles!$A$2:$D$21,3,FALSE)</f>
        <v>30</v>
      </c>
      <c r="V480" s="3" t="str">
        <f ca="1">VLOOKUP(E480,Vehicles!$A$2:$D$21,4,FALSE)</f>
        <v>Diesel</v>
      </c>
      <c r="W480" s="3">
        <f ca="1">VLOOKUP(V480,Fuel_Rates!$A$2:$B$3,2,FALSE)</f>
        <v>95</v>
      </c>
      <c r="X480" s="3">
        <f t="shared" ca="1" si="131"/>
        <v>36.479999999999997</v>
      </c>
      <c r="Y480" s="3">
        <f t="shared" ca="1" si="132"/>
        <v>72371</v>
      </c>
      <c r="Z480" s="3" t="str">
        <f t="shared" ca="1" si="133"/>
        <v>Oct</v>
      </c>
      <c r="AA480" s="3" t="str">
        <f t="shared" ca="1" si="134"/>
        <v>Q4</v>
      </c>
      <c r="AB480" s="4" t="str">
        <f t="shared" ca="1" si="135"/>
        <v>Long Haul</v>
      </c>
    </row>
    <row r="481" spans="1:28" x14ac:dyDescent="0.3">
      <c r="A481" s="8" t="str">
        <f t="shared" si="130"/>
        <v>S0480</v>
      </c>
      <c r="B481" s="3">
        <f t="shared" ca="1" si="119"/>
        <v>45732</v>
      </c>
      <c r="C481" s="3" t="str">
        <f ca="1">INDEX(Customers!$A$2:$A$21,RANDBETWEEN(1,20))</f>
        <v>C014</v>
      </c>
      <c r="D481" s="3" t="str">
        <f ca="1">INDEX(Routes!$A$2:$A$31,RANDBETWEEN(1,30))</f>
        <v>R003</v>
      </c>
      <c r="E481" s="3" t="str">
        <f ca="1">INDEX(Vehicles!$A$2:$A$21,RANDBETWEEN(1,20))</f>
        <v>V010</v>
      </c>
      <c r="F481" s="3" t="str">
        <f ca="1">INDEX(Drivers!$A$2:$A$31,RANDBETWEEN(1,30))</f>
        <v>D026</v>
      </c>
      <c r="G481" s="3">
        <f t="shared" ca="1" si="120"/>
        <v>20.3</v>
      </c>
      <c r="H481" s="3">
        <f t="shared" ca="1" si="121"/>
        <v>42398</v>
      </c>
      <c r="I481" s="3">
        <f t="shared" ca="1" si="122"/>
        <v>11871</v>
      </c>
      <c r="J481" s="3">
        <f t="shared" ca="1" si="123"/>
        <v>3589</v>
      </c>
      <c r="K481" s="3">
        <f t="shared" ca="1" si="124"/>
        <v>12</v>
      </c>
      <c r="L481" s="3">
        <f t="shared" ca="1" si="125"/>
        <v>12</v>
      </c>
      <c r="M481" s="3">
        <f t="shared" ca="1" si="126"/>
        <v>0</v>
      </c>
      <c r="N481" s="3" t="str">
        <f t="shared" ca="1" si="127"/>
        <v>On Time</v>
      </c>
      <c r="O481" s="3" t="str">
        <f t="shared" ca="1" si="128"/>
        <v>Low</v>
      </c>
      <c r="P481" s="3">
        <f t="shared" ca="1" si="129"/>
        <v>67.7</v>
      </c>
      <c r="Q481" s="1" t="str">
        <f ca="1">VLOOKUP(D481,Routes!$A$2:$D$31,2,FALSE)</f>
        <v>Mumbai</v>
      </c>
      <c r="R481" s="1" t="str">
        <f ca="1">VLOOKUP(D481,Routes!$A$2:$D$31,3,FALSE)</f>
        <v>Delhi</v>
      </c>
      <c r="S481" s="3">
        <f ca="1">VLOOKUP(D481,Routes!$A$2:$D$31,4,FALSE)</f>
        <v>1450</v>
      </c>
      <c r="T481" s="3" t="str">
        <f ca="1">VLOOKUP(E481,Vehicles!$A$2:$D$21,2,FALSE)</f>
        <v>LCV</v>
      </c>
      <c r="U481" s="3">
        <f ca="1">VLOOKUP(E481,Vehicles!$A$2:$D$21,3,FALSE)</f>
        <v>7</v>
      </c>
      <c r="V481" s="3" t="str">
        <f ca="1">VLOOKUP(E481,Vehicles!$A$2:$D$21,4,FALSE)</f>
        <v>Diesel</v>
      </c>
      <c r="W481" s="3">
        <f ca="1">VLOOKUP(V481,Fuel_Rates!$A$2:$B$3,2,FALSE)</f>
        <v>95</v>
      </c>
      <c r="X481" s="3">
        <f t="shared" ca="1" si="131"/>
        <v>29.24</v>
      </c>
      <c r="Y481" s="3">
        <f t="shared" ca="1" si="132"/>
        <v>57858</v>
      </c>
      <c r="Z481" s="3" t="str">
        <f t="shared" ca="1" si="133"/>
        <v>Mar</v>
      </c>
      <c r="AA481" s="3" t="str">
        <f t="shared" ca="1" si="134"/>
        <v>Q1</v>
      </c>
      <c r="AB481" s="4" t="str">
        <f t="shared" ca="1" si="135"/>
        <v>Long Haul</v>
      </c>
    </row>
    <row r="482" spans="1:28" x14ac:dyDescent="0.3">
      <c r="A482" s="8" t="str">
        <f t="shared" si="130"/>
        <v>S0481</v>
      </c>
      <c r="B482" s="3">
        <f t="shared" ca="1" si="119"/>
        <v>45833</v>
      </c>
      <c r="C482" s="3" t="str">
        <f ca="1">INDEX(Customers!$A$2:$A$21,RANDBETWEEN(1,20))</f>
        <v>C011</v>
      </c>
      <c r="D482" s="3" t="str">
        <f ca="1">INDEX(Routes!$A$2:$A$31,RANDBETWEEN(1,30))</f>
        <v>R020</v>
      </c>
      <c r="E482" s="3" t="str">
        <f ca="1">INDEX(Vehicles!$A$2:$A$21,RANDBETWEEN(1,20))</f>
        <v>V004</v>
      </c>
      <c r="F482" s="3" t="str">
        <f ca="1">INDEX(Drivers!$A$2:$A$31,RANDBETWEEN(1,30))</f>
        <v>D005</v>
      </c>
      <c r="G482" s="3">
        <f t="shared" ca="1" si="120"/>
        <v>14.3</v>
      </c>
      <c r="H482" s="3">
        <f t="shared" ca="1" si="121"/>
        <v>37953</v>
      </c>
      <c r="I482" s="3">
        <f t="shared" ca="1" si="122"/>
        <v>10627</v>
      </c>
      <c r="J482" s="3">
        <f t="shared" ca="1" si="123"/>
        <v>1702</v>
      </c>
      <c r="K482" s="3">
        <f t="shared" ca="1" si="124"/>
        <v>22</v>
      </c>
      <c r="L482" s="3">
        <f t="shared" ca="1" si="125"/>
        <v>25</v>
      </c>
      <c r="M482" s="3">
        <f t="shared" ca="1" si="126"/>
        <v>3</v>
      </c>
      <c r="N482" s="3" t="str">
        <f t="shared" ca="1" si="127"/>
        <v>Delayed</v>
      </c>
      <c r="O482" s="3" t="str">
        <f t="shared" ca="1" si="128"/>
        <v>Low</v>
      </c>
      <c r="P482" s="3">
        <f t="shared" ca="1" si="129"/>
        <v>47.7</v>
      </c>
      <c r="Q482" s="1" t="str">
        <f ca="1">VLOOKUP(D482,Routes!$A$2:$D$31,2,FALSE)</f>
        <v>Pune</v>
      </c>
      <c r="R482" s="1" t="str">
        <f ca="1">VLOOKUP(D482,Routes!$A$2:$D$31,3,FALSE)</f>
        <v>Nagpur</v>
      </c>
      <c r="S482" s="3">
        <f ca="1">VLOOKUP(D482,Routes!$A$2:$D$31,4,FALSE)</f>
        <v>720</v>
      </c>
      <c r="T482" s="3" t="str">
        <f ca="1">VLOOKUP(E482,Vehicles!$A$2:$D$21,2,FALSE)</f>
        <v>Trailer</v>
      </c>
      <c r="U482" s="3">
        <f ca="1">VLOOKUP(E482,Vehicles!$A$2:$D$21,3,FALSE)</f>
        <v>28</v>
      </c>
      <c r="V482" s="3" t="str">
        <f ca="1">VLOOKUP(E482,Vehicles!$A$2:$D$21,4,FALSE)</f>
        <v>Diesel</v>
      </c>
      <c r="W482" s="3">
        <f ca="1">VLOOKUP(V482,Fuel_Rates!$A$2:$B$3,2,FALSE)</f>
        <v>95</v>
      </c>
      <c r="X482" s="3">
        <f t="shared" ca="1" si="131"/>
        <v>52.71</v>
      </c>
      <c r="Y482" s="3">
        <f t="shared" ca="1" si="132"/>
        <v>50282</v>
      </c>
      <c r="Z482" s="3" t="str">
        <f t="shared" ca="1" si="133"/>
        <v>Jun</v>
      </c>
      <c r="AA482" s="3" t="str">
        <f t="shared" ca="1" si="134"/>
        <v>Q2</v>
      </c>
      <c r="AB482" s="4" t="str">
        <f t="shared" ca="1" si="135"/>
        <v>Medium Haul</v>
      </c>
    </row>
    <row r="483" spans="1:28" x14ac:dyDescent="0.3">
      <c r="A483" s="8" t="str">
        <f t="shared" si="130"/>
        <v>S0482</v>
      </c>
      <c r="B483" s="3">
        <f t="shared" ca="1" si="119"/>
        <v>45704</v>
      </c>
      <c r="C483" s="3" t="str">
        <f ca="1">INDEX(Customers!$A$2:$A$21,RANDBETWEEN(1,20))</f>
        <v>C019</v>
      </c>
      <c r="D483" s="3" t="str">
        <f ca="1">INDEX(Routes!$A$2:$A$31,RANDBETWEEN(1,30))</f>
        <v>R028</v>
      </c>
      <c r="E483" s="3" t="str">
        <f ca="1">INDEX(Vehicles!$A$2:$A$21,RANDBETWEEN(1,20))</f>
        <v>V012</v>
      </c>
      <c r="F483" s="3" t="str">
        <f ca="1">INDEX(Drivers!$A$2:$A$31,RANDBETWEEN(1,30))</f>
        <v>D007</v>
      </c>
      <c r="G483" s="3">
        <f t="shared" ca="1" si="120"/>
        <v>28.8</v>
      </c>
      <c r="H483" s="3">
        <f t="shared" ca="1" si="121"/>
        <v>58526</v>
      </c>
      <c r="I483" s="3">
        <f t="shared" ca="1" si="122"/>
        <v>16387</v>
      </c>
      <c r="J483" s="3">
        <f t="shared" ca="1" si="123"/>
        <v>3329</v>
      </c>
      <c r="K483" s="3">
        <f t="shared" ca="1" si="124"/>
        <v>17</v>
      </c>
      <c r="L483" s="3">
        <f t="shared" ca="1" si="125"/>
        <v>21</v>
      </c>
      <c r="M483" s="3">
        <f t="shared" ca="1" si="126"/>
        <v>4</v>
      </c>
      <c r="N483" s="3" t="str">
        <f t="shared" ca="1" si="127"/>
        <v>Delayed</v>
      </c>
      <c r="O483" s="3" t="str">
        <f t="shared" ca="1" si="128"/>
        <v>Medium</v>
      </c>
      <c r="P483" s="3">
        <f t="shared" ca="1" si="129"/>
        <v>96</v>
      </c>
      <c r="Q483" s="1" t="str">
        <f ca="1">VLOOKUP(D483,Routes!$A$2:$D$31,2,FALSE)</f>
        <v>Indore</v>
      </c>
      <c r="R483" s="1" t="str">
        <f ca="1">VLOOKUP(D483,Routes!$A$2:$D$31,3,FALSE)</f>
        <v>Mumbai</v>
      </c>
      <c r="S483" s="3">
        <f ca="1">VLOOKUP(D483,Routes!$A$2:$D$31,4,FALSE)</f>
        <v>590</v>
      </c>
      <c r="T483" s="3" t="str">
        <f ca="1">VLOOKUP(E483,Vehicles!$A$2:$D$21,2,FALSE)</f>
        <v>Truck</v>
      </c>
      <c r="U483" s="3">
        <f ca="1">VLOOKUP(E483,Vehicles!$A$2:$D$21,3,FALSE)</f>
        <v>20</v>
      </c>
      <c r="V483" s="3" t="str">
        <f ca="1">VLOOKUP(E483,Vehicles!$A$2:$D$21,4,FALSE)</f>
        <v>CNG</v>
      </c>
      <c r="W483" s="3">
        <f ca="1">VLOOKUP(V483,Fuel_Rates!$A$2:$B$3,2,FALSE)</f>
        <v>78</v>
      </c>
      <c r="X483" s="3">
        <f t="shared" ca="1" si="131"/>
        <v>99.2</v>
      </c>
      <c r="Y483" s="3">
        <f t="shared" ca="1" si="132"/>
        <v>78242</v>
      </c>
      <c r="Z483" s="3" t="str">
        <f t="shared" ca="1" si="133"/>
        <v>Feb</v>
      </c>
      <c r="AA483" s="3" t="str">
        <f t="shared" ca="1" si="134"/>
        <v>Q1</v>
      </c>
      <c r="AB483" s="4" t="str">
        <f t="shared" ca="1" si="135"/>
        <v>Medium Haul</v>
      </c>
    </row>
    <row r="484" spans="1:28" x14ac:dyDescent="0.3">
      <c r="A484" s="8" t="str">
        <f t="shared" si="130"/>
        <v>S0483</v>
      </c>
      <c r="B484" s="3">
        <f t="shared" ca="1" si="119"/>
        <v>45923</v>
      </c>
      <c r="C484" s="3" t="str">
        <f ca="1">INDEX(Customers!$A$2:$A$21,RANDBETWEEN(1,20))</f>
        <v>C018</v>
      </c>
      <c r="D484" s="3" t="str">
        <f ca="1">INDEX(Routes!$A$2:$A$31,RANDBETWEEN(1,30))</f>
        <v>R005</v>
      </c>
      <c r="E484" s="3" t="str">
        <f ca="1">INDEX(Vehicles!$A$2:$A$21,RANDBETWEEN(1,20))</f>
        <v>V002</v>
      </c>
      <c r="F484" s="3" t="str">
        <f ca="1">INDEX(Drivers!$A$2:$A$31,RANDBETWEEN(1,30))</f>
        <v>D008</v>
      </c>
      <c r="G484" s="3">
        <f t="shared" ca="1" si="120"/>
        <v>15.5</v>
      </c>
      <c r="H484" s="3">
        <f t="shared" ca="1" si="121"/>
        <v>41478</v>
      </c>
      <c r="I484" s="3">
        <f t="shared" ca="1" si="122"/>
        <v>11614</v>
      </c>
      <c r="J484" s="3">
        <f t="shared" ca="1" si="123"/>
        <v>1728</v>
      </c>
      <c r="K484" s="3">
        <f t="shared" ca="1" si="124"/>
        <v>32</v>
      </c>
      <c r="L484" s="3">
        <f t="shared" ca="1" si="125"/>
        <v>39</v>
      </c>
      <c r="M484" s="3">
        <f t="shared" ca="1" si="126"/>
        <v>7</v>
      </c>
      <c r="N484" s="3" t="str">
        <f t="shared" ca="1" si="127"/>
        <v>Delayed</v>
      </c>
      <c r="O484" s="3" t="str">
        <f t="shared" ca="1" si="128"/>
        <v>Medium</v>
      </c>
      <c r="P484" s="3">
        <f t="shared" ca="1" si="129"/>
        <v>51.7</v>
      </c>
      <c r="Q484" s="1" t="str">
        <f ca="1">VLOOKUP(D484,Routes!$A$2:$D$31,2,FALSE)</f>
        <v>Delhi</v>
      </c>
      <c r="R484" s="1" t="str">
        <f ca="1">VLOOKUP(D484,Routes!$A$2:$D$31,3,FALSE)</f>
        <v>Jaipur</v>
      </c>
      <c r="S484" s="3">
        <f ca="1">VLOOKUP(D484,Routes!$A$2:$D$31,4,FALSE)</f>
        <v>280</v>
      </c>
      <c r="T484" s="3" t="str">
        <f ca="1">VLOOKUP(E484,Vehicles!$A$2:$D$21,2,FALSE)</f>
        <v>Truck</v>
      </c>
      <c r="U484" s="3">
        <f ca="1">VLOOKUP(E484,Vehicles!$A$2:$D$21,3,FALSE)</f>
        <v>20</v>
      </c>
      <c r="V484" s="3" t="str">
        <f ca="1">VLOOKUP(E484,Vehicles!$A$2:$D$21,4,FALSE)</f>
        <v>Diesel</v>
      </c>
      <c r="W484" s="3">
        <f ca="1">VLOOKUP(V484,Fuel_Rates!$A$2:$B$3,2,FALSE)</f>
        <v>95</v>
      </c>
      <c r="X484" s="3">
        <f t="shared" ca="1" si="131"/>
        <v>148.13999999999999</v>
      </c>
      <c r="Y484" s="3">
        <f t="shared" ca="1" si="132"/>
        <v>54820</v>
      </c>
      <c r="Z484" s="3" t="str">
        <f t="shared" ca="1" si="133"/>
        <v>Sep</v>
      </c>
      <c r="AA484" s="3" t="str">
        <f t="shared" ca="1" si="134"/>
        <v>Q3</v>
      </c>
      <c r="AB484" s="4" t="str">
        <f t="shared" ca="1" si="135"/>
        <v>Short Haul</v>
      </c>
    </row>
    <row r="485" spans="1:28" x14ac:dyDescent="0.3">
      <c r="A485" s="8" t="str">
        <f t="shared" si="130"/>
        <v>S0484</v>
      </c>
      <c r="B485" s="3">
        <f t="shared" ca="1" si="119"/>
        <v>45952</v>
      </c>
      <c r="C485" s="3" t="str">
        <f ca="1">INDEX(Customers!$A$2:$A$21,RANDBETWEEN(1,20))</f>
        <v>C006</v>
      </c>
      <c r="D485" s="3" t="str">
        <f ca="1">INDEX(Routes!$A$2:$A$31,RANDBETWEEN(1,30))</f>
        <v>R018</v>
      </c>
      <c r="E485" s="3" t="str">
        <f ca="1">INDEX(Vehicles!$A$2:$A$21,RANDBETWEEN(1,20))</f>
        <v>V002</v>
      </c>
      <c r="F485" s="3" t="str">
        <f ca="1">INDEX(Drivers!$A$2:$A$31,RANDBETWEEN(1,30))</f>
        <v>D006</v>
      </c>
      <c r="G485" s="3">
        <f t="shared" ca="1" si="120"/>
        <v>29.3</v>
      </c>
      <c r="H485" s="3">
        <f t="shared" ca="1" si="121"/>
        <v>59380</v>
      </c>
      <c r="I485" s="3">
        <f t="shared" ca="1" si="122"/>
        <v>16626</v>
      </c>
      <c r="J485" s="3">
        <f t="shared" ca="1" si="123"/>
        <v>3944</v>
      </c>
      <c r="K485" s="3">
        <f t="shared" ca="1" si="124"/>
        <v>17</v>
      </c>
      <c r="L485" s="3">
        <f t="shared" ca="1" si="125"/>
        <v>21</v>
      </c>
      <c r="M485" s="3">
        <f t="shared" ca="1" si="126"/>
        <v>4</v>
      </c>
      <c r="N485" s="3" t="str">
        <f t="shared" ca="1" si="127"/>
        <v>Delayed</v>
      </c>
      <c r="O485" s="3" t="str">
        <f t="shared" ca="1" si="128"/>
        <v>High</v>
      </c>
      <c r="P485" s="3">
        <f t="shared" ca="1" si="129"/>
        <v>97.7</v>
      </c>
      <c r="Q485" s="1" t="str">
        <f ca="1">VLOOKUP(D485,Routes!$A$2:$D$31,2,FALSE)</f>
        <v>Ahmedabad</v>
      </c>
      <c r="R485" s="1" t="str">
        <f ca="1">VLOOKUP(D485,Routes!$A$2:$D$31,3,FALSE)</f>
        <v>Jaipur</v>
      </c>
      <c r="S485" s="3">
        <f ca="1">VLOOKUP(D485,Routes!$A$2:$D$31,4,FALSE)</f>
        <v>670</v>
      </c>
      <c r="T485" s="3" t="str">
        <f ca="1">VLOOKUP(E485,Vehicles!$A$2:$D$21,2,FALSE)</f>
        <v>Truck</v>
      </c>
      <c r="U485" s="3">
        <f ca="1">VLOOKUP(E485,Vehicles!$A$2:$D$21,3,FALSE)</f>
        <v>20</v>
      </c>
      <c r="V485" s="3" t="str">
        <f ca="1">VLOOKUP(E485,Vehicles!$A$2:$D$21,4,FALSE)</f>
        <v>Diesel</v>
      </c>
      <c r="W485" s="3">
        <f ca="1">VLOOKUP(V485,Fuel_Rates!$A$2:$B$3,2,FALSE)</f>
        <v>95</v>
      </c>
      <c r="X485" s="3">
        <f t="shared" ca="1" si="131"/>
        <v>88.63</v>
      </c>
      <c r="Y485" s="3">
        <f t="shared" ca="1" si="132"/>
        <v>79950</v>
      </c>
      <c r="Z485" s="3" t="str">
        <f t="shared" ca="1" si="133"/>
        <v>Oct</v>
      </c>
      <c r="AA485" s="3" t="str">
        <f t="shared" ca="1" si="134"/>
        <v>Q4</v>
      </c>
      <c r="AB485" s="4" t="str">
        <f t="shared" ca="1" si="135"/>
        <v>Medium Haul</v>
      </c>
    </row>
    <row r="486" spans="1:28" x14ac:dyDescent="0.3">
      <c r="A486" s="8" t="str">
        <f t="shared" si="130"/>
        <v>S0485</v>
      </c>
      <c r="B486" s="3">
        <f t="shared" ca="1" si="119"/>
        <v>45729</v>
      </c>
      <c r="C486" s="3" t="str">
        <f ca="1">INDEX(Customers!$A$2:$A$21,RANDBETWEEN(1,20))</f>
        <v>C020</v>
      </c>
      <c r="D486" s="3" t="str">
        <f ca="1">INDEX(Routes!$A$2:$A$31,RANDBETWEEN(1,30))</f>
        <v>R017</v>
      </c>
      <c r="E486" s="3" t="str">
        <f ca="1">INDEX(Vehicles!$A$2:$A$21,RANDBETWEEN(1,20))</f>
        <v>V017</v>
      </c>
      <c r="F486" s="3" t="str">
        <f ca="1">INDEX(Drivers!$A$2:$A$31,RANDBETWEEN(1,30))</f>
        <v>D029</v>
      </c>
      <c r="G486" s="3">
        <f t="shared" ca="1" si="120"/>
        <v>14.7</v>
      </c>
      <c r="H486" s="3">
        <f t="shared" ca="1" si="121"/>
        <v>34404</v>
      </c>
      <c r="I486" s="3">
        <f t="shared" ca="1" si="122"/>
        <v>9633</v>
      </c>
      <c r="J486" s="3">
        <f t="shared" ca="1" si="123"/>
        <v>994</v>
      </c>
      <c r="K486" s="3">
        <f t="shared" ca="1" si="124"/>
        <v>6</v>
      </c>
      <c r="L486" s="3">
        <f t="shared" ca="1" si="125"/>
        <v>8</v>
      </c>
      <c r="M486" s="3">
        <f t="shared" ca="1" si="126"/>
        <v>2</v>
      </c>
      <c r="N486" s="3" t="str">
        <f t="shared" ca="1" si="127"/>
        <v>On Time</v>
      </c>
      <c r="O486" s="3" t="str">
        <f t="shared" ca="1" si="128"/>
        <v>Low</v>
      </c>
      <c r="P486" s="3">
        <f t="shared" ca="1" si="129"/>
        <v>49</v>
      </c>
      <c r="Q486" s="1" t="str">
        <f ca="1">VLOOKUP(D486,Routes!$A$2:$D$31,2,FALSE)</f>
        <v>Kolkata</v>
      </c>
      <c r="R486" s="1" t="str">
        <f ca="1">VLOOKUP(D486,Routes!$A$2:$D$31,3,FALSE)</f>
        <v>Patna</v>
      </c>
      <c r="S486" s="3">
        <f ca="1">VLOOKUP(D486,Routes!$A$2:$D$31,4,FALSE)</f>
        <v>620</v>
      </c>
      <c r="T486" s="3" t="str">
        <f ca="1">VLOOKUP(E486,Vehicles!$A$2:$D$21,2,FALSE)</f>
        <v>Truck</v>
      </c>
      <c r="U486" s="3">
        <f ca="1">VLOOKUP(E486,Vehicles!$A$2:$D$21,3,FALSE)</f>
        <v>24</v>
      </c>
      <c r="V486" s="3" t="str">
        <f ca="1">VLOOKUP(E486,Vehicles!$A$2:$D$21,4,FALSE)</f>
        <v>Diesel</v>
      </c>
      <c r="W486" s="3">
        <f ca="1">VLOOKUP(V486,Fuel_Rates!$A$2:$B$3,2,FALSE)</f>
        <v>95</v>
      </c>
      <c r="X486" s="3">
        <f t="shared" ca="1" si="131"/>
        <v>55.49</v>
      </c>
      <c r="Y486" s="3">
        <f t="shared" ca="1" si="132"/>
        <v>45031</v>
      </c>
      <c r="Z486" s="3" t="str">
        <f t="shared" ca="1" si="133"/>
        <v>Mar</v>
      </c>
      <c r="AA486" s="3" t="str">
        <f t="shared" ca="1" si="134"/>
        <v>Q1</v>
      </c>
      <c r="AB486" s="4" t="str">
        <f t="shared" ca="1" si="135"/>
        <v>Medium Haul</v>
      </c>
    </row>
    <row r="487" spans="1:28" x14ac:dyDescent="0.3">
      <c r="A487" s="8" t="str">
        <f t="shared" si="130"/>
        <v>S0486</v>
      </c>
      <c r="B487" s="3">
        <f t="shared" ca="1" si="119"/>
        <v>46011</v>
      </c>
      <c r="C487" s="3" t="str">
        <f ca="1">INDEX(Customers!$A$2:$A$21,RANDBETWEEN(1,20))</f>
        <v>C013</v>
      </c>
      <c r="D487" s="3" t="str">
        <f ca="1">INDEX(Routes!$A$2:$A$31,RANDBETWEEN(1,30))</f>
        <v>R026</v>
      </c>
      <c r="E487" s="3" t="str">
        <f ca="1">INDEX(Vehicles!$A$2:$A$21,RANDBETWEEN(1,20))</f>
        <v>V015</v>
      </c>
      <c r="F487" s="3" t="str">
        <f ca="1">INDEX(Drivers!$A$2:$A$31,RANDBETWEEN(1,30))</f>
        <v>D015</v>
      </c>
      <c r="G487" s="3">
        <f t="shared" ca="1" si="120"/>
        <v>24.1</v>
      </c>
      <c r="H487" s="3">
        <f t="shared" ca="1" si="121"/>
        <v>58367</v>
      </c>
      <c r="I487" s="3">
        <f t="shared" ca="1" si="122"/>
        <v>16343</v>
      </c>
      <c r="J487" s="3">
        <f t="shared" ca="1" si="123"/>
        <v>3153</v>
      </c>
      <c r="K487" s="3">
        <f t="shared" ca="1" si="124"/>
        <v>26</v>
      </c>
      <c r="L487" s="3">
        <f t="shared" ca="1" si="125"/>
        <v>31</v>
      </c>
      <c r="M487" s="3">
        <f t="shared" ca="1" si="126"/>
        <v>5</v>
      </c>
      <c r="N487" s="3" t="str">
        <f t="shared" ca="1" si="127"/>
        <v>Delayed</v>
      </c>
      <c r="O487" s="3" t="str">
        <f t="shared" ca="1" si="128"/>
        <v>High</v>
      </c>
      <c r="P487" s="3">
        <f t="shared" ca="1" si="129"/>
        <v>80.3</v>
      </c>
      <c r="Q487" s="1" t="str">
        <f ca="1">VLOOKUP(D487,Routes!$A$2:$D$31,2,FALSE)</f>
        <v>Nagpur</v>
      </c>
      <c r="R487" s="1" t="str">
        <f ca="1">VLOOKUP(D487,Routes!$A$2:$D$31,3,FALSE)</f>
        <v>Bhopal</v>
      </c>
      <c r="S487" s="3">
        <f ca="1">VLOOKUP(D487,Routes!$A$2:$D$31,4,FALSE)</f>
        <v>350</v>
      </c>
      <c r="T487" s="3" t="str">
        <f ca="1">VLOOKUP(E487,Vehicles!$A$2:$D$21,2,FALSE)</f>
        <v>Trailer</v>
      </c>
      <c r="U487" s="3">
        <f ca="1">VLOOKUP(E487,Vehicles!$A$2:$D$21,3,FALSE)</f>
        <v>30</v>
      </c>
      <c r="V487" s="3" t="str">
        <f ca="1">VLOOKUP(E487,Vehicles!$A$2:$D$21,4,FALSE)</f>
        <v>Diesel</v>
      </c>
      <c r="W487" s="3">
        <f ca="1">VLOOKUP(V487,Fuel_Rates!$A$2:$B$3,2,FALSE)</f>
        <v>95</v>
      </c>
      <c r="X487" s="3">
        <f t="shared" ca="1" si="131"/>
        <v>166.76</v>
      </c>
      <c r="Y487" s="3">
        <f t="shared" ca="1" si="132"/>
        <v>77863</v>
      </c>
      <c r="Z487" s="3" t="str">
        <f t="shared" ca="1" si="133"/>
        <v>Dec</v>
      </c>
      <c r="AA487" s="3" t="str">
        <f t="shared" ca="1" si="134"/>
        <v>Q4</v>
      </c>
      <c r="AB487" s="4" t="str">
        <f t="shared" ca="1" si="135"/>
        <v>Medium Haul</v>
      </c>
    </row>
    <row r="488" spans="1:28" x14ac:dyDescent="0.3">
      <c r="A488" s="8" t="str">
        <f t="shared" si="130"/>
        <v>S0487</v>
      </c>
      <c r="B488" s="3">
        <f t="shared" ca="1" si="119"/>
        <v>45699</v>
      </c>
      <c r="C488" s="3" t="str">
        <f ca="1">INDEX(Customers!$A$2:$A$21,RANDBETWEEN(1,20))</f>
        <v>C002</v>
      </c>
      <c r="D488" s="3" t="str">
        <f ca="1">INDEX(Routes!$A$2:$A$31,RANDBETWEEN(1,30))</f>
        <v>R011</v>
      </c>
      <c r="E488" s="3" t="str">
        <f ca="1">INDEX(Vehicles!$A$2:$A$21,RANDBETWEEN(1,20))</f>
        <v>V002</v>
      </c>
      <c r="F488" s="3" t="str">
        <f ca="1">INDEX(Drivers!$A$2:$A$31,RANDBETWEEN(1,30))</f>
        <v>D019</v>
      </c>
      <c r="G488" s="3">
        <f t="shared" ca="1" si="120"/>
        <v>27.7</v>
      </c>
      <c r="H488" s="3">
        <f t="shared" ca="1" si="121"/>
        <v>63265</v>
      </c>
      <c r="I488" s="3">
        <f t="shared" ca="1" si="122"/>
        <v>17714</v>
      </c>
      <c r="J488" s="3">
        <f t="shared" ca="1" si="123"/>
        <v>2128</v>
      </c>
      <c r="K488" s="3">
        <f t="shared" ca="1" si="124"/>
        <v>35</v>
      </c>
      <c r="L488" s="3">
        <f t="shared" ca="1" si="125"/>
        <v>35</v>
      </c>
      <c r="M488" s="3">
        <f t="shared" ca="1" si="126"/>
        <v>0</v>
      </c>
      <c r="N488" s="3" t="str">
        <f t="shared" ca="1" si="127"/>
        <v>On Time</v>
      </c>
      <c r="O488" s="3" t="str">
        <f t="shared" ca="1" si="128"/>
        <v>Medium</v>
      </c>
      <c r="P488" s="3">
        <f t="shared" ca="1" si="129"/>
        <v>92.3</v>
      </c>
      <c r="Q488" s="1" t="str">
        <f ca="1">VLOOKUP(D488,Routes!$A$2:$D$31,2,FALSE)</f>
        <v>Bengaluru</v>
      </c>
      <c r="R488" s="1" t="str">
        <f ca="1">VLOOKUP(D488,Routes!$A$2:$D$31,3,FALSE)</f>
        <v>Kochi</v>
      </c>
      <c r="S488" s="3">
        <f ca="1">VLOOKUP(D488,Routes!$A$2:$D$31,4,FALSE)</f>
        <v>550</v>
      </c>
      <c r="T488" s="3" t="str">
        <f ca="1">VLOOKUP(E488,Vehicles!$A$2:$D$21,2,FALSE)</f>
        <v>Truck</v>
      </c>
      <c r="U488" s="3">
        <f ca="1">VLOOKUP(E488,Vehicles!$A$2:$D$21,3,FALSE)</f>
        <v>20</v>
      </c>
      <c r="V488" s="3" t="str">
        <f ca="1">VLOOKUP(E488,Vehicles!$A$2:$D$21,4,FALSE)</f>
        <v>Diesel</v>
      </c>
      <c r="W488" s="3">
        <f ca="1">VLOOKUP(V488,Fuel_Rates!$A$2:$B$3,2,FALSE)</f>
        <v>95</v>
      </c>
      <c r="X488" s="3">
        <f t="shared" ca="1" si="131"/>
        <v>115.03</v>
      </c>
      <c r="Y488" s="3">
        <f t="shared" ca="1" si="132"/>
        <v>83107</v>
      </c>
      <c r="Z488" s="3" t="str">
        <f t="shared" ca="1" si="133"/>
        <v>Feb</v>
      </c>
      <c r="AA488" s="3" t="str">
        <f t="shared" ca="1" si="134"/>
        <v>Q1</v>
      </c>
      <c r="AB488" s="4" t="str">
        <f t="shared" ca="1" si="135"/>
        <v>Medium Haul</v>
      </c>
    </row>
    <row r="489" spans="1:28" x14ac:dyDescent="0.3">
      <c r="A489" s="8" t="str">
        <f t="shared" si="130"/>
        <v>S0488</v>
      </c>
      <c r="B489" s="3">
        <f t="shared" ca="1" si="119"/>
        <v>45690</v>
      </c>
      <c r="C489" s="3" t="str">
        <f ca="1">INDEX(Customers!$A$2:$A$21,RANDBETWEEN(1,20))</f>
        <v>C001</v>
      </c>
      <c r="D489" s="3" t="str">
        <f ca="1">INDEX(Routes!$A$2:$A$31,RANDBETWEEN(1,30))</f>
        <v>R027</v>
      </c>
      <c r="E489" s="3" t="str">
        <f ca="1">INDEX(Vehicles!$A$2:$A$21,RANDBETWEEN(1,20))</f>
        <v>V019</v>
      </c>
      <c r="F489" s="3" t="str">
        <f ca="1">INDEX(Drivers!$A$2:$A$31,RANDBETWEEN(1,30))</f>
        <v>D006</v>
      </c>
      <c r="G489" s="3">
        <f t="shared" ca="1" si="120"/>
        <v>18.3</v>
      </c>
      <c r="H489" s="3">
        <f t="shared" ca="1" si="121"/>
        <v>40396</v>
      </c>
      <c r="I489" s="3">
        <f t="shared" ca="1" si="122"/>
        <v>11311</v>
      </c>
      <c r="J489" s="3">
        <f t="shared" ca="1" si="123"/>
        <v>1751</v>
      </c>
      <c r="K489" s="3">
        <f t="shared" ca="1" si="124"/>
        <v>39</v>
      </c>
      <c r="L489" s="3">
        <f t="shared" ca="1" si="125"/>
        <v>40</v>
      </c>
      <c r="M489" s="3">
        <f t="shared" ca="1" si="126"/>
        <v>1</v>
      </c>
      <c r="N489" s="3" t="str">
        <f t="shared" ca="1" si="127"/>
        <v>On Time</v>
      </c>
      <c r="O489" s="3" t="str">
        <f t="shared" ca="1" si="128"/>
        <v>High</v>
      </c>
      <c r="P489" s="3">
        <f t="shared" ca="1" si="129"/>
        <v>61</v>
      </c>
      <c r="Q489" s="1" t="str">
        <f ca="1">VLOOKUP(D489,Routes!$A$2:$D$31,2,FALSE)</f>
        <v>Patna</v>
      </c>
      <c r="R489" s="1" t="str">
        <f ca="1">VLOOKUP(D489,Routes!$A$2:$D$31,3,FALSE)</f>
        <v>Ranchi</v>
      </c>
      <c r="S489" s="3">
        <f ca="1">VLOOKUP(D489,Routes!$A$2:$D$31,4,FALSE)</f>
        <v>330</v>
      </c>
      <c r="T489" s="3" t="str">
        <f ca="1">VLOOKUP(E489,Vehicles!$A$2:$D$21,2,FALSE)</f>
        <v>Trailer</v>
      </c>
      <c r="U489" s="3">
        <f ca="1">VLOOKUP(E489,Vehicles!$A$2:$D$21,3,FALSE)</f>
        <v>35</v>
      </c>
      <c r="V489" s="3" t="str">
        <f ca="1">VLOOKUP(E489,Vehicles!$A$2:$D$21,4,FALSE)</f>
        <v>Diesel</v>
      </c>
      <c r="W489" s="3">
        <f ca="1">VLOOKUP(V489,Fuel_Rates!$A$2:$B$3,2,FALSE)</f>
        <v>95</v>
      </c>
      <c r="X489" s="3">
        <f t="shared" ca="1" si="131"/>
        <v>122.41</v>
      </c>
      <c r="Y489" s="3">
        <f t="shared" ca="1" si="132"/>
        <v>53458</v>
      </c>
      <c r="Z489" s="3" t="str">
        <f t="shared" ca="1" si="133"/>
        <v>Feb</v>
      </c>
      <c r="AA489" s="3" t="str">
        <f t="shared" ca="1" si="134"/>
        <v>Q1</v>
      </c>
      <c r="AB489" s="4" t="str">
        <f t="shared" ca="1" si="135"/>
        <v>Medium Haul</v>
      </c>
    </row>
    <row r="490" spans="1:28" x14ac:dyDescent="0.3">
      <c r="A490" s="8" t="str">
        <f t="shared" si="130"/>
        <v>S0489</v>
      </c>
      <c r="B490" s="3">
        <f t="shared" ca="1" si="119"/>
        <v>45873</v>
      </c>
      <c r="C490" s="3" t="str">
        <f ca="1">INDEX(Customers!$A$2:$A$21,RANDBETWEEN(1,20))</f>
        <v>C006</v>
      </c>
      <c r="D490" s="3" t="str">
        <f ca="1">INDEX(Routes!$A$2:$A$31,RANDBETWEEN(1,30))</f>
        <v>R028</v>
      </c>
      <c r="E490" s="3" t="str">
        <f ca="1">INDEX(Vehicles!$A$2:$A$21,RANDBETWEEN(1,20))</f>
        <v>V019</v>
      </c>
      <c r="F490" s="3" t="str">
        <f ca="1">INDEX(Drivers!$A$2:$A$31,RANDBETWEEN(1,30))</f>
        <v>D014</v>
      </c>
      <c r="G490" s="3">
        <f t="shared" ca="1" si="120"/>
        <v>29.3</v>
      </c>
      <c r="H490" s="3">
        <f t="shared" ca="1" si="121"/>
        <v>55861</v>
      </c>
      <c r="I490" s="3">
        <f t="shared" ca="1" si="122"/>
        <v>15641</v>
      </c>
      <c r="J490" s="3">
        <f t="shared" ca="1" si="123"/>
        <v>3947</v>
      </c>
      <c r="K490" s="3">
        <f t="shared" ca="1" si="124"/>
        <v>40</v>
      </c>
      <c r="L490" s="3">
        <f t="shared" ca="1" si="125"/>
        <v>45</v>
      </c>
      <c r="M490" s="3">
        <f t="shared" ca="1" si="126"/>
        <v>5</v>
      </c>
      <c r="N490" s="3" t="str">
        <f t="shared" ca="1" si="127"/>
        <v>Delayed</v>
      </c>
      <c r="O490" s="3" t="str">
        <f t="shared" ca="1" si="128"/>
        <v>Medium</v>
      </c>
      <c r="P490" s="3">
        <f t="shared" ca="1" si="129"/>
        <v>97.7</v>
      </c>
      <c r="Q490" s="1" t="str">
        <f ca="1">VLOOKUP(D490,Routes!$A$2:$D$31,2,FALSE)</f>
        <v>Indore</v>
      </c>
      <c r="R490" s="1" t="str">
        <f ca="1">VLOOKUP(D490,Routes!$A$2:$D$31,3,FALSE)</f>
        <v>Mumbai</v>
      </c>
      <c r="S490" s="3">
        <f ca="1">VLOOKUP(D490,Routes!$A$2:$D$31,4,FALSE)</f>
        <v>590</v>
      </c>
      <c r="T490" s="3" t="str">
        <f ca="1">VLOOKUP(E490,Vehicles!$A$2:$D$21,2,FALSE)</f>
        <v>Trailer</v>
      </c>
      <c r="U490" s="3">
        <f ca="1">VLOOKUP(E490,Vehicles!$A$2:$D$21,3,FALSE)</f>
        <v>35</v>
      </c>
      <c r="V490" s="3" t="str">
        <f ca="1">VLOOKUP(E490,Vehicles!$A$2:$D$21,4,FALSE)</f>
        <v>Diesel</v>
      </c>
      <c r="W490" s="3">
        <f ca="1">VLOOKUP(V490,Fuel_Rates!$A$2:$B$3,2,FALSE)</f>
        <v>95</v>
      </c>
      <c r="X490" s="3">
        <f t="shared" ca="1" si="131"/>
        <v>94.68</v>
      </c>
      <c r="Y490" s="3">
        <f t="shared" ca="1" si="132"/>
        <v>75449</v>
      </c>
      <c r="Z490" s="3" t="str">
        <f t="shared" ca="1" si="133"/>
        <v>Aug</v>
      </c>
      <c r="AA490" s="3" t="str">
        <f t="shared" ca="1" si="134"/>
        <v>Q3</v>
      </c>
      <c r="AB490" s="4" t="str">
        <f t="shared" ca="1" si="135"/>
        <v>Medium Haul</v>
      </c>
    </row>
    <row r="491" spans="1:28" x14ac:dyDescent="0.3">
      <c r="A491" s="8" t="str">
        <f t="shared" si="130"/>
        <v>S0490</v>
      </c>
      <c r="B491" s="3">
        <f t="shared" ca="1" si="119"/>
        <v>45738</v>
      </c>
      <c r="C491" s="3" t="str">
        <f ca="1">INDEX(Customers!$A$2:$A$21,RANDBETWEEN(1,20))</f>
        <v>C013</v>
      </c>
      <c r="D491" s="3" t="str">
        <f ca="1">INDEX(Routes!$A$2:$A$31,RANDBETWEEN(1,30))</f>
        <v>R020</v>
      </c>
      <c r="E491" s="3" t="str">
        <f ca="1">INDEX(Vehicles!$A$2:$A$21,RANDBETWEEN(1,20))</f>
        <v>V020</v>
      </c>
      <c r="F491" s="3" t="str">
        <f ca="1">INDEX(Drivers!$A$2:$A$31,RANDBETWEEN(1,30))</f>
        <v>D027</v>
      </c>
      <c r="G491" s="3">
        <f t="shared" ca="1" si="120"/>
        <v>17.100000000000001</v>
      </c>
      <c r="H491" s="3">
        <f t="shared" ca="1" si="121"/>
        <v>34315</v>
      </c>
      <c r="I491" s="3">
        <f t="shared" ca="1" si="122"/>
        <v>9608</v>
      </c>
      <c r="J491" s="3">
        <f t="shared" ca="1" si="123"/>
        <v>2773</v>
      </c>
      <c r="K491" s="3">
        <f t="shared" ca="1" si="124"/>
        <v>24</v>
      </c>
      <c r="L491" s="3">
        <f t="shared" ca="1" si="125"/>
        <v>28</v>
      </c>
      <c r="M491" s="3">
        <f t="shared" ca="1" si="126"/>
        <v>4</v>
      </c>
      <c r="N491" s="3" t="str">
        <f t="shared" ca="1" si="127"/>
        <v>Delayed</v>
      </c>
      <c r="O491" s="3" t="str">
        <f t="shared" ca="1" si="128"/>
        <v>High</v>
      </c>
      <c r="P491" s="3">
        <f t="shared" ca="1" si="129"/>
        <v>57</v>
      </c>
      <c r="Q491" s="1" t="str">
        <f ca="1">VLOOKUP(D491,Routes!$A$2:$D$31,2,FALSE)</f>
        <v>Pune</v>
      </c>
      <c r="R491" s="1" t="str">
        <f ca="1">VLOOKUP(D491,Routes!$A$2:$D$31,3,FALSE)</f>
        <v>Nagpur</v>
      </c>
      <c r="S491" s="3">
        <f ca="1">VLOOKUP(D491,Routes!$A$2:$D$31,4,FALSE)</f>
        <v>720</v>
      </c>
      <c r="T491" s="3" t="str">
        <f ca="1">VLOOKUP(E491,Vehicles!$A$2:$D$21,2,FALSE)</f>
        <v>Container</v>
      </c>
      <c r="U491" s="3">
        <f ca="1">VLOOKUP(E491,Vehicles!$A$2:$D$21,3,FALSE)</f>
        <v>28</v>
      </c>
      <c r="V491" s="3" t="str">
        <f ca="1">VLOOKUP(E491,Vehicles!$A$2:$D$21,4,FALSE)</f>
        <v>Diesel</v>
      </c>
      <c r="W491" s="3">
        <f ca="1">VLOOKUP(V491,Fuel_Rates!$A$2:$B$3,2,FALSE)</f>
        <v>95</v>
      </c>
      <c r="X491" s="3">
        <f t="shared" ca="1" si="131"/>
        <v>47.66</v>
      </c>
      <c r="Y491" s="3">
        <f t="shared" ca="1" si="132"/>
        <v>46696</v>
      </c>
      <c r="Z491" s="3" t="str">
        <f t="shared" ca="1" si="133"/>
        <v>Mar</v>
      </c>
      <c r="AA491" s="3" t="str">
        <f t="shared" ca="1" si="134"/>
        <v>Q1</v>
      </c>
      <c r="AB491" s="4" t="str">
        <f t="shared" ca="1" si="135"/>
        <v>Medium Haul</v>
      </c>
    </row>
    <row r="492" spans="1:28" x14ac:dyDescent="0.3">
      <c r="A492" s="8" t="str">
        <f t="shared" si="130"/>
        <v>S0491</v>
      </c>
      <c r="B492" s="3">
        <f t="shared" ca="1" si="119"/>
        <v>45933</v>
      </c>
      <c r="C492" s="3" t="str">
        <f ca="1">INDEX(Customers!$A$2:$A$21,RANDBETWEEN(1,20))</f>
        <v>C001</v>
      </c>
      <c r="D492" s="3" t="str">
        <f ca="1">INDEX(Routes!$A$2:$A$31,RANDBETWEEN(1,30))</f>
        <v>R006</v>
      </c>
      <c r="E492" s="3" t="str">
        <f ca="1">INDEX(Vehicles!$A$2:$A$21,RANDBETWEEN(1,20))</f>
        <v>V006</v>
      </c>
      <c r="F492" s="3" t="str">
        <f ca="1">INDEX(Drivers!$A$2:$A$31,RANDBETWEEN(1,30))</f>
        <v>D009</v>
      </c>
      <c r="G492" s="3">
        <f t="shared" ca="1" si="120"/>
        <v>26.7</v>
      </c>
      <c r="H492" s="3">
        <f t="shared" ca="1" si="121"/>
        <v>57069</v>
      </c>
      <c r="I492" s="3">
        <f t="shared" ca="1" si="122"/>
        <v>15979</v>
      </c>
      <c r="J492" s="3">
        <f t="shared" ca="1" si="123"/>
        <v>2508</v>
      </c>
      <c r="K492" s="3">
        <f t="shared" ca="1" si="124"/>
        <v>15</v>
      </c>
      <c r="L492" s="3">
        <f t="shared" ca="1" si="125"/>
        <v>15</v>
      </c>
      <c r="M492" s="3">
        <f t="shared" ca="1" si="126"/>
        <v>0</v>
      </c>
      <c r="N492" s="3" t="str">
        <f t="shared" ca="1" si="127"/>
        <v>On Time</v>
      </c>
      <c r="O492" s="3" t="str">
        <f t="shared" ca="1" si="128"/>
        <v>Medium</v>
      </c>
      <c r="P492" s="3">
        <f t="shared" ca="1" si="129"/>
        <v>89</v>
      </c>
      <c r="Q492" s="1" t="str">
        <f ca="1">VLOOKUP(D492,Routes!$A$2:$D$31,2,FALSE)</f>
        <v>Delhi</v>
      </c>
      <c r="R492" s="1" t="str">
        <f ca="1">VLOOKUP(D492,Routes!$A$2:$D$31,3,FALSE)</f>
        <v>Lucknow</v>
      </c>
      <c r="S492" s="3">
        <f ca="1">VLOOKUP(D492,Routes!$A$2:$D$31,4,FALSE)</f>
        <v>550</v>
      </c>
      <c r="T492" s="3" t="str">
        <f ca="1">VLOOKUP(E492,Vehicles!$A$2:$D$21,2,FALSE)</f>
        <v>Container</v>
      </c>
      <c r="U492" s="3">
        <f ca="1">VLOOKUP(E492,Vehicles!$A$2:$D$21,3,FALSE)</f>
        <v>18</v>
      </c>
      <c r="V492" s="3" t="str">
        <f ca="1">VLOOKUP(E492,Vehicles!$A$2:$D$21,4,FALSE)</f>
        <v>Diesel</v>
      </c>
      <c r="W492" s="3">
        <f ca="1">VLOOKUP(V492,Fuel_Rates!$A$2:$B$3,2,FALSE)</f>
        <v>95</v>
      </c>
      <c r="X492" s="3">
        <f t="shared" ca="1" si="131"/>
        <v>103.76</v>
      </c>
      <c r="Y492" s="3">
        <f t="shared" ca="1" si="132"/>
        <v>75556</v>
      </c>
      <c r="Z492" s="3" t="str">
        <f t="shared" ca="1" si="133"/>
        <v>Oct</v>
      </c>
      <c r="AA492" s="3" t="str">
        <f t="shared" ca="1" si="134"/>
        <v>Q4</v>
      </c>
      <c r="AB492" s="4" t="str">
        <f t="shared" ca="1" si="135"/>
        <v>Medium Haul</v>
      </c>
    </row>
    <row r="493" spans="1:28" x14ac:dyDescent="0.3">
      <c r="A493" s="8" t="str">
        <f t="shared" si="130"/>
        <v>S0492</v>
      </c>
      <c r="B493" s="3">
        <f t="shared" ca="1" si="119"/>
        <v>45720</v>
      </c>
      <c r="C493" s="3" t="str">
        <f ca="1">INDEX(Customers!$A$2:$A$21,RANDBETWEEN(1,20))</f>
        <v>C003</v>
      </c>
      <c r="D493" s="3" t="str">
        <f ca="1">INDEX(Routes!$A$2:$A$31,RANDBETWEEN(1,30))</f>
        <v>R026</v>
      </c>
      <c r="E493" s="3" t="str">
        <f ca="1">INDEX(Vehicles!$A$2:$A$21,RANDBETWEEN(1,20))</f>
        <v>V005</v>
      </c>
      <c r="F493" s="3" t="str">
        <f ca="1">INDEX(Drivers!$A$2:$A$31,RANDBETWEEN(1,30))</f>
        <v>D005</v>
      </c>
      <c r="G493" s="3">
        <f t="shared" ca="1" si="120"/>
        <v>25.2</v>
      </c>
      <c r="H493" s="3">
        <f t="shared" ca="1" si="121"/>
        <v>48867</v>
      </c>
      <c r="I493" s="3">
        <f t="shared" ca="1" si="122"/>
        <v>13683</v>
      </c>
      <c r="J493" s="3">
        <f t="shared" ca="1" si="123"/>
        <v>640</v>
      </c>
      <c r="K493" s="3">
        <f t="shared" ca="1" si="124"/>
        <v>10</v>
      </c>
      <c r="L493" s="3">
        <f t="shared" ca="1" si="125"/>
        <v>13</v>
      </c>
      <c r="M493" s="3">
        <f t="shared" ca="1" si="126"/>
        <v>3</v>
      </c>
      <c r="N493" s="3" t="str">
        <f t="shared" ca="1" si="127"/>
        <v>Delayed</v>
      </c>
      <c r="O493" s="3" t="str">
        <f t="shared" ca="1" si="128"/>
        <v>Medium</v>
      </c>
      <c r="P493" s="3">
        <f t="shared" ca="1" si="129"/>
        <v>84</v>
      </c>
      <c r="Q493" s="1" t="str">
        <f ca="1">VLOOKUP(D493,Routes!$A$2:$D$31,2,FALSE)</f>
        <v>Nagpur</v>
      </c>
      <c r="R493" s="1" t="str">
        <f ca="1">VLOOKUP(D493,Routes!$A$2:$D$31,3,FALSE)</f>
        <v>Bhopal</v>
      </c>
      <c r="S493" s="3">
        <f ca="1">VLOOKUP(D493,Routes!$A$2:$D$31,4,FALSE)</f>
        <v>350</v>
      </c>
      <c r="T493" s="3" t="str">
        <f ca="1">VLOOKUP(E493,Vehicles!$A$2:$D$21,2,FALSE)</f>
        <v>Trailer</v>
      </c>
      <c r="U493" s="3">
        <f ca="1">VLOOKUP(E493,Vehicles!$A$2:$D$21,3,FALSE)</f>
        <v>32</v>
      </c>
      <c r="V493" s="3" t="str">
        <f ca="1">VLOOKUP(E493,Vehicles!$A$2:$D$21,4,FALSE)</f>
        <v>Diesel</v>
      </c>
      <c r="W493" s="3">
        <f ca="1">VLOOKUP(V493,Fuel_Rates!$A$2:$B$3,2,FALSE)</f>
        <v>95</v>
      </c>
      <c r="X493" s="3">
        <f t="shared" ca="1" si="131"/>
        <v>139.62</v>
      </c>
      <c r="Y493" s="3">
        <f t="shared" ca="1" si="132"/>
        <v>63190</v>
      </c>
      <c r="Z493" s="3" t="str">
        <f t="shared" ca="1" si="133"/>
        <v>Mar</v>
      </c>
      <c r="AA493" s="3" t="str">
        <f t="shared" ca="1" si="134"/>
        <v>Q1</v>
      </c>
      <c r="AB493" s="4" t="str">
        <f t="shared" ca="1" si="135"/>
        <v>Medium Haul</v>
      </c>
    </row>
    <row r="494" spans="1:28" x14ac:dyDescent="0.3">
      <c r="A494" s="8" t="str">
        <f t="shared" si="130"/>
        <v>S0493</v>
      </c>
      <c r="B494" s="3">
        <f t="shared" ca="1" si="119"/>
        <v>45699</v>
      </c>
      <c r="C494" s="3" t="str">
        <f ca="1">INDEX(Customers!$A$2:$A$21,RANDBETWEEN(1,20))</f>
        <v>C016</v>
      </c>
      <c r="D494" s="3" t="str">
        <f ca="1">INDEX(Routes!$A$2:$A$31,RANDBETWEEN(1,30))</f>
        <v>R011</v>
      </c>
      <c r="E494" s="3" t="str">
        <f ca="1">INDEX(Vehicles!$A$2:$A$21,RANDBETWEEN(1,20))</f>
        <v>V013</v>
      </c>
      <c r="F494" s="3" t="str">
        <f ca="1">INDEX(Drivers!$A$2:$A$31,RANDBETWEEN(1,30))</f>
        <v>D016</v>
      </c>
      <c r="G494" s="3">
        <f t="shared" ca="1" si="120"/>
        <v>8.1</v>
      </c>
      <c r="H494" s="3">
        <f t="shared" ca="1" si="121"/>
        <v>20211</v>
      </c>
      <c r="I494" s="3">
        <f t="shared" ca="1" si="122"/>
        <v>5659</v>
      </c>
      <c r="J494" s="3">
        <f t="shared" ca="1" si="123"/>
        <v>2337</v>
      </c>
      <c r="K494" s="3">
        <f t="shared" ca="1" si="124"/>
        <v>32</v>
      </c>
      <c r="L494" s="3">
        <f t="shared" ca="1" si="125"/>
        <v>35</v>
      </c>
      <c r="M494" s="3">
        <f t="shared" ca="1" si="126"/>
        <v>3</v>
      </c>
      <c r="N494" s="3" t="str">
        <f t="shared" ca="1" si="127"/>
        <v>Delayed</v>
      </c>
      <c r="O494" s="3" t="str">
        <f t="shared" ca="1" si="128"/>
        <v>High</v>
      </c>
      <c r="P494" s="3">
        <f t="shared" ca="1" si="129"/>
        <v>27</v>
      </c>
      <c r="Q494" s="1" t="str">
        <f ca="1">VLOOKUP(D494,Routes!$A$2:$D$31,2,FALSE)</f>
        <v>Bengaluru</v>
      </c>
      <c r="R494" s="1" t="str">
        <f ca="1">VLOOKUP(D494,Routes!$A$2:$D$31,3,FALSE)</f>
        <v>Kochi</v>
      </c>
      <c r="S494" s="3">
        <f ca="1">VLOOKUP(D494,Routes!$A$2:$D$31,4,FALSE)</f>
        <v>550</v>
      </c>
      <c r="T494" s="3" t="str">
        <f ca="1">VLOOKUP(E494,Vehicles!$A$2:$D$21,2,FALSE)</f>
        <v>LCV</v>
      </c>
      <c r="U494" s="3">
        <f ca="1">VLOOKUP(E494,Vehicles!$A$2:$D$21,3,FALSE)</f>
        <v>4</v>
      </c>
      <c r="V494" s="3" t="str">
        <f ca="1">VLOOKUP(E494,Vehicles!$A$2:$D$21,4,FALSE)</f>
        <v>CNG</v>
      </c>
      <c r="W494" s="3">
        <f ca="1">VLOOKUP(V494,Fuel_Rates!$A$2:$B$3,2,FALSE)</f>
        <v>78</v>
      </c>
      <c r="X494" s="3">
        <f t="shared" ca="1" si="131"/>
        <v>36.75</v>
      </c>
      <c r="Y494" s="3">
        <f t="shared" ca="1" si="132"/>
        <v>28207</v>
      </c>
      <c r="Z494" s="3" t="str">
        <f t="shared" ca="1" si="133"/>
        <v>Feb</v>
      </c>
      <c r="AA494" s="3" t="str">
        <f t="shared" ca="1" si="134"/>
        <v>Q1</v>
      </c>
      <c r="AB494" s="4" t="str">
        <f t="shared" ca="1" si="135"/>
        <v>Medium Haul</v>
      </c>
    </row>
    <row r="495" spans="1:28" x14ac:dyDescent="0.3">
      <c r="A495" s="8" t="str">
        <f t="shared" si="130"/>
        <v>S0494</v>
      </c>
      <c r="B495" s="3">
        <f t="shared" ca="1" si="119"/>
        <v>45804</v>
      </c>
      <c r="C495" s="3" t="str">
        <f ca="1">INDEX(Customers!$A$2:$A$21,RANDBETWEEN(1,20))</f>
        <v>C014</v>
      </c>
      <c r="D495" s="3" t="str">
        <f ca="1">INDEX(Routes!$A$2:$A$31,RANDBETWEEN(1,30))</f>
        <v>R030</v>
      </c>
      <c r="E495" s="3" t="str">
        <f ca="1">INDEX(Vehicles!$A$2:$A$21,RANDBETWEEN(1,20))</f>
        <v>V001</v>
      </c>
      <c r="F495" s="3" t="str">
        <f ca="1">INDEX(Drivers!$A$2:$A$31,RANDBETWEEN(1,30))</f>
        <v>D018</v>
      </c>
      <c r="G495" s="3">
        <f t="shared" ca="1" si="120"/>
        <v>4.0999999999999996</v>
      </c>
      <c r="H495" s="3">
        <f t="shared" ca="1" si="121"/>
        <v>12463</v>
      </c>
      <c r="I495" s="3">
        <f t="shared" ca="1" si="122"/>
        <v>3490</v>
      </c>
      <c r="J495" s="3">
        <f t="shared" ca="1" si="123"/>
        <v>2147</v>
      </c>
      <c r="K495" s="3">
        <f t="shared" ca="1" si="124"/>
        <v>12</v>
      </c>
      <c r="L495" s="3">
        <f t="shared" ca="1" si="125"/>
        <v>20</v>
      </c>
      <c r="M495" s="3">
        <f t="shared" ca="1" si="126"/>
        <v>8</v>
      </c>
      <c r="N495" s="3" t="str">
        <f t="shared" ca="1" si="127"/>
        <v>Delayed</v>
      </c>
      <c r="O495" s="3" t="str">
        <f t="shared" ca="1" si="128"/>
        <v>High</v>
      </c>
      <c r="P495" s="3">
        <f t="shared" ca="1" si="129"/>
        <v>13.7</v>
      </c>
      <c r="Q495" s="1" t="str">
        <f ca="1">VLOOKUP(D495,Routes!$A$2:$D$31,2,FALSE)</f>
        <v>Bhubaneswar</v>
      </c>
      <c r="R495" s="1" t="str">
        <f ca="1">VLOOKUP(D495,Routes!$A$2:$D$31,3,FALSE)</f>
        <v>Kolkata</v>
      </c>
      <c r="S495" s="3">
        <f ca="1">VLOOKUP(D495,Routes!$A$2:$D$31,4,FALSE)</f>
        <v>440</v>
      </c>
      <c r="T495" s="3" t="str">
        <f ca="1">VLOOKUP(E495,Vehicles!$A$2:$D$21,2,FALSE)</f>
        <v>Truck</v>
      </c>
      <c r="U495" s="3">
        <f ca="1">VLOOKUP(E495,Vehicles!$A$2:$D$21,3,FALSE)</f>
        <v>16</v>
      </c>
      <c r="V495" s="3" t="str">
        <f ca="1">VLOOKUP(E495,Vehicles!$A$2:$D$21,4,FALSE)</f>
        <v>Diesel</v>
      </c>
      <c r="W495" s="3">
        <f ca="1">VLOOKUP(V495,Fuel_Rates!$A$2:$B$3,2,FALSE)</f>
        <v>95</v>
      </c>
      <c r="X495" s="3">
        <f t="shared" ca="1" si="131"/>
        <v>28.33</v>
      </c>
      <c r="Y495" s="3">
        <f t="shared" ca="1" si="132"/>
        <v>18100</v>
      </c>
      <c r="Z495" s="3" t="str">
        <f t="shared" ca="1" si="133"/>
        <v>May</v>
      </c>
      <c r="AA495" s="3" t="str">
        <f t="shared" ca="1" si="134"/>
        <v>Q2</v>
      </c>
      <c r="AB495" s="4" t="str">
        <f t="shared" ca="1" si="135"/>
        <v>Medium Haul</v>
      </c>
    </row>
    <row r="496" spans="1:28" x14ac:dyDescent="0.3">
      <c r="A496" s="8" t="str">
        <f t="shared" si="130"/>
        <v>S0495</v>
      </c>
      <c r="B496" s="3">
        <f t="shared" ca="1" si="119"/>
        <v>45937</v>
      </c>
      <c r="C496" s="3" t="str">
        <f ca="1">INDEX(Customers!$A$2:$A$21,RANDBETWEEN(1,20))</f>
        <v>C017</v>
      </c>
      <c r="D496" s="3" t="str">
        <f ca="1">INDEX(Routes!$A$2:$A$31,RANDBETWEEN(1,30))</f>
        <v>R011</v>
      </c>
      <c r="E496" s="3" t="str">
        <f ca="1">INDEX(Vehicles!$A$2:$A$21,RANDBETWEEN(1,20))</f>
        <v>V015</v>
      </c>
      <c r="F496" s="3" t="str">
        <f ca="1">INDEX(Drivers!$A$2:$A$31,RANDBETWEEN(1,30))</f>
        <v>D016</v>
      </c>
      <c r="G496" s="3">
        <f t="shared" ca="1" si="120"/>
        <v>2.8</v>
      </c>
      <c r="H496" s="3">
        <f t="shared" ca="1" si="121"/>
        <v>14575</v>
      </c>
      <c r="I496" s="3">
        <f t="shared" ca="1" si="122"/>
        <v>4081</v>
      </c>
      <c r="J496" s="3">
        <f t="shared" ca="1" si="123"/>
        <v>1895</v>
      </c>
      <c r="K496" s="3">
        <f t="shared" ca="1" si="124"/>
        <v>17</v>
      </c>
      <c r="L496" s="3">
        <f t="shared" ca="1" si="125"/>
        <v>19</v>
      </c>
      <c r="M496" s="3">
        <f t="shared" ca="1" si="126"/>
        <v>2</v>
      </c>
      <c r="N496" s="3" t="str">
        <f t="shared" ca="1" si="127"/>
        <v>On Time</v>
      </c>
      <c r="O496" s="3" t="str">
        <f t="shared" ca="1" si="128"/>
        <v>Medium</v>
      </c>
      <c r="P496" s="3">
        <f t="shared" ca="1" si="129"/>
        <v>9.3000000000000007</v>
      </c>
      <c r="Q496" s="1" t="str">
        <f ca="1">VLOOKUP(D496,Routes!$A$2:$D$31,2,FALSE)</f>
        <v>Bengaluru</v>
      </c>
      <c r="R496" s="1" t="str">
        <f ca="1">VLOOKUP(D496,Routes!$A$2:$D$31,3,FALSE)</f>
        <v>Kochi</v>
      </c>
      <c r="S496" s="3">
        <f ca="1">VLOOKUP(D496,Routes!$A$2:$D$31,4,FALSE)</f>
        <v>550</v>
      </c>
      <c r="T496" s="3" t="str">
        <f ca="1">VLOOKUP(E496,Vehicles!$A$2:$D$21,2,FALSE)</f>
        <v>Trailer</v>
      </c>
      <c r="U496" s="3">
        <f ca="1">VLOOKUP(E496,Vehicles!$A$2:$D$21,3,FALSE)</f>
        <v>30</v>
      </c>
      <c r="V496" s="3" t="str">
        <f ca="1">VLOOKUP(E496,Vehicles!$A$2:$D$21,4,FALSE)</f>
        <v>Diesel</v>
      </c>
      <c r="W496" s="3">
        <f ca="1">VLOOKUP(V496,Fuel_Rates!$A$2:$B$3,2,FALSE)</f>
        <v>95</v>
      </c>
      <c r="X496" s="3">
        <f t="shared" ca="1" si="131"/>
        <v>26.5</v>
      </c>
      <c r="Y496" s="3">
        <f t="shared" ca="1" si="132"/>
        <v>20551</v>
      </c>
      <c r="Z496" s="3" t="str">
        <f t="shared" ca="1" si="133"/>
        <v>Oct</v>
      </c>
      <c r="AA496" s="3" t="str">
        <f t="shared" ca="1" si="134"/>
        <v>Q4</v>
      </c>
      <c r="AB496" s="4" t="str">
        <f t="shared" ca="1" si="135"/>
        <v>Medium Haul</v>
      </c>
    </row>
    <row r="497" spans="1:28" x14ac:dyDescent="0.3">
      <c r="A497" s="8" t="str">
        <f t="shared" si="130"/>
        <v>S0496</v>
      </c>
      <c r="B497" s="3">
        <f t="shared" ca="1" si="119"/>
        <v>45936</v>
      </c>
      <c r="C497" s="3" t="str">
        <f ca="1">INDEX(Customers!$A$2:$A$21,RANDBETWEEN(1,20))</f>
        <v>C015</v>
      </c>
      <c r="D497" s="3" t="str">
        <f ca="1">INDEX(Routes!$A$2:$A$31,RANDBETWEEN(1,30))</f>
        <v>R026</v>
      </c>
      <c r="E497" s="3" t="str">
        <f ca="1">INDEX(Vehicles!$A$2:$A$21,RANDBETWEEN(1,20))</f>
        <v>V005</v>
      </c>
      <c r="F497" s="3" t="str">
        <f ca="1">INDEX(Drivers!$A$2:$A$31,RANDBETWEEN(1,30))</f>
        <v>D020</v>
      </c>
      <c r="G497" s="3">
        <f t="shared" ca="1" si="120"/>
        <v>17.600000000000001</v>
      </c>
      <c r="H497" s="3">
        <f t="shared" ca="1" si="121"/>
        <v>35023</v>
      </c>
      <c r="I497" s="3">
        <f t="shared" ca="1" si="122"/>
        <v>9806</v>
      </c>
      <c r="J497" s="3">
        <f t="shared" ca="1" si="123"/>
        <v>2184</v>
      </c>
      <c r="K497" s="3">
        <f t="shared" ca="1" si="124"/>
        <v>25</v>
      </c>
      <c r="L497" s="3">
        <f t="shared" ca="1" si="125"/>
        <v>30</v>
      </c>
      <c r="M497" s="3">
        <f t="shared" ca="1" si="126"/>
        <v>5</v>
      </c>
      <c r="N497" s="3" t="str">
        <f t="shared" ca="1" si="127"/>
        <v>Delayed</v>
      </c>
      <c r="O497" s="3" t="str">
        <f t="shared" ca="1" si="128"/>
        <v>Low</v>
      </c>
      <c r="P497" s="3">
        <f t="shared" ca="1" si="129"/>
        <v>58.7</v>
      </c>
      <c r="Q497" s="1" t="str">
        <f ca="1">VLOOKUP(D497,Routes!$A$2:$D$31,2,FALSE)</f>
        <v>Nagpur</v>
      </c>
      <c r="R497" s="1" t="str">
        <f ca="1">VLOOKUP(D497,Routes!$A$2:$D$31,3,FALSE)</f>
        <v>Bhopal</v>
      </c>
      <c r="S497" s="3">
        <f ca="1">VLOOKUP(D497,Routes!$A$2:$D$31,4,FALSE)</f>
        <v>350</v>
      </c>
      <c r="T497" s="3" t="str">
        <f ca="1">VLOOKUP(E497,Vehicles!$A$2:$D$21,2,FALSE)</f>
        <v>Trailer</v>
      </c>
      <c r="U497" s="3">
        <f ca="1">VLOOKUP(E497,Vehicles!$A$2:$D$21,3,FALSE)</f>
        <v>32</v>
      </c>
      <c r="V497" s="3" t="str">
        <f ca="1">VLOOKUP(E497,Vehicles!$A$2:$D$21,4,FALSE)</f>
        <v>Diesel</v>
      </c>
      <c r="W497" s="3">
        <f ca="1">VLOOKUP(V497,Fuel_Rates!$A$2:$B$3,2,FALSE)</f>
        <v>95</v>
      </c>
      <c r="X497" s="3">
        <f t="shared" ca="1" si="131"/>
        <v>100.07</v>
      </c>
      <c r="Y497" s="3">
        <f t="shared" ca="1" si="132"/>
        <v>47013</v>
      </c>
      <c r="Z497" s="3" t="str">
        <f t="shared" ca="1" si="133"/>
        <v>Oct</v>
      </c>
      <c r="AA497" s="3" t="str">
        <f t="shared" ca="1" si="134"/>
        <v>Q4</v>
      </c>
      <c r="AB497" s="4" t="str">
        <f t="shared" ca="1" si="135"/>
        <v>Medium Haul</v>
      </c>
    </row>
    <row r="498" spans="1:28" x14ac:dyDescent="0.3">
      <c r="A498" s="8" t="str">
        <f t="shared" si="130"/>
        <v>S0497</v>
      </c>
      <c r="B498" s="3">
        <f t="shared" ca="1" si="119"/>
        <v>45972</v>
      </c>
      <c r="C498" s="3" t="str">
        <f ca="1">INDEX(Customers!$A$2:$A$21,RANDBETWEEN(1,20))</f>
        <v>C005</v>
      </c>
      <c r="D498" s="3" t="str">
        <f ca="1">INDEX(Routes!$A$2:$A$31,RANDBETWEEN(1,30))</f>
        <v>R017</v>
      </c>
      <c r="E498" s="3" t="str">
        <f ca="1">INDEX(Vehicles!$A$2:$A$21,RANDBETWEEN(1,20))</f>
        <v>V020</v>
      </c>
      <c r="F498" s="3" t="str">
        <f ca="1">INDEX(Drivers!$A$2:$A$31,RANDBETWEEN(1,30))</f>
        <v>D030</v>
      </c>
      <c r="G498" s="3">
        <f t="shared" ca="1" si="120"/>
        <v>6.3</v>
      </c>
      <c r="H498" s="3">
        <f t="shared" ca="1" si="121"/>
        <v>25957</v>
      </c>
      <c r="I498" s="3">
        <f t="shared" ca="1" si="122"/>
        <v>7268</v>
      </c>
      <c r="J498" s="3">
        <f t="shared" ca="1" si="123"/>
        <v>1267</v>
      </c>
      <c r="K498" s="3">
        <f t="shared" ca="1" si="124"/>
        <v>17</v>
      </c>
      <c r="L498" s="3">
        <f t="shared" ca="1" si="125"/>
        <v>17</v>
      </c>
      <c r="M498" s="3">
        <f t="shared" ca="1" si="126"/>
        <v>0</v>
      </c>
      <c r="N498" s="3" t="str">
        <f t="shared" ca="1" si="127"/>
        <v>On Time</v>
      </c>
      <c r="O498" s="3" t="str">
        <f t="shared" ca="1" si="128"/>
        <v>Low</v>
      </c>
      <c r="P498" s="3">
        <f t="shared" ca="1" si="129"/>
        <v>21</v>
      </c>
      <c r="Q498" s="1" t="str">
        <f ca="1">VLOOKUP(D498,Routes!$A$2:$D$31,2,FALSE)</f>
        <v>Kolkata</v>
      </c>
      <c r="R498" s="1" t="str">
        <f ca="1">VLOOKUP(D498,Routes!$A$2:$D$31,3,FALSE)</f>
        <v>Patna</v>
      </c>
      <c r="S498" s="3">
        <f ca="1">VLOOKUP(D498,Routes!$A$2:$D$31,4,FALSE)</f>
        <v>620</v>
      </c>
      <c r="T498" s="3" t="str">
        <f ca="1">VLOOKUP(E498,Vehicles!$A$2:$D$21,2,FALSE)</f>
        <v>Container</v>
      </c>
      <c r="U498" s="3">
        <f ca="1">VLOOKUP(E498,Vehicles!$A$2:$D$21,3,FALSE)</f>
        <v>28</v>
      </c>
      <c r="V498" s="3" t="str">
        <f ca="1">VLOOKUP(E498,Vehicles!$A$2:$D$21,4,FALSE)</f>
        <v>Diesel</v>
      </c>
      <c r="W498" s="3">
        <f ca="1">VLOOKUP(V498,Fuel_Rates!$A$2:$B$3,2,FALSE)</f>
        <v>95</v>
      </c>
      <c r="X498" s="3">
        <f t="shared" ca="1" si="131"/>
        <v>41.87</v>
      </c>
      <c r="Y498" s="3">
        <f t="shared" ca="1" si="132"/>
        <v>34492</v>
      </c>
      <c r="Z498" s="3" t="str">
        <f t="shared" ca="1" si="133"/>
        <v>Nov</v>
      </c>
      <c r="AA498" s="3" t="str">
        <f t="shared" ca="1" si="134"/>
        <v>Q4</v>
      </c>
      <c r="AB498" s="4" t="str">
        <f t="shared" ca="1" si="135"/>
        <v>Medium Haul</v>
      </c>
    </row>
    <row r="499" spans="1:28" x14ac:dyDescent="0.3">
      <c r="A499" s="8" t="str">
        <f t="shared" si="130"/>
        <v>S0498</v>
      </c>
      <c r="B499" s="3">
        <f t="shared" ca="1" si="119"/>
        <v>45907</v>
      </c>
      <c r="C499" s="3" t="str">
        <f ca="1">INDEX(Customers!$A$2:$A$21,RANDBETWEEN(1,20))</f>
        <v>C012</v>
      </c>
      <c r="D499" s="3" t="str">
        <f ca="1">INDEX(Routes!$A$2:$A$31,RANDBETWEEN(1,30))</f>
        <v>R030</v>
      </c>
      <c r="E499" s="3" t="str">
        <f ca="1">INDEX(Vehicles!$A$2:$A$21,RANDBETWEEN(1,20))</f>
        <v>V011</v>
      </c>
      <c r="F499" s="3" t="str">
        <f ca="1">INDEX(Drivers!$A$2:$A$31,RANDBETWEEN(1,30))</f>
        <v>D004</v>
      </c>
      <c r="G499" s="3">
        <f t="shared" ca="1" si="120"/>
        <v>13.6</v>
      </c>
      <c r="H499" s="3">
        <f t="shared" ca="1" si="121"/>
        <v>33826</v>
      </c>
      <c r="I499" s="3">
        <f t="shared" ca="1" si="122"/>
        <v>9471</v>
      </c>
      <c r="J499" s="3">
        <f t="shared" ca="1" si="123"/>
        <v>1025</v>
      </c>
      <c r="K499" s="3">
        <f t="shared" ca="1" si="124"/>
        <v>4</v>
      </c>
      <c r="L499" s="3">
        <f t="shared" ca="1" si="125"/>
        <v>8</v>
      </c>
      <c r="M499" s="3">
        <f t="shared" ca="1" si="126"/>
        <v>4</v>
      </c>
      <c r="N499" s="3" t="str">
        <f t="shared" ca="1" si="127"/>
        <v>Delayed</v>
      </c>
      <c r="O499" s="3" t="str">
        <f t="shared" ca="1" si="128"/>
        <v>High</v>
      </c>
      <c r="P499" s="3">
        <f t="shared" ca="1" si="129"/>
        <v>45.3</v>
      </c>
      <c r="Q499" s="1" t="str">
        <f ca="1">VLOOKUP(D499,Routes!$A$2:$D$31,2,FALSE)</f>
        <v>Bhubaneswar</v>
      </c>
      <c r="R499" s="1" t="str">
        <f ca="1">VLOOKUP(D499,Routes!$A$2:$D$31,3,FALSE)</f>
        <v>Kolkata</v>
      </c>
      <c r="S499" s="3">
        <f ca="1">VLOOKUP(D499,Routes!$A$2:$D$31,4,FALSE)</f>
        <v>440</v>
      </c>
      <c r="T499" s="3" t="str">
        <f ca="1">VLOOKUP(E499,Vehicles!$A$2:$D$21,2,FALSE)</f>
        <v>Truck</v>
      </c>
      <c r="U499" s="3">
        <f ca="1">VLOOKUP(E499,Vehicles!$A$2:$D$21,3,FALSE)</f>
        <v>18</v>
      </c>
      <c r="V499" s="3" t="str">
        <f ca="1">VLOOKUP(E499,Vehicles!$A$2:$D$21,4,FALSE)</f>
        <v>CNG</v>
      </c>
      <c r="W499" s="3">
        <f ca="1">VLOOKUP(V499,Fuel_Rates!$A$2:$B$3,2,FALSE)</f>
        <v>78</v>
      </c>
      <c r="X499" s="3">
        <f t="shared" ca="1" si="131"/>
        <v>76.88</v>
      </c>
      <c r="Y499" s="3">
        <f t="shared" ca="1" si="132"/>
        <v>44322</v>
      </c>
      <c r="Z499" s="3" t="str">
        <f t="shared" ca="1" si="133"/>
        <v>Sep</v>
      </c>
      <c r="AA499" s="3" t="str">
        <f t="shared" ca="1" si="134"/>
        <v>Q3</v>
      </c>
      <c r="AB499" s="4" t="str">
        <f t="shared" ca="1" si="135"/>
        <v>Medium Haul</v>
      </c>
    </row>
    <row r="500" spans="1:28" x14ac:dyDescent="0.3">
      <c r="A500" s="8" t="str">
        <f t="shared" si="130"/>
        <v>S0499</v>
      </c>
      <c r="B500" s="3">
        <f t="shared" ca="1" si="119"/>
        <v>46019</v>
      </c>
      <c r="C500" s="3" t="str">
        <f ca="1">INDEX(Customers!$A$2:$A$21,RANDBETWEEN(1,20))</f>
        <v>C009</v>
      </c>
      <c r="D500" s="3" t="str">
        <f ca="1">INDEX(Routes!$A$2:$A$31,RANDBETWEEN(1,30))</f>
        <v>R019</v>
      </c>
      <c r="E500" s="3" t="str">
        <f ca="1">INDEX(Vehicles!$A$2:$A$21,RANDBETWEEN(1,20))</f>
        <v>V008</v>
      </c>
      <c r="F500" s="3" t="str">
        <f ca="1">INDEX(Drivers!$A$2:$A$31,RANDBETWEEN(1,30))</f>
        <v>D014</v>
      </c>
      <c r="G500" s="3">
        <f t="shared" ca="1" si="120"/>
        <v>9.4</v>
      </c>
      <c r="H500" s="3">
        <f t="shared" ca="1" si="121"/>
        <v>24302</v>
      </c>
      <c r="I500" s="3">
        <f t="shared" ca="1" si="122"/>
        <v>6805</v>
      </c>
      <c r="J500" s="3">
        <f t="shared" ca="1" si="123"/>
        <v>516</v>
      </c>
      <c r="K500" s="3">
        <f t="shared" ca="1" si="124"/>
        <v>24</v>
      </c>
      <c r="L500" s="3">
        <f t="shared" ca="1" si="125"/>
        <v>26</v>
      </c>
      <c r="M500" s="3">
        <f t="shared" ca="1" si="126"/>
        <v>2</v>
      </c>
      <c r="N500" s="3" t="str">
        <f t="shared" ca="1" si="127"/>
        <v>On Time</v>
      </c>
      <c r="O500" s="3" t="str">
        <f t="shared" ca="1" si="128"/>
        <v>Low</v>
      </c>
      <c r="P500" s="3">
        <f t="shared" ca="1" si="129"/>
        <v>31.3</v>
      </c>
      <c r="Q500" s="1" t="str">
        <f ca="1">VLOOKUP(D500,Routes!$A$2:$D$31,2,FALSE)</f>
        <v>Ahmedabad</v>
      </c>
      <c r="R500" s="1" t="str">
        <f ca="1">VLOOKUP(D500,Routes!$A$2:$D$31,3,FALSE)</f>
        <v>Indore</v>
      </c>
      <c r="S500" s="3">
        <f ca="1">VLOOKUP(D500,Routes!$A$2:$D$31,4,FALSE)</f>
        <v>390</v>
      </c>
      <c r="T500" s="3" t="str">
        <f ca="1">VLOOKUP(E500,Vehicles!$A$2:$D$21,2,FALSE)</f>
        <v>Container</v>
      </c>
      <c r="U500" s="3">
        <f ca="1">VLOOKUP(E500,Vehicles!$A$2:$D$21,3,FALSE)</f>
        <v>25</v>
      </c>
      <c r="V500" s="3" t="str">
        <f ca="1">VLOOKUP(E500,Vehicles!$A$2:$D$21,4,FALSE)</f>
        <v>Diesel</v>
      </c>
      <c r="W500" s="3">
        <f ca="1">VLOOKUP(V500,Fuel_Rates!$A$2:$B$3,2,FALSE)</f>
        <v>95</v>
      </c>
      <c r="X500" s="3">
        <f t="shared" ca="1" si="131"/>
        <v>62.31</v>
      </c>
      <c r="Y500" s="3">
        <f t="shared" ca="1" si="132"/>
        <v>31623</v>
      </c>
      <c r="Z500" s="3" t="str">
        <f t="shared" ca="1" si="133"/>
        <v>Dec</v>
      </c>
      <c r="AA500" s="3" t="str">
        <f t="shared" ca="1" si="134"/>
        <v>Q4</v>
      </c>
      <c r="AB500" s="4" t="str">
        <f t="shared" ca="1" si="135"/>
        <v>Medium Haul</v>
      </c>
    </row>
    <row r="501" spans="1:28" x14ac:dyDescent="0.3">
      <c r="A501" s="8" t="str">
        <f t="shared" si="130"/>
        <v>S0500</v>
      </c>
      <c r="B501" s="3">
        <f t="shared" ca="1" si="119"/>
        <v>45684</v>
      </c>
      <c r="C501" s="3" t="str">
        <f ca="1">INDEX(Customers!$A$2:$A$21,RANDBETWEEN(1,20))</f>
        <v>C003</v>
      </c>
      <c r="D501" s="3" t="str">
        <f ca="1">INDEX(Routes!$A$2:$A$31,RANDBETWEEN(1,30))</f>
        <v>R028</v>
      </c>
      <c r="E501" s="3" t="str">
        <f ca="1">INDEX(Vehicles!$A$2:$A$21,RANDBETWEEN(1,20))</f>
        <v>V011</v>
      </c>
      <c r="F501" s="3" t="str">
        <f ca="1">INDEX(Drivers!$A$2:$A$31,RANDBETWEEN(1,30))</f>
        <v>D016</v>
      </c>
      <c r="G501" s="3">
        <f t="shared" ca="1" si="120"/>
        <v>8.6999999999999993</v>
      </c>
      <c r="H501" s="3">
        <f t="shared" ca="1" si="121"/>
        <v>22276</v>
      </c>
      <c r="I501" s="3">
        <f t="shared" ca="1" si="122"/>
        <v>6237</v>
      </c>
      <c r="J501" s="3">
        <f t="shared" ca="1" si="123"/>
        <v>3356</v>
      </c>
      <c r="K501" s="3">
        <f t="shared" ca="1" si="124"/>
        <v>48</v>
      </c>
      <c r="L501" s="3">
        <f t="shared" ca="1" si="125"/>
        <v>53</v>
      </c>
      <c r="M501" s="3">
        <f t="shared" ca="1" si="126"/>
        <v>5</v>
      </c>
      <c r="N501" s="3" t="str">
        <f t="shared" ca="1" si="127"/>
        <v>Delayed</v>
      </c>
      <c r="O501" s="3" t="str">
        <f t="shared" ca="1" si="128"/>
        <v>Low</v>
      </c>
      <c r="P501" s="3">
        <f t="shared" ca="1" si="129"/>
        <v>29</v>
      </c>
      <c r="Q501" s="1" t="str">
        <f ca="1">VLOOKUP(D501,Routes!$A$2:$D$31,2,FALSE)</f>
        <v>Indore</v>
      </c>
      <c r="R501" s="1" t="str">
        <f ca="1">VLOOKUP(D501,Routes!$A$2:$D$31,3,FALSE)</f>
        <v>Mumbai</v>
      </c>
      <c r="S501" s="3">
        <f ca="1">VLOOKUP(D501,Routes!$A$2:$D$31,4,FALSE)</f>
        <v>590</v>
      </c>
      <c r="T501" s="3" t="str">
        <f ca="1">VLOOKUP(E501,Vehicles!$A$2:$D$21,2,FALSE)</f>
        <v>Truck</v>
      </c>
      <c r="U501" s="3">
        <f ca="1">VLOOKUP(E501,Vehicles!$A$2:$D$21,3,FALSE)</f>
        <v>18</v>
      </c>
      <c r="V501" s="3" t="str">
        <f ca="1">VLOOKUP(E501,Vehicles!$A$2:$D$21,4,FALSE)</f>
        <v>CNG</v>
      </c>
      <c r="W501" s="3">
        <f ca="1">VLOOKUP(V501,Fuel_Rates!$A$2:$B$3,2,FALSE)</f>
        <v>78</v>
      </c>
      <c r="X501" s="3">
        <f t="shared" ca="1" si="131"/>
        <v>37.76</v>
      </c>
      <c r="Y501" s="3">
        <f t="shared" ca="1" si="132"/>
        <v>31869</v>
      </c>
      <c r="Z501" s="3" t="str">
        <f t="shared" ca="1" si="133"/>
        <v>Jan</v>
      </c>
      <c r="AA501" s="3" t="str">
        <f t="shared" ca="1" si="134"/>
        <v>Q1</v>
      </c>
      <c r="AB501" s="4" t="str">
        <f t="shared" ca="1" si="135"/>
        <v>Medium Haul</v>
      </c>
    </row>
    <row r="502" spans="1:28" x14ac:dyDescent="0.3">
      <c r="A502" s="8" t="str">
        <f t="shared" si="130"/>
        <v>S0501</v>
      </c>
      <c r="B502" s="3">
        <f t="shared" ca="1" si="119"/>
        <v>45698</v>
      </c>
      <c r="C502" s="3" t="str">
        <f ca="1">INDEX(Customers!$A$2:$A$21,RANDBETWEEN(1,20))</f>
        <v>C015</v>
      </c>
      <c r="D502" s="3" t="str">
        <f ca="1">INDEX(Routes!$A$2:$A$31,RANDBETWEEN(1,30))</f>
        <v>R017</v>
      </c>
      <c r="E502" s="3" t="str">
        <f ca="1">INDEX(Vehicles!$A$2:$A$21,RANDBETWEEN(1,20))</f>
        <v>V013</v>
      </c>
      <c r="F502" s="3" t="str">
        <f ca="1">INDEX(Drivers!$A$2:$A$31,RANDBETWEEN(1,30))</f>
        <v>D015</v>
      </c>
      <c r="G502" s="3">
        <f t="shared" ca="1" si="120"/>
        <v>8.3000000000000007</v>
      </c>
      <c r="H502" s="3">
        <f t="shared" ca="1" si="121"/>
        <v>24775</v>
      </c>
      <c r="I502" s="3">
        <f t="shared" ca="1" si="122"/>
        <v>6937</v>
      </c>
      <c r="J502" s="3">
        <f t="shared" ca="1" si="123"/>
        <v>2680</v>
      </c>
      <c r="K502" s="3">
        <f t="shared" ca="1" si="124"/>
        <v>23</v>
      </c>
      <c r="L502" s="3">
        <f t="shared" ca="1" si="125"/>
        <v>30</v>
      </c>
      <c r="M502" s="3">
        <f t="shared" ca="1" si="126"/>
        <v>7</v>
      </c>
      <c r="N502" s="3" t="str">
        <f t="shared" ca="1" si="127"/>
        <v>Delayed</v>
      </c>
      <c r="O502" s="3" t="str">
        <f t="shared" ca="1" si="128"/>
        <v>High</v>
      </c>
      <c r="P502" s="3">
        <f t="shared" ca="1" si="129"/>
        <v>27.7</v>
      </c>
      <c r="Q502" s="1" t="str">
        <f ca="1">VLOOKUP(D502,Routes!$A$2:$D$31,2,FALSE)</f>
        <v>Kolkata</v>
      </c>
      <c r="R502" s="1" t="str">
        <f ca="1">VLOOKUP(D502,Routes!$A$2:$D$31,3,FALSE)</f>
        <v>Patna</v>
      </c>
      <c r="S502" s="3">
        <f ca="1">VLOOKUP(D502,Routes!$A$2:$D$31,4,FALSE)</f>
        <v>620</v>
      </c>
      <c r="T502" s="3" t="str">
        <f ca="1">VLOOKUP(E502,Vehicles!$A$2:$D$21,2,FALSE)</f>
        <v>LCV</v>
      </c>
      <c r="U502" s="3">
        <f ca="1">VLOOKUP(E502,Vehicles!$A$2:$D$21,3,FALSE)</f>
        <v>4</v>
      </c>
      <c r="V502" s="3" t="str">
        <f ca="1">VLOOKUP(E502,Vehicles!$A$2:$D$21,4,FALSE)</f>
        <v>CNG</v>
      </c>
      <c r="W502" s="3">
        <f ca="1">VLOOKUP(V502,Fuel_Rates!$A$2:$B$3,2,FALSE)</f>
        <v>78</v>
      </c>
      <c r="X502" s="3">
        <f t="shared" ca="1" si="131"/>
        <v>39.96</v>
      </c>
      <c r="Y502" s="3">
        <f t="shared" ca="1" si="132"/>
        <v>34392</v>
      </c>
      <c r="Z502" s="3" t="str">
        <f t="shared" ca="1" si="133"/>
        <v>Feb</v>
      </c>
      <c r="AA502" s="3" t="str">
        <f t="shared" ca="1" si="134"/>
        <v>Q1</v>
      </c>
      <c r="AB502" s="4" t="str">
        <f t="shared" ca="1" si="135"/>
        <v>Medium Haul</v>
      </c>
    </row>
    <row r="503" spans="1:28" x14ac:dyDescent="0.3">
      <c r="A503" s="8" t="str">
        <f t="shared" si="130"/>
        <v>S0502</v>
      </c>
      <c r="B503" s="3">
        <f t="shared" ca="1" si="119"/>
        <v>45973</v>
      </c>
      <c r="C503" s="3" t="str">
        <f ca="1">INDEX(Customers!$A$2:$A$21,RANDBETWEEN(1,20))</f>
        <v>C012</v>
      </c>
      <c r="D503" s="3" t="str">
        <f ca="1">INDEX(Routes!$A$2:$A$31,RANDBETWEEN(1,30))</f>
        <v>R027</v>
      </c>
      <c r="E503" s="3" t="str">
        <f ca="1">INDEX(Vehicles!$A$2:$A$21,RANDBETWEEN(1,20))</f>
        <v>V007</v>
      </c>
      <c r="F503" s="3" t="str">
        <f ca="1">INDEX(Drivers!$A$2:$A$31,RANDBETWEEN(1,30))</f>
        <v>D027</v>
      </c>
      <c r="G503" s="3">
        <f t="shared" ca="1" si="120"/>
        <v>2.9</v>
      </c>
      <c r="H503" s="3">
        <f t="shared" ca="1" si="121"/>
        <v>15317</v>
      </c>
      <c r="I503" s="3">
        <f t="shared" ca="1" si="122"/>
        <v>4289</v>
      </c>
      <c r="J503" s="3">
        <f t="shared" ca="1" si="123"/>
        <v>1852</v>
      </c>
      <c r="K503" s="3">
        <f t="shared" ca="1" si="124"/>
        <v>36</v>
      </c>
      <c r="L503" s="3">
        <f t="shared" ca="1" si="125"/>
        <v>44</v>
      </c>
      <c r="M503" s="3">
        <f t="shared" ca="1" si="126"/>
        <v>8</v>
      </c>
      <c r="N503" s="3" t="str">
        <f t="shared" ca="1" si="127"/>
        <v>Delayed</v>
      </c>
      <c r="O503" s="3" t="str">
        <f t="shared" ca="1" si="128"/>
        <v>Low</v>
      </c>
      <c r="P503" s="3">
        <f t="shared" ca="1" si="129"/>
        <v>9.6999999999999993</v>
      </c>
      <c r="Q503" s="1" t="str">
        <f ca="1">VLOOKUP(D503,Routes!$A$2:$D$31,2,FALSE)</f>
        <v>Patna</v>
      </c>
      <c r="R503" s="1" t="str">
        <f ca="1">VLOOKUP(D503,Routes!$A$2:$D$31,3,FALSE)</f>
        <v>Ranchi</v>
      </c>
      <c r="S503" s="3">
        <f ca="1">VLOOKUP(D503,Routes!$A$2:$D$31,4,FALSE)</f>
        <v>330</v>
      </c>
      <c r="T503" s="3" t="str">
        <f ca="1">VLOOKUP(E503,Vehicles!$A$2:$D$21,2,FALSE)</f>
        <v>Container</v>
      </c>
      <c r="U503" s="3">
        <f ca="1">VLOOKUP(E503,Vehicles!$A$2:$D$21,3,FALSE)</f>
        <v>20</v>
      </c>
      <c r="V503" s="3" t="str">
        <f ca="1">VLOOKUP(E503,Vehicles!$A$2:$D$21,4,FALSE)</f>
        <v>Diesel</v>
      </c>
      <c r="W503" s="3">
        <f ca="1">VLOOKUP(V503,Fuel_Rates!$A$2:$B$3,2,FALSE)</f>
        <v>95</v>
      </c>
      <c r="X503" s="3">
        <f t="shared" ca="1" si="131"/>
        <v>46.42</v>
      </c>
      <c r="Y503" s="3">
        <f t="shared" ca="1" si="132"/>
        <v>21458</v>
      </c>
      <c r="Z503" s="3" t="str">
        <f t="shared" ca="1" si="133"/>
        <v>Nov</v>
      </c>
      <c r="AA503" s="3" t="str">
        <f t="shared" ca="1" si="134"/>
        <v>Q4</v>
      </c>
      <c r="AB503" s="4" t="str">
        <f t="shared" ca="1" si="135"/>
        <v>Medium Haul</v>
      </c>
    </row>
    <row r="504" spans="1:28" x14ac:dyDescent="0.3">
      <c r="A504" s="8" t="str">
        <f t="shared" si="130"/>
        <v>S0503</v>
      </c>
      <c r="B504" s="3">
        <f t="shared" ca="1" si="119"/>
        <v>45663</v>
      </c>
      <c r="C504" s="3" t="str">
        <f ca="1">INDEX(Customers!$A$2:$A$21,RANDBETWEEN(1,20))</f>
        <v>C012</v>
      </c>
      <c r="D504" s="3" t="str">
        <f ca="1">INDEX(Routes!$A$2:$A$31,RANDBETWEEN(1,30))</f>
        <v>R016</v>
      </c>
      <c r="E504" s="3" t="str">
        <f ca="1">INDEX(Vehicles!$A$2:$A$21,RANDBETWEEN(1,20))</f>
        <v>V005</v>
      </c>
      <c r="F504" s="3" t="str">
        <f ca="1">INDEX(Drivers!$A$2:$A$31,RANDBETWEEN(1,30))</f>
        <v>D030</v>
      </c>
      <c r="G504" s="3">
        <f t="shared" ca="1" si="120"/>
        <v>19</v>
      </c>
      <c r="H504" s="3">
        <f t="shared" ca="1" si="121"/>
        <v>42595</v>
      </c>
      <c r="I504" s="3">
        <f t="shared" ca="1" si="122"/>
        <v>11927</v>
      </c>
      <c r="J504" s="3">
        <f t="shared" ca="1" si="123"/>
        <v>1809</v>
      </c>
      <c r="K504" s="3">
        <f t="shared" ca="1" si="124"/>
        <v>7</v>
      </c>
      <c r="L504" s="3">
        <f t="shared" ca="1" si="125"/>
        <v>11</v>
      </c>
      <c r="M504" s="3">
        <f t="shared" ca="1" si="126"/>
        <v>4</v>
      </c>
      <c r="N504" s="3" t="str">
        <f t="shared" ca="1" si="127"/>
        <v>Delayed</v>
      </c>
      <c r="O504" s="3" t="str">
        <f t="shared" ca="1" si="128"/>
        <v>Medium</v>
      </c>
      <c r="P504" s="3">
        <f t="shared" ca="1" si="129"/>
        <v>63.3</v>
      </c>
      <c r="Q504" s="1" t="str">
        <f ca="1">VLOOKUP(D504,Routes!$A$2:$D$31,2,FALSE)</f>
        <v>Kolkata</v>
      </c>
      <c r="R504" s="1" t="str">
        <f ca="1">VLOOKUP(D504,Routes!$A$2:$D$31,3,FALSE)</f>
        <v>Bhubaneswar</v>
      </c>
      <c r="S504" s="3">
        <f ca="1">VLOOKUP(D504,Routes!$A$2:$D$31,4,FALSE)</f>
        <v>440</v>
      </c>
      <c r="T504" s="3" t="str">
        <f ca="1">VLOOKUP(E504,Vehicles!$A$2:$D$21,2,FALSE)</f>
        <v>Trailer</v>
      </c>
      <c r="U504" s="3">
        <f ca="1">VLOOKUP(E504,Vehicles!$A$2:$D$21,3,FALSE)</f>
        <v>32</v>
      </c>
      <c r="V504" s="3" t="str">
        <f ca="1">VLOOKUP(E504,Vehicles!$A$2:$D$21,4,FALSE)</f>
        <v>Diesel</v>
      </c>
      <c r="W504" s="3">
        <f ca="1">VLOOKUP(V504,Fuel_Rates!$A$2:$B$3,2,FALSE)</f>
        <v>95</v>
      </c>
      <c r="X504" s="3">
        <f t="shared" ca="1" si="131"/>
        <v>96.81</v>
      </c>
      <c r="Y504" s="3">
        <f t="shared" ca="1" si="132"/>
        <v>56331</v>
      </c>
      <c r="Z504" s="3" t="str">
        <f t="shared" ca="1" si="133"/>
        <v>Jan</v>
      </c>
      <c r="AA504" s="3" t="str">
        <f t="shared" ca="1" si="134"/>
        <v>Q1</v>
      </c>
      <c r="AB504" s="4" t="str">
        <f t="shared" ca="1" si="135"/>
        <v>Medium Haul</v>
      </c>
    </row>
    <row r="505" spans="1:28" x14ac:dyDescent="0.3">
      <c r="A505" s="8" t="str">
        <f t="shared" si="130"/>
        <v>S0504</v>
      </c>
      <c r="B505" s="3">
        <f t="shared" ca="1" si="119"/>
        <v>45943</v>
      </c>
      <c r="C505" s="3" t="str">
        <f ca="1">INDEX(Customers!$A$2:$A$21,RANDBETWEEN(1,20))</f>
        <v>C009</v>
      </c>
      <c r="D505" s="3" t="str">
        <f ca="1">INDEX(Routes!$A$2:$A$31,RANDBETWEEN(1,30))</f>
        <v>R027</v>
      </c>
      <c r="E505" s="3" t="str">
        <f ca="1">INDEX(Vehicles!$A$2:$A$21,RANDBETWEEN(1,20))</f>
        <v>V007</v>
      </c>
      <c r="F505" s="3" t="str">
        <f ca="1">INDEX(Drivers!$A$2:$A$31,RANDBETWEEN(1,30))</f>
        <v>D008</v>
      </c>
      <c r="G505" s="3">
        <f t="shared" ca="1" si="120"/>
        <v>11.5</v>
      </c>
      <c r="H505" s="3">
        <f t="shared" ca="1" si="121"/>
        <v>29586</v>
      </c>
      <c r="I505" s="3">
        <f t="shared" ca="1" si="122"/>
        <v>8284</v>
      </c>
      <c r="J505" s="3">
        <f t="shared" ca="1" si="123"/>
        <v>3652</v>
      </c>
      <c r="K505" s="3">
        <f t="shared" ca="1" si="124"/>
        <v>28</v>
      </c>
      <c r="L505" s="3">
        <f t="shared" ca="1" si="125"/>
        <v>28</v>
      </c>
      <c r="M505" s="3">
        <f t="shared" ca="1" si="126"/>
        <v>0</v>
      </c>
      <c r="N505" s="3" t="str">
        <f t="shared" ca="1" si="127"/>
        <v>On Time</v>
      </c>
      <c r="O505" s="3" t="str">
        <f t="shared" ca="1" si="128"/>
        <v>High</v>
      </c>
      <c r="P505" s="3">
        <f t="shared" ca="1" si="129"/>
        <v>38.299999999999997</v>
      </c>
      <c r="Q505" s="1" t="str">
        <f ca="1">VLOOKUP(D505,Routes!$A$2:$D$31,2,FALSE)</f>
        <v>Patna</v>
      </c>
      <c r="R505" s="1" t="str">
        <f ca="1">VLOOKUP(D505,Routes!$A$2:$D$31,3,FALSE)</f>
        <v>Ranchi</v>
      </c>
      <c r="S505" s="3">
        <f ca="1">VLOOKUP(D505,Routes!$A$2:$D$31,4,FALSE)</f>
        <v>330</v>
      </c>
      <c r="T505" s="3" t="str">
        <f ca="1">VLOOKUP(E505,Vehicles!$A$2:$D$21,2,FALSE)</f>
        <v>Container</v>
      </c>
      <c r="U505" s="3">
        <f ca="1">VLOOKUP(E505,Vehicles!$A$2:$D$21,3,FALSE)</f>
        <v>20</v>
      </c>
      <c r="V505" s="3" t="str">
        <f ca="1">VLOOKUP(E505,Vehicles!$A$2:$D$21,4,FALSE)</f>
        <v>Diesel</v>
      </c>
      <c r="W505" s="3">
        <f ca="1">VLOOKUP(V505,Fuel_Rates!$A$2:$B$3,2,FALSE)</f>
        <v>95</v>
      </c>
      <c r="X505" s="3">
        <f t="shared" ca="1" si="131"/>
        <v>89.65</v>
      </c>
      <c r="Y505" s="3">
        <f t="shared" ca="1" si="132"/>
        <v>41522</v>
      </c>
      <c r="Z505" s="3" t="str">
        <f t="shared" ca="1" si="133"/>
        <v>Oct</v>
      </c>
      <c r="AA505" s="3" t="str">
        <f t="shared" ca="1" si="134"/>
        <v>Q4</v>
      </c>
      <c r="AB505" s="4" t="str">
        <f t="shared" ca="1" si="135"/>
        <v>Medium Haul</v>
      </c>
    </row>
    <row r="506" spans="1:28" x14ac:dyDescent="0.3">
      <c r="A506" s="8" t="str">
        <f t="shared" si="130"/>
        <v>S0505</v>
      </c>
      <c r="B506" s="3">
        <f t="shared" ca="1" si="119"/>
        <v>45738</v>
      </c>
      <c r="C506" s="3" t="str">
        <f ca="1">INDEX(Customers!$A$2:$A$21,RANDBETWEEN(1,20))</f>
        <v>C005</v>
      </c>
      <c r="D506" s="3" t="str">
        <f ca="1">INDEX(Routes!$A$2:$A$31,RANDBETWEEN(1,30))</f>
        <v>R005</v>
      </c>
      <c r="E506" s="3" t="str">
        <f ca="1">INDEX(Vehicles!$A$2:$A$21,RANDBETWEEN(1,20))</f>
        <v>V008</v>
      </c>
      <c r="F506" s="3" t="str">
        <f ca="1">INDEX(Drivers!$A$2:$A$31,RANDBETWEEN(1,30))</f>
        <v>D004</v>
      </c>
      <c r="G506" s="3">
        <f t="shared" ca="1" si="120"/>
        <v>24.8</v>
      </c>
      <c r="H506" s="3">
        <f t="shared" ca="1" si="121"/>
        <v>58340</v>
      </c>
      <c r="I506" s="3">
        <f t="shared" ca="1" si="122"/>
        <v>16335</v>
      </c>
      <c r="J506" s="3">
        <f t="shared" ca="1" si="123"/>
        <v>1021</v>
      </c>
      <c r="K506" s="3">
        <f t="shared" ca="1" si="124"/>
        <v>12</v>
      </c>
      <c r="L506" s="3">
        <f t="shared" ca="1" si="125"/>
        <v>12</v>
      </c>
      <c r="M506" s="3">
        <f t="shared" ca="1" si="126"/>
        <v>0</v>
      </c>
      <c r="N506" s="3" t="str">
        <f t="shared" ca="1" si="127"/>
        <v>On Time</v>
      </c>
      <c r="O506" s="3" t="str">
        <f t="shared" ca="1" si="128"/>
        <v>High</v>
      </c>
      <c r="P506" s="3">
        <f t="shared" ca="1" si="129"/>
        <v>82.7</v>
      </c>
      <c r="Q506" s="1" t="str">
        <f ca="1">VLOOKUP(D506,Routes!$A$2:$D$31,2,FALSE)</f>
        <v>Delhi</v>
      </c>
      <c r="R506" s="1" t="str">
        <f ca="1">VLOOKUP(D506,Routes!$A$2:$D$31,3,FALSE)</f>
        <v>Jaipur</v>
      </c>
      <c r="S506" s="3">
        <f ca="1">VLOOKUP(D506,Routes!$A$2:$D$31,4,FALSE)</f>
        <v>280</v>
      </c>
      <c r="T506" s="3" t="str">
        <f ca="1">VLOOKUP(E506,Vehicles!$A$2:$D$21,2,FALSE)</f>
        <v>Container</v>
      </c>
      <c r="U506" s="3">
        <f ca="1">VLOOKUP(E506,Vehicles!$A$2:$D$21,3,FALSE)</f>
        <v>25</v>
      </c>
      <c r="V506" s="3" t="str">
        <f ca="1">VLOOKUP(E506,Vehicles!$A$2:$D$21,4,FALSE)</f>
        <v>Diesel</v>
      </c>
      <c r="W506" s="3">
        <f ca="1">VLOOKUP(V506,Fuel_Rates!$A$2:$B$3,2,FALSE)</f>
        <v>95</v>
      </c>
      <c r="X506" s="3">
        <f t="shared" ca="1" si="131"/>
        <v>208.36</v>
      </c>
      <c r="Y506" s="3">
        <f t="shared" ca="1" si="132"/>
        <v>75696</v>
      </c>
      <c r="Z506" s="3" t="str">
        <f t="shared" ca="1" si="133"/>
        <v>Mar</v>
      </c>
      <c r="AA506" s="3" t="str">
        <f t="shared" ca="1" si="134"/>
        <v>Q1</v>
      </c>
      <c r="AB506" s="4" t="str">
        <f t="shared" ca="1" si="135"/>
        <v>Short Haul</v>
      </c>
    </row>
    <row r="507" spans="1:28" x14ac:dyDescent="0.3">
      <c r="A507" s="8" t="str">
        <f t="shared" si="130"/>
        <v>S0506</v>
      </c>
      <c r="B507" s="3">
        <f t="shared" ca="1" si="119"/>
        <v>45859</v>
      </c>
      <c r="C507" s="3" t="str">
        <f ca="1">INDEX(Customers!$A$2:$A$21,RANDBETWEEN(1,20))</f>
        <v>C005</v>
      </c>
      <c r="D507" s="3" t="str">
        <f ca="1">INDEX(Routes!$A$2:$A$31,RANDBETWEEN(1,30))</f>
        <v>R020</v>
      </c>
      <c r="E507" s="3" t="str">
        <f ca="1">INDEX(Vehicles!$A$2:$A$21,RANDBETWEEN(1,20))</f>
        <v>V017</v>
      </c>
      <c r="F507" s="3" t="str">
        <f ca="1">INDEX(Drivers!$A$2:$A$31,RANDBETWEEN(1,30))</f>
        <v>D018</v>
      </c>
      <c r="G507" s="3">
        <f t="shared" ca="1" si="120"/>
        <v>2.4</v>
      </c>
      <c r="H507" s="3">
        <f t="shared" ca="1" si="121"/>
        <v>7446</v>
      </c>
      <c r="I507" s="3">
        <f t="shared" ca="1" si="122"/>
        <v>2085</v>
      </c>
      <c r="J507" s="3">
        <f t="shared" ca="1" si="123"/>
        <v>1934</v>
      </c>
      <c r="K507" s="3">
        <f t="shared" ca="1" si="124"/>
        <v>29</v>
      </c>
      <c r="L507" s="3">
        <f t="shared" ca="1" si="125"/>
        <v>35</v>
      </c>
      <c r="M507" s="3">
        <f t="shared" ca="1" si="126"/>
        <v>6</v>
      </c>
      <c r="N507" s="3" t="str">
        <f t="shared" ca="1" si="127"/>
        <v>Delayed</v>
      </c>
      <c r="O507" s="3" t="str">
        <f t="shared" ca="1" si="128"/>
        <v>High</v>
      </c>
      <c r="P507" s="3">
        <f t="shared" ca="1" si="129"/>
        <v>8</v>
      </c>
      <c r="Q507" s="1" t="str">
        <f ca="1">VLOOKUP(D507,Routes!$A$2:$D$31,2,FALSE)</f>
        <v>Pune</v>
      </c>
      <c r="R507" s="1" t="str">
        <f ca="1">VLOOKUP(D507,Routes!$A$2:$D$31,3,FALSE)</f>
        <v>Nagpur</v>
      </c>
      <c r="S507" s="3">
        <f ca="1">VLOOKUP(D507,Routes!$A$2:$D$31,4,FALSE)</f>
        <v>720</v>
      </c>
      <c r="T507" s="3" t="str">
        <f ca="1">VLOOKUP(E507,Vehicles!$A$2:$D$21,2,FALSE)</f>
        <v>Truck</v>
      </c>
      <c r="U507" s="3">
        <f ca="1">VLOOKUP(E507,Vehicles!$A$2:$D$21,3,FALSE)</f>
        <v>24</v>
      </c>
      <c r="V507" s="3" t="str">
        <f ca="1">VLOOKUP(E507,Vehicles!$A$2:$D$21,4,FALSE)</f>
        <v>Diesel</v>
      </c>
      <c r="W507" s="3">
        <f ca="1">VLOOKUP(V507,Fuel_Rates!$A$2:$B$3,2,FALSE)</f>
        <v>95</v>
      </c>
      <c r="X507" s="3">
        <f t="shared" ca="1" si="131"/>
        <v>10.34</v>
      </c>
      <c r="Y507" s="3">
        <f t="shared" ca="1" si="132"/>
        <v>11465</v>
      </c>
      <c r="Z507" s="3" t="str">
        <f t="shared" ca="1" si="133"/>
        <v>Jul</v>
      </c>
      <c r="AA507" s="3" t="str">
        <f t="shared" ca="1" si="134"/>
        <v>Q3</v>
      </c>
      <c r="AB507" s="4" t="str">
        <f t="shared" ca="1" si="135"/>
        <v>Medium Haul</v>
      </c>
    </row>
    <row r="508" spans="1:28" x14ac:dyDescent="0.3">
      <c r="A508" s="8" t="str">
        <f t="shared" si="130"/>
        <v>S0507</v>
      </c>
      <c r="B508" s="3">
        <f t="shared" ca="1" si="119"/>
        <v>45865</v>
      </c>
      <c r="C508" s="3" t="str">
        <f ca="1">INDEX(Customers!$A$2:$A$21,RANDBETWEEN(1,20))</f>
        <v>C004</v>
      </c>
      <c r="D508" s="3" t="str">
        <f ca="1">INDEX(Routes!$A$2:$A$31,RANDBETWEEN(1,30))</f>
        <v>R009</v>
      </c>
      <c r="E508" s="3" t="str">
        <f ca="1">INDEX(Vehicles!$A$2:$A$21,RANDBETWEEN(1,20))</f>
        <v>V020</v>
      </c>
      <c r="F508" s="3" t="str">
        <f ca="1">INDEX(Drivers!$A$2:$A$31,RANDBETWEEN(1,30))</f>
        <v>D014</v>
      </c>
      <c r="G508" s="3">
        <f t="shared" ca="1" si="120"/>
        <v>20.7</v>
      </c>
      <c r="H508" s="3">
        <f t="shared" ca="1" si="121"/>
        <v>47755</v>
      </c>
      <c r="I508" s="3">
        <f t="shared" ca="1" si="122"/>
        <v>13371</v>
      </c>
      <c r="J508" s="3">
        <f t="shared" ca="1" si="123"/>
        <v>792</v>
      </c>
      <c r="K508" s="3">
        <f t="shared" ca="1" si="124"/>
        <v>7</v>
      </c>
      <c r="L508" s="3">
        <f t="shared" ca="1" si="125"/>
        <v>10</v>
      </c>
      <c r="M508" s="3">
        <f t="shared" ca="1" si="126"/>
        <v>3</v>
      </c>
      <c r="N508" s="3" t="str">
        <f t="shared" ca="1" si="127"/>
        <v>Delayed</v>
      </c>
      <c r="O508" s="3" t="str">
        <f t="shared" ca="1" si="128"/>
        <v>Low</v>
      </c>
      <c r="P508" s="3">
        <f t="shared" ca="1" si="129"/>
        <v>69</v>
      </c>
      <c r="Q508" s="1" t="str">
        <f ca="1">VLOOKUP(D508,Routes!$A$2:$D$31,2,FALSE)</f>
        <v>Bengaluru</v>
      </c>
      <c r="R508" s="1" t="str">
        <f ca="1">VLOOKUP(D508,Routes!$A$2:$D$31,3,FALSE)</f>
        <v>Chennai</v>
      </c>
      <c r="S508" s="3">
        <f ca="1">VLOOKUP(D508,Routes!$A$2:$D$31,4,FALSE)</f>
        <v>350</v>
      </c>
      <c r="T508" s="3" t="str">
        <f ca="1">VLOOKUP(E508,Vehicles!$A$2:$D$21,2,FALSE)</f>
        <v>Container</v>
      </c>
      <c r="U508" s="3">
        <f ca="1">VLOOKUP(E508,Vehicles!$A$2:$D$21,3,FALSE)</f>
        <v>28</v>
      </c>
      <c r="V508" s="3" t="str">
        <f ca="1">VLOOKUP(E508,Vehicles!$A$2:$D$21,4,FALSE)</f>
        <v>Diesel</v>
      </c>
      <c r="W508" s="3">
        <f ca="1">VLOOKUP(V508,Fuel_Rates!$A$2:$B$3,2,FALSE)</f>
        <v>95</v>
      </c>
      <c r="X508" s="3">
        <f t="shared" ca="1" si="131"/>
        <v>136.44</v>
      </c>
      <c r="Y508" s="3">
        <f t="shared" ca="1" si="132"/>
        <v>61918</v>
      </c>
      <c r="Z508" s="3" t="str">
        <f t="shared" ca="1" si="133"/>
        <v>Jul</v>
      </c>
      <c r="AA508" s="3" t="str">
        <f t="shared" ca="1" si="134"/>
        <v>Q3</v>
      </c>
      <c r="AB508" s="4" t="str">
        <f t="shared" ca="1" si="135"/>
        <v>Medium Haul</v>
      </c>
    </row>
    <row r="509" spans="1:28" x14ac:dyDescent="0.3">
      <c r="A509" s="8" t="str">
        <f t="shared" si="130"/>
        <v>S0508</v>
      </c>
      <c r="B509" s="3">
        <f t="shared" ca="1" si="119"/>
        <v>45819</v>
      </c>
      <c r="C509" s="3" t="str">
        <f ca="1">INDEX(Customers!$A$2:$A$21,RANDBETWEEN(1,20))</f>
        <v>C009</v>
      </c>
      <c r="D509" s="3" t="str">
        <f ca="1">INDEX(Routes!$A$2:$A$31,RANDBETWEEN(1,30))</f>
        <v>R001</v>
      </c>
      <c r="E509" s="3" t="str">
        <f ca="1">INDEX(Vehicles!$A$2:$A$21,RANDBETWEEN(1,20))</f>
        <v>V013</v>
      </c>
      <c r="F509" s="3" t="str">
        <f ca="1">INDEX(Drivers!$A$2:$A$31,RANDBETWEEN(1,30))</f>
        <v>D001</v>
      </c>
      <c r="G509" s="3">
        <f t="shared" ca="1" si="120"/>
        <v>24.8</v>
      </c>
      <c r="H509" s="3">
        <f t="shared" ca="1" si="121"/>
        <v>51106</v>
      </c>
      <c r="I509" s="3">
        <f t="shared" ca="1" si="122"/>
        <v>14310</v>
      </c>
      <c r="J509" s="3">
        <f t="shared" ca="1" si="123"/>
        <v>2530</v>
      </c>
      <c r="K509" s="3">
        <f t="shared" ca="1" si="124"/>
        <v>12</v>
      </c>
      <c r="L509" s="3">
        <f t="shared" ca="1" si="125"/>
        <v>12</v>
      </c>
      <c r="M509" s="3">
        <f t="shared" ca="1" si="126"/>
        <v>0</v>
      </c>
      <c r="N509" s="3" t="str">
        <f t="shared" ca="1" si="127"/>
        <v>On Time</v>
      </c>
      <c r="O509" s="3" t="str">
        <f t="shared" ca="1" si="128"/>
        <v>Medium</v>
      </c>
      <c r="P509" s="3">
        <f t="shared" ca="1" si="129"/>
        <v>82.7</v>
      </c>
      <c r="Q509" s="1" t="str">
        <f ca="1">VLOOKUP(D509,Routes!$A$2:$D$31,2,FALSE)</f>
        <v>Mumbai</v>
      </c>
      <c r="R509" s="1" t="str">
        <f ca="1">VLOOKUP(D509,Routes!$A$2:$D$31,3,FALSE)</f>
        <v>Pune</v>
      </c>
      <c r="S509" s="3">
        <f ca="1">VLOOKUP(D509,Routes!$A$2:$D$31,4,FALSE)</f>
        <v>150</v>
      </c>
      <c r="T509" s="3" t="str">
        <f ca="1">VLOOKUP(E509,Vehicles!$A$2:$D$21,2,FALSE)</f>
        <v>LCV</v>
      </c>
      <c r="U509" s="3">
        <f ca="1">VLOOKUP(E509,Vehicles!$A$2:$D$21,3,FALSE)</f>
        <v>4</v>
      </c>
      <c r="V509" s="3" t="str">
        <f ca="1">VLOOKUP(E509,Vehicles!$A$2:$D$21,4,FALSE)</f>
        <v>CNG</v>
      </c>
      <c r="W509" s="3">
        <f ca="1">VLOOKUP(V509,Fuel_Rates!$A$2:$B$3,2,FALSE)</f>
        <v>78</v>
      </c>
      <c r="X509" s="3">
        <f t="shared" ca="1" si="131"/>
        <v>340.71</v>
      </c>
      <c r="Y509" s="3">
        <f t="shared" ca="1" si="132"/>
        <v>67946</v>
      </c>
      <c r="Z509" s="3" t="str">
        <f t="shared" ca="1" si="133"/>
        <v>Jun</v>
      </c>
      <c r="AA509" s="3" t="str">
        <f t="shared" ca="1" si="134"/>
        <v>Q2</v>
      </c>
      <c r="AB509" s="4" t="str">
        <f t="shared" ca="1" si="135"/>
        <v>Short Haul</v>
      </c>
    </row>
    <row r="510" spans="1:28" x14ac:dyDescent="0.3">
      <c r="A510" s="8" t="str">
        <f t="shared" si="130"/>
        <v>S0509</v>
      </c>
      <c r="B510" s="3">
        <f t="shared" ca="1" si="119"/>
        <v>45888</v>
      </c>
      <c r="C510" s="3" t="str">
        <f ca="1">INDEX(Customers!$A$2:$A$21,RANDBETWEEN(1,20))</f>
        <v>C007</v>
      </c>
      <c r="D510" s="3" t="str">
        <f ca="1">INDEX(Routes!$A$2:$A$31,RANDBETWEEN(1,30))</f>
        <v>R027</v>
      </c>
      <c r="E510" s="3" t="str">
        <f ca="1">INDEX(Vehicles!$A$2:$A$21,RANDBETWEEN(1,20))</f>
        <v>V018</v>
      </c>
      <c r="F510" s="3" t="str">
        <f ca="1">INDEX(Drivers!$A$2:$A$31,RANDBETWEEN(1,30))</f>
        <v>D001</v>
      </c>
      <c r="G510" s="3">
        <f t="shared" ca="1" si="120"/>
        <v>10.3</v>
      </c>
      <c r="H510" s="3">
        <f t="shared" ca="1" si="121"/>
        <v>26852</v>
      </c>
      <c r="I510" s="3">
        <f t="shared" ca="1" si="122"/>
        <v>7519</v>
      </c>
      <c r="J510" s="3">
        <f t="shared" ca="1" si="123"/>
        <v>1583</v>
      </c>
      <c r="K510" s="3">
        <f t="shared" ca="1" si="124"/>
        <v>43</v>
      </c>
      <c r="L510" s="3">
        <f t="shared" ca="1" si="125"/>
        <v>47</v>
      </c>
      <c r="M510" s="3">
        <f t="shared" ca="1" si="126"/>
        <v>4</v>
      </c>
      <c r="N510" s="3" t="str">
        <f t="shared" ca="1" si="127"/>
        <v>Delayed</v>
      </c>
      <c r="O510" s="3" t="str">
        <f t="shared" ca="1" si="128"/>
        <v>Medium</v>
      </c>
      <c r="P510" s="3">
        <f t="shared" ca="1" si="129"/>
        <v>34.299999999999997</v>
      </c>
      <c r="Q510" s="1" t="str">
        <f ca="1">VLOOKUP(D510,Routes!$A$2:$D$31,2,FALSE)</f>
        <v>Patna</v>
      </c>
      <c r="R510" s="1" t="str">
        <f ca="1">VLOOKUP(D510,Routes!$A$2:$D$31,3,FALSE)</f>
        <v>Ranchi</v>
      </c>
      <c r="S510" s="3">
        <f ca="1">VLOOKUP(D510,Routes!$A$2:$D$31,4,FALSE)</f>
        <v>330</v>
      </c>
      <c r="T510" s="3" t="str">
        <f ca="1">VLOOKUP(E510,Vehicles!$A$2:$D$21,2,FALSE)</f>
        <v>Truck</v>
      </c>
      <c r="U510" s="3">
        <f ca="1">VLOOKUP(E510,Vehicles!$A$2:$D$21,3,FALSE)</f>
        <v>26</v>
      </c>
      <c r="V510" s="3" t="str">
        <f ca="1">VLOOKUP(E510,Vehicles!$A$2:$D$21,4,FALSE)</f>
        <v>Diesel</v>
      </c>
      <c r="W510" s="3">
        <f ca="1">VLOOKUP(V510,Fuel_Rates!$A$2:$B$3,2,FALSE)</f>
        <v>95</v>
      </c>
      <c r="X510" s="3">
        <f t="shared" ca="1" si="131"/>
        <v>81.37</v>
      </c>
      <c r="Y510" s="3">
        <f t="shared" ca="1" si="132"/>
        <v>35954</v>
      </c>
      <c r="Z510" s="3" t="str">
        <f t="shared" ca="1" si="133"/>
        <v>Aug</v>
      </c>
      <c r="AA510" s="3" t="str">
        <f t="shared" ca="1" si="134"/>
        <v>Q3</v>
      </c>
      <c r="AB510" s="4" t="str">
        <f t="shared" ca="1" si="135"/>
        <v>Medium Haul</v>
      </c>
    </row>
    <row r="511" spans="1:28" x14ac:dyDescent="0.3">
      <c r="A511" s="8" t="str">
        <f t="shared" si="130"/>
        <v>S0510</v>
      </c>
      <c r="B511" s="3">
        <f t="shared" ca="1" si="119"/>
        <v>45752</v>
      </c>
      <c r="C511" s="3" t="str">
        <f ca="1">INDEX(Customers!$A$2:$A$21,RANDBETWEEN(1,20))</f>
        <v>C015</v>
      </c>
      <c r="D511" s="3" t="str">
        <f ca="1">INDEX(Routes!$A$2:$A$31,RANDBETWEEN(1,30))</f>
        <v>R007</v>
      </c>
      <c r="E511" s="3" t="str">
        <f ca="1">INDEX(Vehicles!$A$2:$A$21,RANDBETWEEN(1,20))</f>
        <v>V012</v>
      </c>
      <c r="F511" s="3" t="str">
        <f ca="1">INDEX(Drivers!$A$2:$A$31,RANDBETWEEN(1,30))</f>
        <v>D001</v>
      </c>
      <c r="G511" s="3">
        <f t="shared" ca="1" si="120"/>
        <v>7</v>
      </c>
      <c r="H511" s="3">
        <f t="shared" ca="1" si="121"/>
        <v>16937</v>
      </c>
      <c r="I511" s="3">
        <f t="shared" ca="1" si="122"/>
        <v>4742</v>
      </c>
      <c r="J511" s="3">
        <f t="shared" ca="1" si="123"/>
        <v>2717</v>
      </c>
      <c r="K511" s="3">
        <f t="shared" ca="1" si="124"/>
        <v>6</v>
      </c>
      <c r="L511" s="3">
        <f t="shared" ca="1" si="125"/>
        <v>13</v>
      </c>
      <c r="M511" s="3">
        <f t="shared" ca="1" si="126"/>
        <v>7</v>
      </c>
      <c r="N511" s="3" t="str">
        <f t="shared" ca="1" si="127"/>
        <v>Delayed</v>
      </c>
      <c r="O511" s="3" t="str">
        <f t="shared" ca="1" si="128"/>
        <v>Medium</v>
      </c>
      <c r="P511" s="3">
        <f t="shared" ca="1" si="129"/>
        <v>23.3</v>
      </c>
      <c r="Q511" s="1" t="str">
        <f ca="1">VLOOKUP(D511,Routes!$A$2:$D$31,2,FALSE)</f>
        <v>Delhi</v>
      </c>
      <c r="R511" s="1" t="str">
        <f ca="1">VLOOKUP(D511,Routes!$A$2:$D$31,3,FALSE)</f>
        <v>Chandigarh</v>
      </c>
      <c r="S511" s="3">
        <f ca="1">VLOOKUP(D511,Routes!$A$2:$D$31,4,FALSE)</f>
        <v>250</v>
      </c>
      <c r="T511" s="3" t="str">
        <f ca="1">VLOOKUP(E511,Vehicles!$A$2:$D$21,2,FALSE)</f>
        <v>Truck</v>
      </c>
      <c r="U511" s="3">
        <f ca="1">VLOOKUP(E511,Vehicles!$A$2:$D$21,3,FALSE)</f>
        <v>20</v>
      </c>
      <c r="V511" s="3" t="str">
        <f ca="1">VLOOKUP(E511,Vehicles!$A$2:$D$21,4,FALSE)</f>
        <v>CNG</v>
      </c>
      <c r="W511" s="3">
        <f ca="1">VLOOKUP(V511,Fuel_Rates!$A$2:$B$3,2,FALSE)</f>
        <v>78</v>
      </c>
      <c r="X511" s="3">
        <f t="shared" ca="1" si="131"/>
        <v>67.75</v>
      </c>
      <c r="Y511" s="3">
        <f t="shared" ca="1" si="132"/>
        <v>24396</v>
      </c>
      <c r="Z511" s="3" t="str">
        <f t="shared" ca="1" si="133"/>
        <v>Apr</v>
      </c>
      <c r="AA511" s="3" t="str">
        <f t="shared" ca="1" si="134"/>
        <v>Q2</v>
      </c>
      <c r="AB511" s="4" t="str">
        <f t="shared" ca="1" si="135"/>
        <v>Short Haul</v>
      </c>
    </row>
    <row r="512" spans="1:28" x14ac:dyDescent="0.3">
      <c r="A512" s="8" t="str">
        <f t="shared" si="130"/>
        <v>S0511</v>
      </c>
      <c r="B512" s="3">
        <f t="shared" ca="1" si="119"/>
        <v>45729</v>
      </c>
      <c r="C512" s="3" t="str">
        <f ca="1">INDEX(Customers!$A$2:$A$21,RANDBETWEEN(1,20))</f>
        <v>C009</v>
      </c>
      <c r="D512" s="3" t="str">
        <f ca="1">INDEX(Routes!$A$2:$A$31,RANDBETWEEN(1,30))</f>
        <v>R021</v>
      </c>
      <c r="E512" s="3" t="str">
        <f ca="1">INDEX(Vehicles!$A$2:$A$21,RANDBETWEEN(1,20))</f>
        <v>V009</v>
      </c>
      <c r="F512" s="3" t="str">
        <f ca="1">INDEX(Drivers!$A$2:$A$31,RANDBETWEEN(1,30))</f>
        <v>D028</v>
      </c>
      <c r="G512" s="3">
        <f t="shared" ca="1" si="120"/>
        <v>29.7</v>
      </c>
      <c r="H512" s="3">
        <f t="shared" ca="1" si="121"/>
        <v>58958</v>
      </c>
      <c r="I512" s="3">
        <f t="shared" ca="1" si="122"/>
        <v>16508</v>
      </c>
      <c r="J512" s="3">
        <f t="shared" ca="1" si="123"/>
        <v>597</v>
      </c>
      <c r="K512" s="3">
        <f t="shared" ca="1" si="124"/>
        <v>33</v>
      </c>
      <c r="L512" s="3">
        <f t="shared" ca="1" si="125"/>
        <v>34</v>
      </c>
      <c r="M512" s="3">
        <f t="shared" ca="1" si="126"/>
        <v>1</v>
      </c>
      <c r="N512" s="3" t="str">
        <f t="shared" ca="1" si="127"/>
        <v>On Time</v>
      </c>
      <c r="O512" s="3" t="str">
        <f t="shared" ca="1" si="128"/>
        <v>Low</v>
      </c>
      <c r="P512" s="3">
        <f t="shared" ca="1" si="129"/>
        <v>99</v>
      </c>
      <c r="Q512" s="1" t="str">
        <f ca="1">VLOOKUP(D512,Routes!$A$2:$D$31,2,FALSE)</f>
        <v>Lucknow</v>
      </c>
      <c r="R512" s="1" t="str">
        <f ca="1">VLOOKUP(D512,Routes!$A$2:$D$31,3,FALSE)</f>
        <v>Kanpur</v>
      </c>
      <c r="S512" s="3">
        <f ca="1">VLOOKUP(D512,Routes!$A$2:$D$31,4,FALSE)</f>
        <v>90</v>
      </c>
      <c r="T512" s="3" t="str">
        <f ca="1">VLOOKUP(E512,Vehicles!$A$2:$D$21,2,FALSE)</f>
        <v>LCV</v>
      </c>
      <c r="U512" s="3">
        <f ca="1">VLOOKUP(E512,Vehicles!$A$2:$D$21,3,FALSE)</f>
        <v>5</v>
      </c>
      <c r="V512" s="3" t="str">
        <f ca="1">VLOOKUP(E512,Vehicles!$A$2:$D$21,4,FALSE)</f>
        <v>Diesel</v>
      </c>
      <c r="W512" s="3">
        <f ca="1">VLOOKUP(V512,Fuel_Rates!$A$2:$B$3,2,FALSE)</f>
        <v>95</v>
      </c>
      <c r="X512" s="3">
        <f t="shared" ca="1" si="131"/>
        <v>655.09</v>
      </c>
      <c r="Y512" s="3">
        <f t="shared" ca="1" si="132"/>
        <v>76063</v>
      </c>
      <c r="Z512" s="3" t="str">
        <f t="shared" ca="1" si="133"/>
        <v>Mar</v>
      </c>
      <c r="AA512" s="3" t="str">
        <f t="shared" ca="1" si="134"/>
        <v>Q1</v>
      </c>
      <c r="AB512" s="4" t="str">
        <f t="shared" ca="1" si="135"/>
        <v>Short Haul</v>
      </c>
    </row>
    <row r="513" spans="1:28" x14ac:dyDescent="0.3">
      <c r="A513" s="8" t="str">
        <f t="shared" si="130"/>
        <v>S0512</v>
      </c>
      <c r="B513" s="3">
        <f t="shared" ca="1" si="119"/>
        <v>45664</v>
      </c>
      <c r="C513" s="3" t="str">
        <f ca="1">INDEX(Customers!$A$2:$A$21,RANDBETWEEN(1,20))</f>
        <v>C018</v>
      </c>
      <c r="D513" s="3" t="str">
        <f ca="1">INDEX(Routes!$A$2:$A$31,RANDBETWEEN(1,30))</f>
        <v>R023</v>
      </c>
      <c r="E513" s="3" t="str">
        <f ca="1">INDEX(Vehicles!$A$2:$A$21,RANDBETWEEN(1,20))</f>
        <v>V020</v>
      </c>
      <c r="F513" s="3" t="str">
        <f ca="1">INDEX(Drivers!$A$2:$A$31,RANDBETWEEN(1,30))</f>
        <v>D021</v>
      </c>
      <c r="G513" s="3">
        <f t="shared" ca="1" si="120"/>
        <v>29.2</v>
      </c>
      <c r="H513" s="3">
        <f t="shared" ca="1" si="121"/>
        <v>58384</v>
      </c>
      <c r="I513" s="3">
        <f t="shared" ca="1" si="122"/>
        <v>16348</v>
      </c>
      <c r="J513" s="3">
        <f t="shared" ca="1" si="123"/>
        <v>609</v>
      </c>
      <c r="K513" s="3">
        <f t="shared" ca="1" si="124"/>
        <v>6</v>
      </c>
      <c r="L513" s="3">
        <f t="shared" ca="1" si="125"/>
        <v>12</v>
      </c>
      <c r="M513" s="3">
        <f t="shared" ca="1" si="126"/>
        <v>6</v>
      </c>
      <c r="N513" s="3" t="str">
        <f t="shared" ca="1" si="127"/>
        <v>Delayed</v>
      </c>
      <c r="O513" s="3" t="str">
        <f t="shared" ca="1" si="128"/>
        <v>Medium</v>
      </c>
      <c r="P513" s="3">
        <f t="shared" ca="1" si="129"/>
        <v>97.3</v>
      </c>
      <c r="Q513" s="1" t="str">
        <f ca="1">VLOOKUP(D513,Routes!$A$2:$D$31,2,FALSE)</f>
        <v>Kochi</v>
      </c>
      <c r="R513" s="1" t="str">
        <f ca="1">VLOOKUP(D513,Routes!$A$2:$D$31,3,FALSE)</f>
        <v>Bengaluru</v>
      </c>
      <c r="S513" s="3">
        <f ca="1">VLOOKUP(D513,Routes!$A$2:$D$31,4,FALSE)</f>
        <v>550</v>
      </c>
      <c r="T513" s="3" t="str">
        <f ca="1">VLOOKUP(E513,Vehicles!$A$2:$D$21,2,FALSE)</f>
        <v>Container</v>
      </c>
      <c r="U513" s="3">
        <f ca="1">VLOOKUP(E513,Vehicles!$A$2:$D$21,3,FALSE)</f>
        <v>28</v>
      </c>
      <c r="V513" s="3" t="str">
        <f ca="1">VLOOKUP(E513,Vehicles!$A$2:$D$21,4,FALSE)</f>
        <v>Diesel</v>
      </c>
      <c r="W513" s="3">
        <f ca="1">VLOOKUP(V513,Fuel_Rates!$A$2:$B$3,2,FALSE)</f>
        <v>95</v>
      </c>
      <c r="X513" s="3">
        <f t="shared" ca="1" si="131"/>
        <v>106.15</v>
      </c>
      <c r="Y513" s="3">
        <f t="shared" ca="1" si="132"/>
        <v>75341</v>
      </c>
      <c r="Z513" s="3" t="str">
        <f t="shared" ca="1" si="133"/>
        <v>Jan</v>
      </c>
      <c r="AA513" s="3" t="str">
        <f t="shared" ca="1" si="134"/>
        <v>Q1</v>
      </c>
      <c r="AB513" s="4" t="str">
        <f t="shared" ca="1" si="135"/>
        <v>Medium Haul</v>
      </c>
    </row>
    <row r="514" spans="1:28" x14ac:dyDescent="0.3">
      <c r="A514" s="8" t="str">
        <f t="shared" si="130"/>
        <v>S0513</v>
      </c>
      <c r="B514" s="3">
        <f t="shared" ref="B514:B577" ca="1" si="136">DATE(2025,RANDBETWEEN(1,12),RANDBETWEEN(1,28))</f>
        <v>45865</v>
      </c>
      <c r="C514" s="3" t="str">
        <f ca="1">INDEX(Customers!$A$2:$A$21,RANDBETWEEN(1,20))</f>
        <v>C003</v>
      </c>
      <c r="D514" s="3" t="str">
        <f ca="1">INDEX(Routes!$A$2:$A$31,RANDBETWEEN(1,30))</f>
        <v>R016</v>
      </c>
      <c r="E514" s="3" t="str">
        <f ca="1">INDEX(Vehicles!$A$2:$A$21,RANDBETWEEN(1,20))</f>
        <v>V019</v>
      </c>
      <c r="F514" s="3" t="str">
        <f ca="1">INDEX(Drivers!$A$2:$A$31,RANDBETWEEN(1,30))</f>
        <v>D001</v>
      </c>
      <c r="G514" s="3">
        <f t="shared" ref="G514:G577" ca="1" si="137">ROUND(RANDBETWEEN(20,300)/10,1)</f>
        <v>20.8</v>
      </c>
      <c r="H514" s="3">
        <f t="shared" ref="H514:H577" ca="1" si="138">ROUND((G514*1800)+RANDBETWEEN(3000,15000),0)</f>
        <v>47968</v>
      </c>
      <c r="I514" s="3">
        <f t="shared" ref="I514:I577" ca="1" si="139">ROUND(H514*0.28,0)</f>
        <v>13431</v>
      </c>
      <c r="J514" s="3">
        <f t="shared" ref="J514:J577" ca="1" si="140">RANDBETWEEN(500,4000)</f>
        <v>3653</v>
      </c>
      <c r="K514" s="3">
        <f t="shared" ref="K514:K577" ca="1" si="141">RANDBETWEEN(4,48)</f>
        <v>19</v>
      </c>
      <c r="L514" s="3">
        <f t="shared" ref="L514:L577" ca="1" si="142">K514+RANDBETWEEN(0,8)</f>
        <v>21</v>
      </c>
      <c r="M514" s="3">
        <f t="shared" ref="M514:M577" ca="1" si="143">L514-K514</f>
        <v>2</v>
      </c>
      <c r="N514" s="3" t="str">
        <f t="shared" ref="N514:N577" ca="1" si="144">IF(M514&lt;=2,"On Time","Delayed")</f>
        <v>On Time</v>
      </c>
      <c r="O514" s="3" t="str">
        <f t="shared" ref="O514:O577" ca="1" si="145">CHOOSE(RANDBETWEEN(1,3),"High","Medium","Low")</f>
        <v>Low</v>
      </c>
      <c r="P514" s="3">
        <f t="shared" ref="P514:P577" ca="1" si="146">ROUND((G514/30)*100,1)</f>
        <v>69.3</v>
      </c>
      <c r="Q514" s="1" t="str">
        <f ca="1">VLOOKUP(D514,Routes!$A$2:$D$31,2,FALSE)</f>
        <v>Kolkata</v>
      </c>
      <c r="R514" s="1" t="str">
        <f ca="1">VLOOKUP(D514,Routes!$A$2:$D$31,3,FALSE)</f>
        <v>Bhubaneswar</v>
      </c>
      <c r="S514" s="3">
        <f ca="1">VLOOKUP(D514,Routes!$A$2:$D$31,4,FALSE)</f>
        <v>440</v>
      </c>
      <c r="T514" s="3" t="str">
        <f ca="1">VLOOKUP(E514,Vehicles!$A$2:$D$21,2,FALSE)</f>
        <v>Trailer</v>
      </c>
      <c r="U514" s="3">
        <f ca="1">VLOOKUP(E514,Vehicles!$A$2:$D$21,3,FALSE)</f>
        <v>35</v>
      </c>
      <c r="V514" s="3" t="str">
        <f ca="1">VLOOKUP(E514,Vehicles!$A$2:$D$21,4,FALSE)</f>
        <v>Diesel</v>
      </c>
      <c r="W514" s="3">
        <f ca="1">VLOOKUP(V514,Fuel_Rates!$A$2:$B$3,2,FALSE)</f>
        <v>95</v>
      </c>
      <c r="X514" s="3">
        <f t="shared" ca="1" si="131"/>
        <v>109.02</v>
      </c>
      <c r="Y514" s="3">
        <f t="shared" ca="1" si="132"/>
        <v>65052</v>
      </c>
      <c r="Z514" s="3" t="str">
        <f t="shared" ca="1" si="133"/>
        <v>Jul</v>
      </c>
      <c r="AA514" s="3" t="str">
        <f t="shared" ca="1" si="134"/>
        <v>Q3</v>
      </c>
      <c r="AB514" s="4" t="str">
        <f t="shared" ca="1" si="135"/>
        <v>Medium Haul</v>
      </c>
    </row>
    <row r="515" spans="1:28" x14ac:dyDescent="0.3">
      <c r="A515" s="8" t="str">
        <f t="shared" ref="A515:A578" si="147">"S"&amp;TEXT(ROW()-1,"0000")</f>
        <v>S0514</v>
      </c>
      <c r="B515" s="3">
        <f t="shared" ca="1" si="136"/>
        <v>45771</v>
      </c>
      <c r="C515" s="3" t="str">
        <f ca="1">INDEX(Customers!$A$2:$A$21,RANDBETWEEN(1,20))</f>
        <v>C005</v>
      </c>
      <c r="D515" s="3" t="str">
        <f ca="1">INDEX(Routes!$A$2:$A$31,RANDBETWEEN(1,30))</f>
        <v>R021</v>
      </c>
      <c r="E515" s="3" t="str">
        <f ca="1">INDEX(Vehicles!$A$2:$A$21,RANDBETWEEN(1,20))</f>
        <v>V012</v>
      </c>
      <c r="F515" s="3" t="str">
        <f ca="1">INDEX(Drivers!$A$2:$A$31,RANDBETWEEN(1,30))</f>
        <v>D001</v>
      </c>
      <c r="G515" s="3">
        <f t="shared" ca="1" si="137"/>
        <v>25.2</v>
      </c>
      <c r="H515" s="3">
        <f t="shared" ca="1" si="138"/>
        <v>52258</v>
      </c>
      <c r="I515" s="3">
        <f t="shared" ca="1" si="139"/>
        <v>14632</v>
      </c>
      <c r="J515" s="3">
        <f t="shared" ca="1" si="140"/>
        <v>509</v>
      </c>
      <c r="K515" s="3">
        <f t="shared" ca="1" si="141"/>
        <v>39</v>
      </c>
      <c r="L515" s="3">
        <f t="shared" ca="1" si="142"/>
        <v>47</v>
      </c>
      <c r="M515" s="3">
        <f t="shared" ca="1" si="143"/>
        <v>8</v>
      </c>
      <c r="N515" s="3" t="str">
        <f t="shared" ca="1" si="144"/>
        <v>Delayed</v>
      </c>
      <c r="O515" s="3" t="str">
        <f t="shared" ca="1" si="145"/>
        <v>High</v>
      </c>
      <c r="P515" s="3">
        <f t="shared" ca="1" si="146"/>
        <v>84</v>
      </c>
      <c r="Q515" s="1" t="str">
        <f ca="1">VLOOKUP(D515,Routes!$A$2:$D$31,2,FALSE)</f>
        <v>Lucknow</v>
      </c>
      <c r="R515" s="1" t="str">
        <f ca="1">VLOOKUP(D515,Routes!$A$2:$D$31,3,FALSE)</f>
        <v>Kanpur</v>
      </c>
      <c r="S515" s="3">
        <f ca="1">VLOOKUP(D515,Routes!$A$2:$D$31,4,FALSE)</f>
        <v>90</v>
      </c>
      <c r="T515" s="3" t="str">
        <f ca="1">VLOOKUP(E515,Vehicles!$A$2:$D$21,2,FALSE)</f>
        <v>Truck</v>
      </c>
      <c r="U515" s="3">
        <f ca="1">VLOOKUP(E515,Vehicles!$A$2:$D$21,3,FALSE)</f>
        <v>20</v>
      </c>
      <c r="V515" s="3" t="str">
        <f ca="1">VLOOKUP(E515,Vehicles!$A$2:$D$21,4,FALSE)</f>
        <v>CNG</v>
      </c>
      <c r="W515" s="3">
        <f ca="1">VLOOKUP(V515,Fuel_Rates!$A$2:$B$3,2,FALSE)</f>
        <v>78</v>
      </c>
      <c r="X515" s="3">
        <f t="shared" ref="X515:X578" ca="1" si="148">ROUND(H515/S515,2)</f>
        <v>580.64</v>
      </c>
      <c r="Y515" s="3">
        <f t="shared" ref="Y515:Y578" ca="1" si="149">H515+I515+J515</f>
        <v>67399</v>
      </c>
      <c r="Z515" s="3" t="str">
        <f t="shared" ref="Z515:Z578" ca="1" si="150">TEXT(B515,"mmm")</f>
        <v>Apr</v>
      </c>
      <c r="AA515" s="3" t="str">
        <f t="shared" ref="AA515:AA578" ca="1" si="151">"Q"&amp;ROUNDUP(MONTH(B515)/3,0)</f>
        <v>Q2</v>
      </c>
      <c r="AB515" s="4" t="str">
        <f t="shared" ref="AB515:AB578" ca="1" si="152">IF(S515&lt;300,"Short Haul",IF(S515&lt;800,"Medium Haul","Long Haul"))</f>
        <v>Short Haul</v>
      </c>
    </row>
    <row r="516" spans="1:28" x14ac:dyDescent="0.3">
      <c r="A516" s="8" t="str">
        <f t="shared" si="147"/>
        <v>S0515</v>
      </c>
      <c r="B516" s="3">
        <f t="shared" ca="1" si="136"/>
        <v>45684</v>
      </c>
      <c r="C516" s="3" t="str">
        <f ca="1">INDEX(Customers!$A$2:$A$21,RANDBETWEEN(1,20))</f>
        <v>C009</v>
      </c>
      <c r="D516" s="3" t="str">
        <f ca="1">INDEX(Routes!$A$2:$A$31,RANDBETWEEN(1,30))</f>
        <v>R008</v>
      </c>
      <c r="E516" s="3" t="str">
        <f ca="1">INDEX(Vehicles!$A$2:$A$21,RANDBETWEEN(1,20))</f>
        <v>V007</v>
      </c>
      <c r="F516" s="3" t="str">
        <f ca="1">INDEX(Drivers!$A$2:$A$31,RANDBETWEEN(1,30))</f>
        <v>D026</v>
      </c>
      <c r="G516" s="3">
        <f t="shared" ca="1" si="137"/>
        <v>6.1</v>
      </c>
      <c r="H516" s="3">
        <f t="shared" ca="1" si="138"/>
        <v>21503</v>
      </c>
      <c r="I516" s="3">
        <f t="shared" ca="1" si="139"/>
        <v>6021</v>
      </c>
      <c r="J516" s="3">
        <f t="shared" ca="1" si="140"/>
        <v>2625</v>
      </c>
      <c r="K516" s="3">
        <f t="shared" ca="1" si="141"/>
        <v>4</v>
      </c>
      <c r="L516" s="3">
        <f t="shared" ca="1" si="142"/>
        <v>4</v>
      </c>
      <c r="M516" s="3">
        <f t="shared" ca="1" si="143"/>
        <v>0</v>
      </c>
      <c r="N516" s="3" t="str">
        <f t="shared" ca="1" si="144"/>
        <v>On Time</v>
      </c>
      <c r="O516" s="3" t="str">
        <f t="shared" ca="1" si="145"/>
        <v>Medium</v>
      </c>
      <c r="P516" s="3">
        <f t="shared" ca="1" si="146"/>
        <v>20.3</v>
      </c>
      <c r="Q516" s="1" t="str">
        <f ca="1">VLOOKUP(D516,Routes!$A$2:$D$31,2,FALSE)</f>
        <v>Delhi</v>
      </c>
      <c r="R516" s="1" t="str">
        <f ca="1">VLOOKUP(D516,Routes!$A$2:$D$31,3,FALSE)</f>
        <v>Kolkata</v>
      </c>
      <c r="S516" s="3">
        <f ca="1">VLOOKUP(D516,Routes!$A$2:$D$31,4,FALSE)</f>
        <v>1500</v>
      </c>
      <c r="T516" s="3" t="str">
        <f ca="1">VLOOKUP(E516,Vehicles!$A$2:$D$21,2,FALSE)</f>
        <v>Container</v>
      </c>
      <c r="U516" s="3">
        <f ca="1">VLOOKUP(E516,Vehicles!$A$2:$D$21,3,FALSE)</f>
        <v>20</v>
      </c>
      <c r="V516" s="3" t="str">
        <f ca="1">VLOOKUP(E516,Vehicles!$A$2:$D$21,4,FALSE)</f>
        <v>Diesel</v>
      </c>
      <c r="W516" s="3">
        <f ca="1">VLOOKUP(V516,Fuel_Rates!$A$2:$B$3,2,FALSE)</f>
        <v>95</v>
      </c>
      <c r="X516" s="3">
        <f t="shared" ca="1" si="148"/>
        <v>14.34</v>
      </c>
      <c r="Y516" s="3">
        <f t="shared" ca="1" si="149"/>
        <v>30149</v>
      </c>
      <c r="Z516" s="3" t="str">
        <f t="shared" ca="1" si="150"/>
        <v>Jan</v>
      </c>
      <c r="AA516" s="3" t="str">
        <f t="shared" ca="1" si="151"/>
        <v>Q1</v>
      </c>
      <c r="AB516" s="4" t="str">
        <f t="shared" ca="1" si="152"/>
        <v>Long Haul</v>
      </c>
    </row>
    <row r="517" spans="1:28" x14ac:dyDescent="0.3">
      <c r="A517" s="8" t="str">
        <f t="shared" si="147"/>
        <v>S0516</v>
      </c>
      <c r="B517" s="3">
        <f t="shared" ca="1" si="136"/>
        <v>45757</v>
      </c>
      <c r="C517" s="3" t="str">
        <f ca="1">INDEX(Customers!$A$2:$A$21,RANDBETWEEN(1,20))</f>
        <v>C020</v>
      </c>
      <c r="D517" s="3" t="str">
        <f ca="1">INDEX(Routes!$A$2:$A$31,RANDBETWEEN(1,30))</f>
        <v>R018</v>
      </c>
      <c r="E517" s="3" t="str">
        <f ca="1">INDEX(Vehicles!$A$2:$A$21,RANDBETWEEN(1,20))</f>
        <v>V010</v>
      </c>
      <c r="F517" s="3" t="str">
        <f ca="1">INDEX(Drivers!$A$2:$A$31,RANDBETWEEN(1,30))</f>
        <v>D012</v>
      </c>
      <c r="G517" s="3">
        <f t="shared" ca="1" si="137"/>
        <v>27.3</v>
      </c>
      <c r="H517" s="3">
        <f t="shared" ca="1" si="138"/>
        <v>62554</v>
      </c>
      <c r="I517" s="3">
        <f t="shared" ca="1" si="139"/>
        <v>17515</v>
      </c>
      <c r="J517" s="3">
        <f t="shared" ca="1" si="140"/>
        <v>3394</v>
      </c>
      <c r="K517" s="3">
        <f t="shared" ca="1" si="141"/>
        <v>11</v>
      </c>
      <c r="L517" s="3">
        <f t="shared" ca="1" si="142"/>
        <v>15</v>
      </c>
      <c r="M517" s="3">
        <f t="shared" ca="1" si="143"/>
        <v>4</v>
      </c>
      <c r="N517" s="3" t="str">
        <f t="shared" ca="1" si="144"/>
        <v>Delayed</v>
      </c>
      <c r="O517" s="3" t="str">
        <f t="shared" ca="1" si="145"/>
        <v>Low</v>
      </c>
      <c r="P517" s="3">
        <f t="shared" ca="1" si="146"/>
        <v>91</v>
      </c>
      <c r="Q517" s="1" t="str">
        <f ca="1">VLOOKUP(D517,Routes!$A$2:$D$31,2,FALSE)</f>
        <v>Ahmedabad</v>
      </c>
      <c r="R517" s="1" t="str">
        <f ca="1">VLOOKUP(D517,Routes!$A$2:$D$31,3,FALSE)</f>
        <v>Jaipur</v>
      </c>
      <c r="S517" s="3">
        <f ca="1">VLOOKUP(D517,Routes!$A$2:$D$31,4,FALSE)</f>
        <v>670</v>
      </c>
      <c r="T517" s="3" t="str">
        <f ca="1">VLOOKUP(E517,Vehicles!$A$2:$D$21,2,FALSE)</f>
        <v>LCV</v>
      </c>
      <c r="U517" s="3">
        <f ca="1">VLOOKUP(E517,Vehicles!$A$2:$D$21,3,FALSE)</f>
        <v>7</v>
      </c>
      <c r="V517" s="3" t="str">
        <f ca="1">VLOOKUP(E517,Vehicles!$A$2:$D$21,4,FALSE)</f>
        <v>Diesel</v>
      </c>
      <c r="W517" s="3">
        <f ca="1">VLOOKUP(V517,Fuel_Rates!$A$2:$B$3,2,FALSE)</f>
        <v>95</v>
      </c>
      <c r="X517" s="3">
        <f t="shared" ca="1" si="148"/>
        <v>93.36</v>
      </c>
      <c r="Y517" s="3">
        <f t="shared" ca="1" si="149"/>
        <v>83463</v>
      </c>
      <c r="Z517" s="3" t="str">
        <f t="shared" ca="1" si="150"/>
        <v>Apr</v>
      </c>
      <c r="AA517" s="3" t="str">
        <f t="shared" ca="1" si="151"/>
        <v>Q2</v>
      </c>
      <c r="AB517" s="4" t="str">
        <f t="shared" ca="1" si="152"/>
        <v>Medium Haul</v>
      </c>
    </row>
    <row r="518" spans="1:28" x14ac:dyDescent="0.3">
      <c r="A518" s="8" t="str">
        <f t="shared" si="147"/>
        <v>S0517</v>
      </c>
      <c r="B518" s="3">
        <f t="shared" ca="1" si="136"/>
        <v>45734</v>
      </c>
      <c r="C518" s="3" t="str">
        <f ca="1">INDEX(Customers!$A$2:$A$21,RANDBETWEEN(1,20))</f>
        <v>C011</v>
      </c>
      <c r="D518" s="3" t="str">
        <f ca="1">INDEX(Routes!$A$2:$A$31,RANDBETWEEN(1,30))</f>
        <v>R024</v>
      </c>
      <c r="E518" s="3" t="str">
        <f ca="1">INDEX(Vehicles!$A$2:$A$21,RANDBETWEEN(1,20))</f>
        <v>V009</v>
      </c>
      <c r="F518" s="3" t="str">
        <f ca="1">INDEX(Drivers!$A$2:$A$31,RANDBETWEEN(1,30))</f>
        <v>D024</v>
      </c>
      <c r="G518" s="3">
        <f t="shared" ca="1" si="137"/>
        <v>16</v>
      </c>
      <c r="H518" s="3">
        <f t="shared" ca="1" si="138"/>
        <v>35575</v>
      </c>
      <c r="I518" s="3">
        <f t="shared" ca="1" si="139"/>
        <v>9961</v>
      </c>
      <c r="J518" s="3">
        <f t="shared" ca="1" si="140"/>
        <v>1740</v>
      </c>
      <c r="K518" s="3">
        <f t="shared" ca="1" si="141"/>
        <v>32</v>
      </c>
      <c r="L518" s="3">
        <f t="shared" ca="1" si="142"/>
        <v>35</v>
      </c>
      <c r="M518" s="3">
        <f t="shared" ca="1" si="143"/>
        <v>3</v>
      </c>
      <c r="N518" s="3" t="str">
        <f t="shared" ca="1" si="144"/>
        <v>Delayed</v>
      </c>
      <c r="O518" s="3" t="str">
        <f t="shared" ca="1" si="145"/>
        <v>Low</v>
      </c>
      <c r="P518" s="3">
        <f t="shared" ca="1" si="146"/>
        <v>53.3</v>
      </c>
      <c r="Q518" s="1" t="str">
        <f ca="1">VLOOKUP(D518,Routes!$A$2:$D$31,2,FALSE)</f>
        <v>Surat</v>
      </c>
      <c r="R518" s="1" t="str">
        <f ca="1">VLOOKUP(D518,Routes!$A$2:$D$31,3,FALSE)</f>
        <v>Mumbai</v>
      </c>
      <c r="S518" s="3">
        <f ca="1">VLOOKUP(D518,Routes!$A$2:$D$31,4,FALSE)</f>
        <v>280</v>
      </c>
      <c r="T518" s="3" t="str">
        <f ca="1">VLOOKUP(E518,Vehicles!$A$2:$D$21,2,FALSE)</f>
        <v>LCV</v>
      </c>
      <c r="U518" s="3">
        <f ca="1">VLOOKUP(E518,Vehicles!$A$2:$D$21,3,FALSE)</f>
        <v>5</v>
      </c>
      <c r="V518" s="3" t="str">
        <f ca="1">VLOOKUP(E518,Vehicles!$A$2:$D$21,4,FALSE)</f>
        <v>Diesel</v>
      </c>
      <c r="W518" s="3">
        <f ca="1">VLOOKUP(V518,Fuel_Rates!$A$2:$B$3,2,FALSE)</f>
        <v>95</v>
      </c>
      <c r="X518" s="3">
        <f t="shared" ca="1" si="148"/>
        <v>127.05</v>
      </c>
      <c r="Y518" s="3">
        <f t="shared" ca="1" si="149"/>
        <v>47276</v>
      </c>
      <c r="Z518" s="3" t="str">
        <f t="shared" ca="1" si="150"/>
        <v>Mar</v>
      </c>
      <c r="AA518" s="3" t="str">
        <f t="shared" ca="1" si="151"/>
        <v>Q1</v>
      </c>
      <c r="AB518" s="4" t="str">
        <f t="shared" ca="1" si="152"/>
        <v>Short Haul</v>
      </c>
    </row>
    <row r="519" spans="1:28" x14ac:dyDescent="0.3">
      <c r="A519" s="8" t="str">
        <f t="shared" si="147"/>
        <v>S0518</v>
      </c>
      <c r="B519" s="3">
        <f t="shared" ca="1" si="136"/>
        <v>45925</v>
      </c>
      <c r="C519" s="3" t="str">
        <f ca="1">INDEX(Customers!$A$2:$A$21,RANDBETWEEN(1,20))</f>
        <v>C004</v>
      </c>
      <c r="D519" s="3" t="str">
        <f ca="1">INDEX(Routes!$A$2:$A$31,RANDBETWEEN(1,30))</f>
        <v>R012</v>
      </c>
      <c r="E519" s="3" t="str">
        <f ca="1">INDEX(Vehicles!$A$2:$A$21,RANDBETWEEN(1,20))</f>
        <v>V010</v>
      </c>
      <c r="F519" s="3" t="str">
        <f ca="1">INDEX(Drivers!$A$2:$A$31,RANDBETWEEN(1,30))</f>
        <v>D030</v>
      </c>
      <c r="G519" s="3">
        <f t="shared" ca="1" si="137"/>
        <v>7.9</v>
      </c>
      <c r="H519" s="3">
        <f t="shared" ca="1" si="138"/>
        <v>26731</v>
      </c>
      <c r="I519" s="3">
        <f t="shared" ca="1" si="139"/>
        <v>7485</v>
      </c>
      <c r="J519" s="3">
        <f t="shared" ca="1" si="140"/>
        <v>3799</v>
      </c>
      <c r="K519" s="3">
        <f t="shared" ca="1" si="141"/>
        <v>14</v>
      </c>
      <c r="L519" s="3">
        <f t="shared" ca="1" si="142"/>
        <v>14</v>
      </c>
      <c r="M519" s="3">
        <f t="shared" ca="1" si="143"/>
        <v>0</v>
      </c>
      <c r="N519" s="3" t="str">
        <f t="shared" ca="1" si="144"/>
        <v>On Time</v>
      </c>
      <c r="O519" s="3" t="str">
        <f t="shared" ca="1" si="145"/>
        <v>Medium</v>
      </c>
      <c r="P519" s="3">
        <f t="shared" ca="1" si="146"/>
        <v>26.3</v>
      </c>
      <c r="Q519" s="1" t="str">
        <f ca="1">VLOOKUP(D519,Routes!$A$2:$D$31,2,FALSE)</f>
        <v>Chennai</v>
      </c>
      <c r="R519" s="1" t="str">
        <f ca="1">VLOOKUP(D519,Routes!$A$2:$D$31,3,FALSE)</f>
        <v>Coimbatore</v>
      </c>
      <c r="S519" s="3">
        <f ca="1">VLOOKUP(D519,Routes!$A$2:$D$31,4,FALSE)</f>
        <v>500</v>
      </c>
      <c r="T519" s="3" t="str">
        <f ca="1">VLOOKUP(E519,Vehicles!$A$2:$D$21,2,FALSE)</f>
        <v>LCV</v>
      </c>
      <c r="U519" s="3">
        <f ca="1">VLOOKUP(E519,Vehicles!$A$2:$D$21,3,FALSE)</f>
        <v>7</v>
      </c>
      <c r="V519" s="3" t="str">
        <f ca="1">VLOOKUP(E519,Vehicles!$A$2:$D$21,4,FALSE)</f>
        <v>Diesel</v>
      </c>
      <c r="W519" s="3">
        <f ca="1">VLOOKUP(V519,Fuel_Rates!$A$2:$B$3,2,FALSE)</f>
        <v>95</v>
      </c>
      <c r="X519" s="3">
        <f t="shared" ca="1" si="148"/>
        <v>53.46</v>
      </c>
      <c r="Y519" s="3">
        <f t="shared" ca="1" si="149"/>
        <v>38015</v>
      </c>
      <c r="Z519" s="3" t="str">
        <f t="shared" ca="1" si="150"/>
        <v>Sep</v>
      </c>
      <c r="AA519" s="3" t="str">
        <f t="shared" ca="1" si="151"/>
        <v>Q3</v>
      </c>
      <c r="AB519" s="4" t="str">
        <f t="shared" ca="1" si="152"/>
        <v>Medium Haul</v>
      </c>
    </row>
    <row r="520" spans="1:28" x14ac:dyDescent="0.3">
      <c r="A520" s="8" t="str">
        <f t="shared" si="147"/>
        <v>S0519</v>
      </c>
      <c r="B520" s="3">
        <f t="shared" ca="1" si="136"/>
        <v>45733</v>
      </c>
      <c r="C520" s="3" t="str">
        <f ca="1">INDEX(Customers!$A$2:$A$21,RANDBETWEEN(1,20))</f>
        <v>C018</v>
      </c>
      <c r="D520" s="3" t="str">
        <f ca="1">INDEX(Routes!$A$2:$A$31,RANDBETWEEN(1,30))</f>
        <v>R028</v>
      </c>
      <c r="E520" s="3" t="str">
        <f ca="1">INDEX(Vehicles!$A$2:$A$21,RANDBETWEEN(1,20))</f>
        <v>V002</v>
      </c>
      <c r="F520" s="3" t="str">
        <f ca="1">INDEX(Drivers!$A$2:$A$31,RANDBETWEEN(1,30))</f>
        <v>D028</v>
      </c>
      <c r="G520" s="3">
        <f t="shared" ca="1" si="137"/>
        <v>6.6</v>
      </c>
      <c r="H520" s="3">
        <f t="shared" ca="1" si="138"/>
        <v>15493</v>
      </c>
      <c r="I520" s="3">
        <f t="shared" ca="1" si="139"/>
        <v>4338</v>
      </c>
      <c r="J520" s="3">
        <f t="shared" ca="1" si="140"/>
        <v>3825</v>
      </c>
      <c r="K520" s="3">
        <f t="shared" ca="1" si="141"/>
        <v>18</v>
      </c>
      <c r="L520" s="3">
        <f t="shared" ca="1" si="142"/>
        <v>19</v>
      </c>
      <c r="M520" s="3">
        <f t="shared" ca="1" si="143"/>
        <v>1</v>
      </c>
      <c r="N520" s="3" t="str">
        <f t="shared" ca="1" si="144"/>
        <v>On Time</v>
      </c>
      <c r="O520" s="3" t="str">
        <f t="shared" ca="1" si="145"/>
        <v>High</v>
      </c>
      <c r="P520" s="3">
        <f t="shared" ca="1" si="146"/>
        <v>22</v>
      </c>
      <c r="Q520" s="1" t="str">
        <f ca="1">VLOOKUP(D520,Routes!$A$2:$D$31,2,FALSE)</f>
        <v>Indore</v>
      </c>
      <c r="R520" s="1" t="str">
        <f ca="1">VLOOKUP(D520,Routes!$A$2:$D$31,3,FALSE)</f>
        <v>Mumbai</v>
      </c>
      <c r="S520" s="3">
        <f ca="1">VLOOKUP(D520,Routes!$A$2:$D$31,4,FALSE)</f>
        <v>590</v>
      </c>
      <c r="T520" s="3" t="str">
        <f ca="1">VLOOKUP(E520,Vehicles!$A$2:$D$21,2,FALSE)</f>
        <v>Truck</v>
      </c>
      <c r="U520" s="3">
        <f ca="1">VLOOKUP(E520,Vehicles!$A$2:$D$21,3,FALSE)</f>
        <v>20</v>
      </c>
      <c r="V520" s="3" t="str">
        <f ca="1">VLOOKUP(E520,Vehicles!$A$2:$D$21,4,FALSE)</f>
        <v>Diesel</v>
      </c>
      <c r="W520" s="3">
        <f ca="1">VLOOKUP(V520,Fuel_Rates!$A$2:$B$3,2,FALSE)</f>
        <v>95</v>
      </c>
      <c r="X520" s="3">
        <f t="shared" ca="1" si="148"/>
        <v>26.26</v>
      </c>
      <c r="Y520" s="3">
        <f t="shared" ca="1" si="149"/>
        <v>23656</v>
      </c>
      <c r="Z520" s="3" t="str">
        <f t="shared" ca="1" si="150"/>
        <v>Mar</v>
      </c>
      <c r="AA520" s="3" t="str">
        <f t="shared" ca="1" si="151"/>
        <v>Q1</v>
      </c>
      <c r="AB520" s="4" t="str">
        <f t="shared" ca="1" si="152"/>
        <v>Medium Haul</v>
      </c>
    </row>
    <row r="521" spans="1:28" x14ac:dyDescent="0.3">
      <c r="A521" s="8" t="str">
        <f t="shared" si="147"/>
        <v>S0520</v>
      </c>
      <c r="B521" s="3">
        <f t="shared" ca="1" si="136"/>
        <v>45862</v>
      </c>
      <c r="C521" s="3" t="str">
        <f ca="1">INDEX(Customers!$A$2:$A$21,RANDBETWEEN(1,20))</f>
        <v>C002</v>
      </c>
      <c r="D521" s="3" t="str">
        <f ca="1">INDEX(Routes!$A$2:$A$31,RANDBETWEEN(1,30))</f>
        <v>R025</v>
      </c>
      <c r="E521" s="3" t="str">
        <f ca="1">INDEX(Vehicles!$A$2:$A$21,RANDBETWEEN(1,20))</f>
        <v>V008</v>
      </c>
      <c r="F521" s="3" t="str">
        <f ca="1">INDEX(Drivers!$A$2:$A$31,RANDBETWEEN(1,30))</f>
        <v>D014</v>
      </c>
      <c r="G521" s="3">
        <f t="shared" ca="1" si="137"/>
        <v>27.7</v>
      </c>
      <c r="H521" s="3">
        <f t="shared" ca="1" si="138"/>
        <v>60909</v>
      </c>
      <c r="I521" s="3">
        <f t="shared" ca="1" si="139"/>
        <v>17055</v>
      </c>
      <c r="J521" s="3">
        <f t="shared" ca="1" si="140"/>
        <v>3250</v>
      </c>
      <c r="K521" s="3">
        <f t="shared" ca="1" si="141"/>
        <v>38</v>
      </c>
      <c r="L521" s="3">
        <f t="shared" ca="1" si="142"/>
        <v>40</v>
      </c>
      <c r="M521" s="3">
        <f t="shared" ca="1" si="143"/>
        <v>2</v>
      </c>
      <c r="N521" s="3" t="str">
        <f t="shared" ca="1" si="144"/>
        <v>On Time</v>
      </c>
      <c r="O521" s="3" t="str">
        <f t="shared" ca="1" si="145"/>
        <v>Low</v>
      </c>
      <c r="P521" s="3">
        <f t="shared" ca="1" si="146"/>
        <v>92.3</v>
      </c>
      <c r="Q521" s="1" t="str">
        <f ca="1">VLOOKUP(D521,Routes!$A$2:$D$31,2,FALSE)</f>
        <v>Visakhapatnam</v>
      </c>
      <c r="R521" s="1" t="str">
        <f ca="1">VLOOKUP(D521,Routes!$A$2:$D$31,3,FALSE)</f>
        <v>Hyderabad</v>
      </c>
      <c r="S521" s="3">
        <f ca="1">VLOOKUP(D521,Routes!$A$2:$D$31,4,FALSE)</f>
        <v>620</v>
      </c>
      <c r="T521" s="3" t="str">
        <f ca="1">VLOOKUP(E521,Vehicles!$A$2:$D$21,2,FALSE)</f>
        <v>Container</v>
      </c>
      <c r="U521" s="3">
        <f ca="1">VLOOKUP(E521,Vehicles!$A$2:$D$21,3,FALSE)</f>
        <v>25</v>
      </c>
      <c r="V521" s="3" t="str">
        <f ca="1">VLOOKUP(E521,Vehicles!$A$2:$D$21,4,FALSE)</f>
        <v>Diesel</v>
      </c>
      <c r="W521" s="3">
        <f ca="1">VLOOKUP(V521,Fuel_Rates!$A$2:$B$3,2,FALSE)</f>
        <v>95</v>
      </c>
      <c r="X521" s="3">
        <f t="shared" ca="1" si="148"/>
        <v>98.24</v>
      </c>
      <c r="Y521" s="3">
        <f t="shared" ca="1" si="149"/>
        <v>81214</v>
      </c>
      <c r="Z521" s="3" t="str">
        <f t="shared" ca="1" si="150"/>
        <v>Jul</v>
      </c>
      <c r="AA521" s="3" t="str">
        <f t="shared" ca="1" si="151"/>
        <v>Q3</v>
      </c>
      <c r="AB521" s="4" t="str">
        <f t="shared" ca="1" si="152"/>
        <v>Medium Haul</v>
      </c>
    </row>
    <row r="522" spans="1:28" x14ac:dyDescent="0.3">
      <c r="A522" s="8" t="str">
        <f t="shared" si="147"/>
        <v>S0521</v>
      </c>
      <c r="B522" s="3">
        <f t="shared" ca="1" si="136"/>
        <v>45715</v>
      </c>
      <c r="C522" s="3" t="str">
        <f ca="1">INDEX(Customers!$A$2:$A$21,RANDBETWEEN(1,20))</f>
        <v>C018</v>
      </c>
      <c r="D522" s="3" t="str">
        <f ca="1">INDEX(Routes!$A$2:$A$31,RANDBETWEEN(1,30))</f>
        <v>R005</v>
      </c>
      <c r="E522" s="3" t="str">
        <f ca="1">INDEX(Vehicles!$A$2:$A$21,RANDBETWEEN(1,20))</f>
        <v>V001</v>
      </c>
      <c r="F522" s="3" t="str">
        <f ca="1">INDEX(Drivers!$A$2:$A$31,RANDBETWEEN(1,30))</f>
        <v>D029</v>
      </c>
      <c r="G522" s="3">
        <f t="shared" ca="1" si="137"/>
        <v>6.9</v>
      </c>
      <c r="H522" s="3">
        <f t="shared" ca="1" si="138"/>
        <v>20885</v>
      </c>
      <c r="I522" s="3">
        <f t="shared" ca="1" si="139"/>
        <v>5848</v>
      </c>
      <c r="J522" s="3">
        <f t="shared" ca="1" si="140"/>
        <v>539</v>
      </c>
      <c r="K522" s="3">
        <f t="shared" ca="1" si="141"/>
        <v>22</v>
      </c>
      <c r="L522" s="3">
        <f t="shared" ca="1" si="142"/>
        <v>25</v>
      </c>
      <c r="M522" s="3">
        <f t="shared" ca="1" si="143"/>
        <v>3</v>
      </c>
      <c r="N522" s="3" t="str">
        <f t="shared" ca="1" si="144"/>
        <v>Delayed</v>
      </c>
      <c r="O522" s="3" t="str">
        <f t="shared" ca="1" si="145"/>
        <v>Low</v>
      </c>
      <c r="P522" s="3">
        <f t="shared" ca="1" si="146"/>
        <v>23</v>
      </c>
      <c r="Q522" s="1" t="str">
        <f ca="1">VLOOKUP(D522,Routes!$A$2:$D$31,2,FALSE)</f>
        <v>Delhi</v>
      </c>
      <c r="R522" s="1" t="str">
        <f ca="1">VLOOKUP(D522,Routes!$A$2:$D$31,3,FALSE)</f>
        <v>Jaipur</v>
      </c>
      <c r="S522" s="3">
        <f ca="1">VLOOKUP(D522,Routes!$A$2:$D$31,4,FALSE)</f>
        <v>280</v>
      </c>
      <c r="T522" s="3" t="str">
        <f ca="1">VLOOKUP(E522,Vehicles!$A$2:$D$21,2,FALSE)</f>
        <v>Truck</v>
      </c>
      <c r="U522" s="3">
        <f ca="1">VLOOKUP(E522,Vehicles!$A$2:$D$21,3,FALSE)</f>
        <v>16</v>
      </c>
      <c r="V522" s="3" t="str">
        <f ca="1">VLOOKUP(E522,Vehicles!$A$2:$D$21,4,FALSE)</f>
        <v>Diesel</v>
      </c>
      <c r="W522" s="3">
        <f ca="1">VLOOKUP(V522,Fuel_Rates!$A$2:$B$3,2,FALSE)</f>
        <v>95</v>
      </c>
      <c r="X522" s="3">
        <f t="shared" ca="1" si="148"/>
        <v>74.59</v>
      </c>
      <c r="Y522" s="3">
        <f t="shared" ca="1" si="149"/>
        <v>27272</v>
      </c>
      <c r="Z522" s="3" t="str">
        <f t="shared" ca="1" si="150"/>
        <v>Feb</v>
      </c>
      <c r="AA522" s="3" t="str">
        <f t="shared" ca="1" si="151"/>
        <v>Q1</v>
      </c>
      <c r="AB522" s="4" t="str">
        <f t="shared" ca="1" si="152"/>
        <v>Short Haul</v>
      </c>
    </row>
    <row r="523" spans="1:28" x14ac:dyDescent="0.3">
      <c r="A523" s="8" t="str">
        <f t="shared" si="147"/>
        <v>S0522</v>
      </c>
      <c r="B523" s="3">
        <f t="shared" ca="1" si="136"/>
        <v>45799</v>
      </c>
      <c r="C523" s="3" t="str">
        <f ca="1">INDEX(Customers!$A$2:$A$21,RANDBETWEEN(1,20))</f>
        <v>C015</v>
      </c>
      <c r="D523" s="3" t="str">
        <f ca="1">INDEX(Routes!$A$2:$A$31,RANDBETWEEN(1,30))</f>
        <v>R025</v>
      </c>
      <c r="E523" s="3" t="str">
        <f ca="1">INDEX(Vehicles!$A$2:$A$21,RANDBETWEEN(1,20))</f>
        <v>V007</v>
      </c>
      <c r="F523" s="3" t="str">
        <f ca="1">INDEX(Drivers!$A$2:$A$31,RANDBETWEEN(1,30))</f>
        <v>D018</v>
      </c>
      <c r="G523" s="3">
        <f t="shared" ca="1" si="137"/>
        <v>29.1</v>
      </c>
      <c r="H523" s="3">
        <f t="shared" ca="1" si="138"/>
        <v>59200</v>
      </c>
      <c r="I523" s="3">
        <f t="shared" ca="1" si="139"/>
        <v>16576</v>
      </c>
      <c r="J523" s="3">
        <f t="shared" ca="1" si="140"/>
        <v>1413</v>
      </c>
      <c r="K523" s="3">
        <f t="shared" ca="1" si="141"/>
        <v>37</v>
      </c>
      <c r="L523" s="3">
        <f t="shared" ca="1" si="142"/>
        <v>39</v>
      </c>
      <c r="M523" s="3">
        <f t="shared" ca="1" si="143"/>
        <v>2</v>
      </c>
      <c r="N523" s="3" t="str">
        <f t="shared" ca="1" si="144"/>
        <v>On Time</v>
      </c>
      <c r="O523" s="3" t="str">
        <f t="shared" ca="1" si="145"/>
        <v>Medium</v>
      </c>
      <c r="P523" s="3">
        <f t="shared" ca="1" si="146"/>
        <v>97</v>
      </c>
      <c r="Q523" s="1" t="str">
        <f ca="1">VLOOKUP(D523,Routes!$A$2:$D$31,2,FALSE)</f>
        <v>Visakhapatnam</v>
      </c>
      <c r="R523" s="1" t="str">
        <f ca="1">VLOOKUP(D523,Routes!$A$2:$D$31,3,FALSE)</f>
        <v>Hyderabad</v>
      </c>
      <c r="S523" s="3">
        <f ca="1">VLOOKUP(D523,Routes!$A$2:$D$31,4,FALSE)</f>
        <v>620</v>
      </c>
      <c r="T523" s="3" t="str">
        <f ca="1">VLOOKUP(E523,Vehicles!$A$2:$D$21,2,FALSE)</f>
        <v>Container</v>
      </c>
      <c r="U523" s="3">
        <f ca="1">VLOOKUP(E523,Vehicles!$A$2:$D$21,3,FALSE)</f>
        <v>20</v>
      </c>
      <c r="V523" s="3" t="str">
        <f ca="1">VLOOKUP(E523,Vehicles!$A$2:$D$21,4,FALSE)</f>
        <v>Diesel</v>
      </c>
      <c r="W523" s="3">
        <f ca="1">VLOOKUP(V523,Fuel_Rates!$A$2:$B$3,2,FALSE)</f>
        <v>95</v>
      </c>
      <c r="X523" s="3">
        <f t="shared" ca="1" si="148"/>
        <v>95.48</v>
      </c>
      <c r="Y523" s="3">
        <f t="shared" ca="1" si="149"/>
        <v>77189</v>
      </c>
      <c r="Z523" s="3" t="str">
        <f t="shared" ca="1" si="150"/>
        <v>May</v>
      </c>
      <c r="AA523" s="3" t="str">
        <f t="shared" ca="1" si="151"/>
        <v>Q2</v>
      </c>
      <c r="AB523" s="4" t="str">
        <f t="shared" ca="1" si="152"/>
        <v>Medium Haul</v>
      </c>
    </row>
    <row r="524" spans="1:28" x14ac:dyDescent="0.3">
      <c r="A524" s="8" t="str">
        <f t="shared" si="147"/>
        <v>S0523</v>
      </c>
      <c r="B524" s="3">
        <f t="shared" ca="1" si="136"/>
        <v>45905</v>
      </c>
      <c r="C524" s="3" t="str">
        <f ca="1">INDEX(Customers!$A$2:$A$21,RANDBETWEEN(1,20))</f>
        <v>C003</v>
      </c>
      <c r="D524" s="3" t="str">
        <f ca="1">INDEX(Routes!$A$2:$A$31,RANDBETWEEN(1,30))</f>
        <v>R010</v>
      </c>
      <c r="E524" s="3" t="str">
        <f ca="1">INDEX(Vehicles!$A$2:$A$21,RANDBETWEEN(1,20))</f>
        <v>V018</v>
      </c>
      <c r="F524" s="3" t="str">
        <f ca="1">INDEX(Drivers!$A$2:$A$31,RANDBETWEEN(1,30))</f>
        <v>D021</v>
      </c>
      <c r="G524" s="3">
        <f t="shared" ca="1" si="137"/>
        <v>13.9</v>
      </c>
      <c r="H524" s="3">
        <f t="shared" ca="1" si="138"/>
        <v>32124</v>
      </c>
      <c r="I524" s="3">
        <f t="shared" ca="1" si="139"/>
        <v>8995</v>
      </c>
      <c r="J524" s="3">
        <f t="shared" ca="1" si="140"/>
        <v>1151</v>
      </c>
      <c r="K524" s="3">
        <f t="shared" ca="1" si="141"/>
        <v>8</v>
      </c>
      <c r="L524" s="3">
        <f t="shared" ca="1" si="142"/>
        <v>8</v>
      </c>
      <c r="M524" s="3">
        <f t="shared" ca="1" si="143"/>
        <v>0</v>
      </c>
      <c r="N524" s="3" t="str">
        <f t="shared" ca="1" si="144"/>
        <v>On Time</v>
      </c>
      <c r="O524" s="3" t="str">
        <f t="shared" ca="1" si="145"/>
        <v>High</v>
      </c>
      <c r="P524" s="3">
        <f t="shared" ca="1" si="146"/>
        <v>46.3</v>
      </c>
      <c r="Q524" s="1" t="str">
        <f ca="1">VLOOKUP(D524,Routes!$A$2:$D$31,2,FALSE)</f>
        <v>Bengaluru</v>
      </c>
      <c r="R524" s="1" t="str">
        <f ca="1">VLOOKUP(D524,Routes!$A$2:$D$31,3,FALSE)</f>
        <v>Hyderabad</v>
      </c>
      <c r="S524" s="3">
        <f ca="1">VLOOKUP(D524,Routes!$A$2:$D$31,4,FALSE)</f>
        <v>570</v>
      </c>
      <c r="T524" s="3" t="str">
        <f ca="1">VLOOKUP(E524,Vehicles!$A$2:$D$21,2,FALSE)</f>
        <v>Truck</v>
      </c>
      <c r="U524" s="3">
        <f ca="1">VLOOKUP(E524,Vehicles!$A$2:$D$21,3,FALSE)</f>
        <v>26</v>
      </c>
      <c r="V524" s="3" t="str">
        <f ca="1">VLOOKUP(E524,Vehicles!$A$2:$D$21,4,FALSE)</f>
        <v>Diesel</v>
      </c>
      <c r="W524" s="3">
        <f ca="1">VLOOKUP(V524,Fuel_Rates!$A$2:$B$3,2,FALSE)</f>
        <v>95</v>
      </c>
      <c r="X524" s="3">
        <f t="shared" ca="1" si="148"/>
        <v>56.36</v>
      </c>
      <c r="Y524" s="3">
        <f t="shared" ca="1" si="149"/>
        <v>42270</v>
      </c>
      <c r="Z524" s="3" t="str">
        <f t="shared" ca="1" si="150"/>
        <v>Sep</v>
      </c>
      <c r="AA524" s="3" t="str">
        <f t="shared" ca="1" si="151"/>
        <v>Q3</v>
      </c>
      <c r="AB524" s="4" t="str">
        <f t="shared" ca="1" si="152"/>
        <v>Medium Haul</v>
      </c>
    </row>
    <row r="525" spans="1:28" x14ac:dyDescent="0.3">
      <c r="A525" s="8" t="str">
        <f t="shared" si="147"/>
        <v>S0524</v>
      </c>
      <c r="B525" s="3">
        <f t="shared" ca="1" si="136"/>
        <v>45720</v>
      </c>
      <c r="C525" s="3" t="str">
        <f ca="1">INDEX(Customers!$A$2:$A$21,RANDBETWEEN(1,20))</f>
        <v>C003</v>
      </c>
      <c r="D525" s="3" t="str">
        <f ca="1">INDEX(Routes!$A$2:$A$31,RANDBETWEEN(1,30))</f>
        <v>R008</v>
      </c>
      <c r="E525" s="3" t="str">
        <f ca="1">INDEX(Vehicles!$A$2:$A$21,RANDBETWEEN(1,20))</f>
        <v>V014</v>
      </c>
      <c r="F525" s="3" t="str">
        <f ca="1">INDEX(Drivers!$A$2:$A$31,RANDBETWEEN(1,30))</f>
        <v>D010</v>
      </c>
      <c r="G525" s="3">
        <f t="shared" ca="1" si="137"/>
        <v>22.6</v>
      </c>
      <c r="H525" s="3">
        <f t="shared" ca="1" si="138"/>
        <v>46795</v>
      </c>
      <c r="I525" s="3">
        <f t="shared" ca="1" si="139"/>
        <v>13103</v>
      </c>
      <c r="J525" s="3">
        <f t="shared" ca="1" si="140"/>
        <v>1853</v>
      </c>
      <c r="K525" s="3">
        <f t="shared" ca="1" si="141"/>
        <v>21</v>
      </c>
      <c r="L525" s="3">
        <f t="shared" ca="1" si="142"/>
        <v>21</v>
      </c>
      <c r="M525" s="3">
        <f t="shared" ca="1" si="143"/>
        <v>0</v>
      </c>
      <c r="N525" s="3" t="str">
        <f t="shared" ca="1" si="144"/>
        <v>On Time</v>
      </c>
      <c r="O525" s="3" t="str">
        <f t="shared" ca="1" si="145"/>
        <v>High</v>
      </c>
      <c r="P525" s="3">
        <f t="shared" ca="1" si="146"/>
        <v>75.3</v>
      </c>
      <c r="Q525" s="1" t="str">
        <f ca="1">VLOOKUP(D525,Routes!$A$2:$D$31,2,FALSE)</f>
        <v>Delhi</v>
      </c>
      <c r="R525" s="1" t="str">
        <f ca="1">VLOOKUP(D525,Routes!$A$2:$D$31,3,FALSE)</f>
        <v>Kolkata</v>
      </c>
      <c r="S525" s="3">
        <f ca="1">VLOOKUP(D525,Routes!$A$2:$D$31,4,FALSE)</f>
        <v>1500</v>
      </c>
      <c r="T525" s="3" t="str">
        <f ca="1">VLOOKUP(E525,Vehicles!$A$2:$D$21,2,FALSE)</f>
        <v>LCV</v>
      </c>
      <c r="U525" s="3">
        <f ca="1">VLOOKUP(E525,Vehicles!$A$2:$D$21,3,FALSE)</f>
        <v>6</v>
      </c>
      <c r="V525" s="3" t="str">
        <f ca="1">VLOOKUP(E525,Vehicles!$A$2:$D$21,4,FALSE)</f>
        <v>CNG</v>
      </c>
      <c r="W525" s="3">
        <f ca="1">VLOOKUP(V525,Fuel_Rates!$A$2:$B$3,2,FALSE)</f>
        <v>78</v>
      </c>
      <c r="X525" s="3">
        <f t="shared" ca="1" si="148"/>
        <v>31.2</v>
      </c>
      <c r="Y525" s="3">
        <f t="shared" ca="1" si="149"/>
        <v>61751</v>
      </c>
      <c r="Z525" s="3" t="str">
        <f t="shared" ca="1" si="150"/>
        <v>Mar</v>
      </c>
      <c r="AA525" s="3" t="str">
        <f t="shared" ca="1" si="151"/>
        <v>Q1</v>
      </c>
      <c r="AB525" s="4" t="str">
        <f t="shared" ca="1" si="152"/>
        <v>Long Haul</v>
      </c>
    </row>
    <row r="526" spans="1:28" x14ac:dyDescent="0.3">
      <c r="A526" s="8" t="str">
        <f t="shared" si="147"/>
        <v>S0525</v>
      </c>
      <c r="B526" s="3">
        <f t="shared" ca="1" si="136"/>
        <v>45803</v>
      </c>
      <c r="C526" s="3" t="str">
        <f ca="1">INDEX(Customers!$A$2:$A$21,RANDBETWEEN(1,20))</f>
        <v>C005</v>
      </c>
      <c r="D526" s="3" t="str">
        <f ca="1">INDEX(Routes!$A$2:$A$31,RANDBETWEEN(1,30))</f>
        <v>R009</v>
      </c>
      <c r="E526" s="3" t="str">
        <f ca="1">INDEX(Vehicles!$A$2:$A$21,RANDBETWEEN(1,20))</f>
        <v>V011</v>
      </c>
      <c r="F526" s="3" t="str">
        <f ca="1">INDEX(Drivers!$A$2:$A$31,RANDBETWEEN(1,30))</f>
        <v>D016</v>
      </c>
      <c r="G526" s="3">
        <f t="shared" ca="1" si="137"/>
        <v>19.100000000000001</v>
      </c>
      <c r="H526" s="3">
        <f t="shared" ca="1" si="138"/>
        <v>44526</v>
      </c>
      <c r="I526" s="3">
        <f t="shared" ca="1" si="139"/>
        <v>12467</v>
      </c>
      <c r="J526" s="3">
        <f t="shared" ca="1" si="140"/>
        <v>3207</v>
      </c>
      <c r="K526" s="3">
        <f t="shared" ca="1" si="141"/>
        <v>16</v>
      </c>
      <c r="L526" s="3">
        <f t="shared" ca="1" si="142"/>
        <v>24</v>
      </c>
      <c r="M526" s="3">
        <f t="shared" ca="1" si="143"/>
        <v>8</v>
      </c>
      <c r="N526" s="3" t="str">
        <f t="shared" ca="1" si="144"/>
        <v>Delayed</v>
      </c>
      <c r="O526" s="3" t="str">
        <f t="shared" ca="1" si="145"/>
        <v>Medium</v>
      </c>
      <c r="P526" s="3">
        <f t="shared" ca="1" si="146"/>
        <v>63.7</v>
      </c>
      <c r="Q526" s="1" t="str">
        <f ca="1">VLOOKUP(D526,Routes!$A$2:$D$31,2,FALSE)</f>
        <v>Bengaluru</v>
      </c>
      <c r="R526" s="1" t="str">
        <f ca="1">VLOOKUP(D526,Routes!$A$2:$D$31,3,FALSE)</f>
        <v>Chennai</v>
      </c>
      <c r="S526" s="3">
        <f ca="1">VLOOKUP(D526,Routes!$A$2:$D$31,4,FALSE)</f>
        <v>350</v>
      </c>
      <c r="T526" s="3" t="str">
        <f ca="1">VLOOKUP(E526,Vehicles!$A$2:$D$21,2,FALSE)</f>
        <v>Truck</v>
      </c>
      <c r="U526" s="3">
        <f ca="1">VLOOKUP(E526,Vehicles!$A$2:$D$21,3,FALSE)</f>
        <v>18</v>
      </c>
      <c r="V526" s="3" t="str">
        <f ca="1">VLOOKUP(E526,Vehicles!$A$2:$D$21,4,FALSE)</f>
        <v>CNG</v>
      </c>
      <c r="W526" s="3">
        <f ca="1">VLOOKUP(V526,Fuel_Rates!$A$2:$B$3,2,FALSE)</f>
        <v>78</v>
      </c>
      <c r="X526" s="3">
        <f t="shared" ca="1" si="148"/>
        <v>127.22</v>
      </c>
      <c r="Y526" s="3">
        <f t="shared" ca="1" si="149"/>
        <v>60200</v>
      </c>
      <c r="Z526" s="3" t="str">
        <f t="shared" ca="1" si="150"/>
        <v>May</v>
      </c>
      <c r="AA526" s="3" t="str">
        <f t="shared" ca="1" si="151"/>
        <v>Q2</v>
      </c>
      <c r="AB526" s="4" t="str">
        <f t="shared" ca="1" si="152"/>
        <v>Medium Haul</v>
      </c>
    </row>
    <row r="527" spans="1:28" x14ac:dyDescent="0.3">
      <c r="A527" s="8" t="str">
        <f t="shared" si="147"/>
        <v>S0526</v>
      </c>
      <c r="B527" s="3">
        <f t="shared" ca="1" si="136"/>
        <v>45660</v>
      </c>
      <c r="C527" s="3" t="str">
        <f ca="1">INDEX(Customers!$A$2:$A$21,RANDBETWEEN(1,20))</f>
        <v>C007</v>
      </c>
      <c r="D527" s="3" t="str">
        <f ca="1">INDEX(Routes!$A$2:$A$31,RANDBETWEEN(1,30))</f>
        <v>R024</v>
      </c>
      <c r="E527" s="3" t="str">
        <f ca="1">INDEX(Vehicles!$A$2:$A$21,RANDBETWEEN(1,20))</f>
        <v>V013</v>
      </c>
      <c r="F527" s="3" t="str">
        <f ca="1">INDEX(Drivers!$A$2:$A$31,RANDBETWEEN(1,30))</f>
        <v>D018</v>
      </c>
      <c r="G527" s="3">
        <f t="shared" ca="1" si="137"/>
        <v>4.9000000000000004</v>
      </c>
      <c r="H527" s="3">
        <f t="shared" ca="1" si="138"/>
        <v>20914</v>
      </c>
      <c r="I527" s="3">
        <f t="shared" ca="1" si="139"/>
        <v>5856</v>
      </c>
      <c r="J527" s="3">
        <f t="shared" ca="1" si="140"/>
        <v>1432</v>
      </c>
      <c r="K527" s="3">
        <f t="shared" ca="1" si="141"/>
        <v>26</v>
      </c>
      <c r="L527" s="3">
        <f t="shared" ca="1" si="142"/>
        <v>33</v>
      </c>
      <c r="M527" s="3">
        <f t="shared" ca="1" si="143"/>
        <v>7</v>
      </c>
      <c r="N527" s="3" t="str">
        <f t="shared" ca="1" si="144"/>
        <v>Delayed</v>
      </c>
      <c r="O527" s="3" t="str">
        <f t="shared" ca="1" si="145"/>
        <v>Low</v>
      </c>
      <c r="P527" s="3">
        <f t="shared" ca="1" si="146"/>
        <v>16.3</v>
      </c>
      <c r="Q527" s="1" t="str">
        <f ca="1">VLOOKUP(D527,Routes!$A$2:$D$31,2,FALSE)</f>
        <v>Surat</v>
      </c>
      <c r="R527" s="1" t="str">
        <f ca="1">VLOOKUP(D527,Routes!$A$2:$D$31,3,FALSE)</f>
        <v>Mumbai</v>
      </c>
      <c r="S527" s="3">
        <f ca="1">VLOOKUP(D527,Routes!$A$2:$D$31,4,FALSE)</f>
        <v>280</v>
      </c>
      <c r="T527" s="3" t="str">
        <f ca="1">VLOOKUP(E527,Vehicles!$A$2:$D$21,2,FALSE)</f>
        <v>LCV</v>
      </c>
      <c r="U527" s="3">
        <f ca="1">VLOOKUP(E527,Vehicles!$A$2:$D$21,3,FALSE)</f>
        <v>4</v>
      </c>
      <c r="V527" s="3" t="str">
        <f ca="1">VLOOKUP(E527,Vehicles!$A$2:$D$21,4,FALSE)</f>
        <v>CNG</v>
      </c>
      <c r="W527" s="3">
        <f ca="1">VLOOKUP(V527,Fuel_Rates!$A$2:$B$3,2,FALSE)</f>
        <v>78</v>
      </c>
      <c r="X527" s="3">
        <f t="shared" ca="1" si="148"/>
        <v>74.69</v>
      </c>
      <c r="Y527" s="3">
        <f t="shared" ca="1" si="149"/>
        <v>28202</v>
      </c>
      <c r="Z527" s="3" t="str">
        <f t="shared" ca="1" si="150"/>
        <v>Jan</v>
      </c>
      <c r="AA527" s="3" t="str">
        <f t="shared" ca="1" si="151"/>
        <v>Q1</v>
      </c>
      <c r="AB527" s="4" t="str">
        <f t="shared" ca="1" si="152"/>
        <v>Short Haul</v>
      </c>
    </row>
    <row r="528" spans="1:28" x14ac:dyDescent="0.3">
      <c r="A528" s="8" t="str">
        <f t="shared" si="147"/>
        <v>S0527</v>
      </c>
      <c r="B528" s="3">
        <f t="shared" ca="1" si="136"/>
        <v>45914</v>
      </c>
      <c r="C528" s="3" t="str">
        <f ca="1">INDEX(Customers!$A$2:$A$21,RANDBETWEEN(1,20))</f>
        <v>C005</v>
      </c>
      <c r="D528" s="3" t="str">
        <f ca="1">INDEX(Routes!$A$2:$A$31,RANDBETWEEN(1,30))</f>
        <v>R029</v>
      </c>
      <c r="E528" s="3" t="str">
        <f ca="1">INDEX(Vehicles!$A$2:$A$21,RANDBETWEEN(1,20))</f>
        <v>V009</v>
      </c>
      <c r="F528" s="3" t="str">
        <f ca="1">INDEX(Drivers!$A$2:$A$31,RANDBETWEEN(1,30))</f>
        <v>D028</v>
      </c>
      <c r="G528" s="3">
        <f t="shared" ca="1" si="137"/>
        <v>10.8</v>
      </c>
      <c r="H528" s="3">
        <f t="shared" ca="1" si="138"/>
        <v>32321</v>
      </c>
      <c r="I528" s="3">
        <f t="shared" ca="1" si="139"/>
        <v>9050</v>
      </c>
      <c r="J528" s="3">
        <f t="shared" ca="1" si="140"/>
        <v>1894</v>
      </c>
      <c r="K528" s="3">
        <f t="shared" ca="1" si="141"/>
        <v>17</v>
      </c>
      <c r="L528" s="3">
        <f t="shared" ca="1" si="142"/>
        <v>20</v>
      </c>
      <c r="M528" s="3">
        <f t="shared" ca="1" si="143"/>
        <v>3</v>
      </c>
      <c r="N528" s="3" t="str">
        <f t="shared" ca="1" si="144"/>
        <v>Delayed</v>
      </c>
      <c r="O528" s="3" t="str">
        <f t="shared" ca="1" si="145"/>
        <v>Medium</v>
      </c>
      <c r="P528" s="3">
        <f t="shared" ca="1" si="146"/>
        <v>36</v>
      </c>
      <c r="Q528" s="1" t="str">
        <f ca="1">VLOOKUP(D528,Routes!$A$2:$D$31,2,FALSE)</f>
        <v>Chandigarh</v>
      </c>
      <c r="R528" s="1" t="str">
        <f ca="1">VLOOKUP(D528,Routes!$A$2:$D$31,3,FALSE)</f>
        <v>Delhi</v>
      </c>
      <c r="S528" s="3">
        <f ca="1">VLOOKUP(D528,Routes!$A$2:$D$31,4,FALSE)</f>
        <v>250</v>
      </c>
      <c r="T528" s="3" t="str">
        <f ca="1">VLOOKUP(E528,Vehicles!$A$2:$D$21,2,FALSE)</f>
        <v>LCV</v>
      </c>
      <c r="U528" s="3">
        <f ca="1">VLOOKUP(E528,Vehicles!$A$2:$D$21,3,FALSE)</f>
        <v>5</v>
      </c>
      <c r="V528" s="3" t="str">
        <f ca="1">VLOOKUP(E528,Vehicles!$A$2:$D$21,4,FALSE)</f>
        <v>Diesel</v>
      </c>
      <c r="W528" s="3">
        <f ca="1">VLOOKUP(V528,Fuel_Rates!$A$2:$B$3,2,FALSE)</f>
        <v>95</v>
      </c>
      <c r="X528" s="3">
        <f t="shared" ca="1" si="148"/>
        <v>129.28</v>
      </c>
      <c r="Y528" s="3">
        <f t="shared" ca="1" si="149"/>
        <v>43265</v>
      </c>
      <c r="Z528" s="3" t="str">
        <f t="shared" ca="1" si="150"/>
        <v>Sep</v>
      </c>
      <c r="AA528" s="3" t="str">
        <f t="shared" ca="1" si="151"/>
        <v>Q3</v>
      </c>
      <c r="AB528" s="4" t="str">
        <f t="shared" ca="1" si="152"/>
        <v>Short Haul</v>
      </c>
    </row>
    <row r="529" spans="1:28" x14ac:dyDescent="0.3">
      <c r="A529" s="8" t="str">
        <f t="shared" si="147"/>
        <v>S0528</v>
      </c>
      <c r="B529" s="3">
        <f t="shared" ca="1" si="136"/>
        <v>45736</v>
      </c>
      <c r="C529" s="3" t="str">
        <f ca="1">INDEX(Customers!$A$2:$A$21,RANDBETWEEN(1,20))</f>
        <v>C009</v>
      </c>
      <c r="D529" s="3" t="str">
        <f ca="1">INDEX(Routes!$A$2:$A$31,RANDBETWEEN(1,30))</f>
        <v>R019</v>
      </c>
      <c r="E529" s="3" t="str">
        <f ca="1">INDEX(Vehicles!$A$2:$A$21,RANDBETWEEN(1,20))</f>
        <v>V019</v>
      </c>
      <c r="F529" s="3" t="str">
        <f ca="1">INDEX(Drivers!$A$2:$A$31,RANDBETWEEN(1,30))</f>
        <v>D003</v>
      </c>
      <c r="G529" s="3">
        <f t="shared" ca="1" si="137"/>
        <v>6.7</v>
      </c>
      <c r="H529" s="3">
        <f t="shared" ca="1" si="138"/>
        <v>15974</v>
      </c>
      <c r="I529" s="3">
        <f t="shared" ca="1" si="139"/>
        <v>4473</v>
      </c>
      <c r="J529" s="3">
        <f t="shared" ca="1" si="140"/>
        <v>2849</v>
      </c>
      <c r="K529" s="3">
        <f t="shared" ca="1" si="141"/>
        <v>14</v>
      </c>
      <c r="L529" s="3">
        <f t="shared" ca="1" si="142"/>
        <v>14</v>
      </c>
      <c r="M529" s="3">
        <f t="shared" ca="1" si="143"/>
        <v>0</v>
      </c>
      <c r="N529" s="3" t="str">
        <f t="shared" ca="1" si="144"/>
        <v>On Time</v>
      </c>
      <c r="O529" s="3" t="str">
        <f t="shared" ca="1" si="145"/>
        <v>Low</v>
      </c>
      <c r="P529" s="3">
        <f t="shared" ca="1" si="146"/>
        <v>22.3</v>
      </c>
      <c r="Q529" s="1" t="str">
        <f ca="1">VLOOKUP(D529,Routes!$A$2:$D$31,2,FALSE)</f>
        <v>Ahmedabad</v>
      </c>
      <c r="R529" s="1" t="str">
        <f ca="1">VLOOKUP(D529,Routes!$A$2:$D$31,3,FALSE)</f>
        <v>Indore</v>
      </c>
      <c r="S529" s="3">
        <f ca="1">VLOOKUP(D529,Routes!$A$2:$D$31,4,FALSE)</f>
        <v>390</v>
      </c>
      <c r="T529" s="3" t="str">
        <f ca="1">VLOOKUP(E529,Vehicles!$A$2:$D$21,2,FALSE)</f>
        <v>Trailer</v>
      </c>
      <c r="U529" s="3">
        <f ca="1">VLOOKUP(E529,Vehicles!$A$2:$D$21,3,FALSE)</f>
        <v>35</v>
      </c>
      <c r="V529" s="3" t="str">
        <f ca="1">VLOOKUP(E529,Vehicles!$A$2:$D$21,4,FALSE)</f>
        <v>Diesel</v>
      </c>
      <c r="W529" s="3">
        <f ca="1">VLOOKUP(V529,Fuel_Rates!$A$2:$B$3,2,FALSE)</f>
        <v>95</v>
      </c>
      <c r="X529" s="3">
        <f t="shared" ca="1" si="148"/>
        <v>40.96</v>
      </c>
      <c r="Y529" s="3">
        <f t="shared" ca="1" si="149"/>
        <v>23296</v>
      </c>
      <c r="Z529" s="3" t="str">
        <f t="shared" ca="1" si="150"/>
        <v>Mar</v>
      </c>
      <c r="AA529" s="3" t="str">
        <f t="shared" ca="1" si="151"/>
        <v>Q1</v>
      </c>
      <c r="AB529" s="4" t="str">
        <f t="shared" ca="1" si="152"/>
        <v>Medium Haul</v>
      </c>
    </row>
    <row r="530" spans="1:28" x14ac:dyDescent="0.3">
      <c r="A530" s="8" t="str">
        <f t="shared" si="147"/>
        <v>S0529</v>
      </c>
      <c r="B530" s="3">
        <f t="shared" ca="1" si="136"/>
        <v>45992</v>
      </c>
      <c r="C530" s="3" t="str">
        <f ca="1">INDEX(Customers!$A$2:$A$21,RANDBETWEEN(1,20))</f>
        <v>C020</v>
      </c>
      <c r="D530" s="3" t="str">
        <f ca="1">INDEX(Routes!$A$2:$A$31,RANDBETWEEN(1,30))</f>
        <v>R002</v>
      </c>
      <c r="E530" s="3" t="str">
        <f ca="1">INDEX(Vehicles!$A$2:$A$21,RANDBETWEEN(1,20))</f>
        <v>V008</v>
      </c>
      <c r="F530" s="3" t="str">
        <f ca="1">INDEX(Drivers!$A$2:$A$31,RANDBETWEEN(1,30))</f>
        <v>D028</v>
      </c>
      <c r="G530" s="3">
        <f t="shared" ca="1" si="137"/>
        <v>27.8</v>
      </c>
      <c r="H530" s="3">
        <f t="shared" ca="1" si="138"/>
        <v>56349</v>
      </c>
      <c r="I530" s="3">
        <f t="shared" ca="1" si="139"/>
        <v>15778</v>
      </c>
      <c r="J530" s="3">
        <f t="shared" ca="1" si="140"/>
        <v>2986</v>
      </c>
      <c r="K530" s="3">
        <f t="shared" ca="1" si="141"/>
        <v>44</v>
      </c>
      <c r="L530" s="3">
        <f t="shared" ca="1" si="142"/>
        <v>46</v>
      </c>
      <c r="M530" s="3">
        <f t="shared" ca="1" si="143"/>
        <v>2</v>
      </c>
      <c r="N530" s="3" t="str">
        <f t="shared" ca="1" si="144"/>
        <v>On Time</v>
      </c>
      <c r="O530" s="3" t="str">
        <f t="shared" ca="1" si="145"/>
        <v>Low</v>
      </c>
      <c r="P530" s="3">
        <f t="shared" ca="1" si="146"/>
        <v>92.7</v>
      </c>
      <c r="Q530" s="1" t="str">
        <f ca="1">VLOOKUP(D530,Routes!$A$2:$D$31,2,FALSE)</f>
        <v>Mumbai</v>
      </c>
      <c r="R530" s="1" t="str">
        <f ca="1">VLOOKUP(D530,Routes!$A$2:$D$31,3,FALSE)</f>
        <v>Ahmedabad</v>
      </c>
      <c r="S530" s="3">
        <f ca="1">VLOOKUP(D530,Routes!$A$2:$D$31,4,FALSE)</f>
        <v>530</v>
      </c>
      <c r="T530" s="3" t="str">
        <f ca="1">VLOOKUP(E530,Vehicles!$A$2:$D$21,2,FALSE)</f>
        <v>Container</v>
      </c>
      <c r="U530" s="3">
        <f ca="1">VLOOKUP(E530,Vehicles!$A$2:$D$21,3,FALSE)</f>
        <v>25</v>
      </c>
      <c r="V530" s="3" t="str">
        <f ca="1">VLOOKUP(E530,Vehicles!$A$2:$D$21,4,FALSE)</f>
        <v>Diesel</v>
      </c>
      <c r="W530" s="3">
        <f ca="1">VLOOKUP(V530,Fuel_Rates!$A$2:$B$3,2,FALSE)</f>
        <v>95</v>
      </c>
      <c r="X530" s="3">
        <f t="shared" ca="1" si="148"/>
        <v>106.32</v>
      </c>
      <c r="Y530" s="3">
        <f t="shared" ca="1" si="149"/>
        <v>75113</v>
      </c>
      <c r="Z530" s="3" t="str">
        <f t="shared" ca="1" si="150"/>
        <v>Dec</v>
      </c>
      <c r="AA530" s="3" t="str">
        <f t="shared" ca="1" si="151"/>
        <v>Q4</v>
      </c>
      <c r="AB530" s="4" t="str">
        <f t="shared" ca="1" si="152"/>
        <v>Medium Haul</v>
      </c>
    </row>
    <row r="531" spans="1:28" x14ac:dyDescent="0.3">
      <c r="A531" s="8" t="str">
        <f t="shared" si="147"/>
        <v>S0530</v>
      </c>
      <c r="B531" s="3">
        <f t="shared" ca="1" si="136"/>
        <v>45919</v>
      </c>
      <c r="C531" s="3" t="str">
        <f ca="1">INDEX(Customers!$A$2:$A$21,RANDBETWEEN(1,20))</f>
        <v>C003</v>
      </c>
      <c r="D531" s="3" t="str">
        <f ca="1">INDEX(Routes!$A$2:$A$31,RANDBETWEEN(1,30))</f>
        <v>R020</v>
      </c>
      <c r="E531" s="3" t="str">
        <f ca="1">INDEX(Vehicles!$A$2:$A$21,RANDBETWEEN(1,20))</f>
        <v>V003</v>
      </c>
      <c r="F531" s="3" t="str">
        <f ca="1">INDEX(Drivers!$A$2:$A$31,RANDBETWEEN(1,30))</f>
        <v>D008</v>
      </c>
      <c r="G531" s="3">
        <f t="shared" ca="1" si="137"/>
        <v>23.1</v>
      </c>
      <c r="H531" s="3">
        <f t="shared" ca="1" si="138"/>
        <v>54421</v>
      </c>
      <c r="I531" s="3">
        <f t="shared" ca="1" si="139"/>
        <v>15238</v>
      </c>
      <c r="J531" s="3">
        <f t="shared" ca="1" si="140"/>
        <v>1759</v>
      </c>
      <c r="K531" s="3">
        <f t="shared" ca="1" si="141"/>
        <v>26</v>
      </c>
      <c r="L531" s="3">
        <f t="shared" ca="1" si="142"/>
        <v>29</v>
      </c>
      <c r="M531" s="3">
        <f t="shared" ca="1" si="143"/>
        <v>3</v>
      </c>
      <c r="N531" s="3" t="str">
        <f t="shared" ca="1" si="144"/>
        <v>Delayed</v>
      </c>
      <c r="O531" s="3" t="str">
        <f t="shared" ca="1" si="145"/>
        <v>Medium</v>
      </c>
      <c r="P531" s="3">
        <f t="shared" ca="1" si="146"/>
        <v>77</v>
      </c>
      <c r="Q531" s="1" t="str">
        <f ca="1">VLOOKUP(D531,Routes!$A$2:$D$31,2,FALSE)</f>
        <v>Pune</v>
      </c>
      <c r="R531" s="1" t="str">
        <f ca="1">VLOOKUP(D531,Routes!$A$2:$D$31,3,FALSE)</f>
        <v>Nagpur</v>
      </c>
      <c r="S531" s="3">
        <f ca="1">VLOOKUP(D531,Routes!$A$2:$D$31,4,FALSE)</f>
        <v>720</v>
      </c>
      <c r="T531" s="3" t="str">
        <f ca="1">VLOOKUP(E531,Vehicles!$A$2:$D$21,2,FALSE)</f>
        <v>Truck</v>
      </c>
      <c r="U531" s="3">
        <f ca="1">VLOOKUP(E531,Vehicles!$A$2:$D$21,3,FALSE)</f>
        <v>25</v>
      </c>
      <c r="V531" s="3" t="str">
        <f ca="1">VLOOKUP(E531,Vehicles!$A$2:$D$21,4,FALSE)</f>
        <v>Diesel</v>
      </c>
      <c r="W531" s="3">
        <f ca="1">VLOOKUP(V531,Fuel_Rates!$A$2:$B$3,2,FALSE)</f>
        <v>95</v>
      </c>
      <c r="X531" s="3">
        <f t="shared" ca="1" si="148"/>
        <v>75.58</v>
      </c>
      <c r="Y531" s="3">
        <f t="shared" ca="1" si="149"/>
        <v>71418</v>
      </c>
      <c r="Z531" s="3" t="str">
        <f t="shared" ca="1" si="150"/>
        <v>Sep</v>
      </c>
      <c r="AA531" s="3" t="str">
        <f t="shared" ca="1" si="151"/>
        <v>Q3</v>
      </c>
      <c r="AB531" s="4" t="str">
        <f t="shared" ca="1" si="152"/>
        <v>Medium Haul</v>
      </c>
    </row>
    <row r="532" spans="1:28" x14ac:dyDescent="0.3">
      <c r="A532" s="8" t="str">
        <f t="shared" si="147"/>
        <v>S0531</v>
      </c>
      <c r="B532" s="3">
        <f t="shared" ca="1" si="136"/>
        <v>45782</v>
      </c>
      <c r="C532" s="3" t="str">
        <f ca="1">INDEX(Customers!$A$2:$A$21,RANDBETWEEN(1,20))</f>
        <v>C010</v>
      </c>
      <c r="D532" s="3" t="str">
        <f ca="1">INDEX(Routes!$A$2:$A$31,RANDBETWEEN(1,30))</f>
        <v>R005</v>
      </c>
      <c r="E532" s="3" t="str">
        <f ca="1">INDEX(Vehicles!$A$2:$A$21,RANDBETWEEN(1,20))</f>
        <v>V020</v>
      </c>
      <c r="F532" s="3" t="str">
        <f ca="1">INDEX(Drivers!$A$2:$A$31,RANDBETWEEN(1,30))</f>
        <v>D014</v>
      </c>
      <c r="G532" s="3">
        <f t="shared" ca="1" si="137"/>
        <v>23.3</v>
      </c>
      <c r="H532" s="3">
        <f t="shared" ca="1" si="138"/>
        <v>51785</v>
      </c>
      <c r="I532" s="3">
        <f t="shared" ca="1" si="139"/>
        <v>14500</v>
      </c>
      <c r="J532" s="3">
        <f t="shared" ca="1" si="140"/>
        <v>2670</v>
      </c>
      <c r="K532" s="3">
        <f t="shared" ca="1" si="141"/>
        <v>46</v>
      </c>
      <c r="L532" s="3">
        <f t="shared" ca="1" si="142"/>
        <v>54</v>
      </c>
      <c r="M532" s="3">
        <f t="shared" ca="1" si="143"/>
        <v>8</v>
      </c>
      <c r="N532" s="3" t="str">
        <f t="shared" ca="1" si="144"/>
        <v>Delayed</v>
      </c>
      <c r="O532" s="3" t="str">
        <f t="shared" ca="1" si="145"/>
        <v>Low</v>
      </c>
      <c r="P532" s="3">
        <f t="shared" ca="1" si="146"/>
        <v>77.7</v>
      </c>
      <c r="Q532" s="1" t="str">
        <f ca="1">VLOOKUP(D532,Routes!$A$2:$D$31,2,FALSE)</f>
        <v>Delhi</v>
      </c>
      <c r="R532" s="1" t="str">
        <f ca="1">VLOOKUP(D532,Routes!$A$2:$D$31,3,FALSE)</f>
        <v>Jaipur</v>
      </c>
      <c r="S532" s="3">
        <f ca="1">VLOOKUP(D532,Routes!$A$2:$D$31,4,FALSE)</f>
        <v>280</v>
      </c>
      <c r="T532" s="3" t="str">
        <f ca="1">VLOOKUP(E532,Vehicles!$A$2:$D$21,2,FALSE)</f>
        <v>Container</v>
      </c>
      <c r="U532" s="3">
        <f ca="1">VLOOKUP(E532,Vehicles!$A$2:$D$21,3,FALSE)</f>
        <v>28</v>
      </c>
      <c r="V532" s="3" t="str">
        <f ca="1">VLOOKUP(E532,Vehicles!$A$2:$D$21,4,FALSE)</f>
        <v>Diesel</v>
      </c>
      <c r="W532" s="3">
        <f ca="1">VLOOKUP(V532,Fuel_Rates!$A$2:$B$3,2,FALSE)</f>
        <v>95</v>
      </c>
      <c r="X532" s="3">
        <f t="shared" ca="1" si="148"/>
        <v>184.95</v>
      </c>
      <c r="Y532" s="3">
        <f t="shared" ca="1" si="149"/>
        <v>68955</v>
      </c>
      <c r="Z532" s="3" t="str">
        <f t="shared" ca="1" si="150"/>
        <v>May</v>
      </c>
      <c r="AA532" s="3" t="str">
        <f t="shared" ca="1" si="151"/>
        <v>Q2</v>
      </c>
      <c r="AB532" s="4" t="str">
        <f t="shared" ca="1" si="152"/>
        <v>Short Haul</v>
      </c>
    </row>
    <row r="533" spans="1:28" x14ac:dyDescent="0.3">
      <c r="A533" s="8" t="str">
        <f t="shared" si="147"/>
        <v>S0532</v>
      </c>
      <c r="B533" s="3">
        <f t="shared" ca="1" si="136"/>
        <v>45836</v>
      </c>
      <c r="C533" s="3" t="str">
        <f ca="1">INDEX(Customers!$A$2:$A$21,RANDBETWEEN(1,20))</f>
        <v>C010</v>
      </c>
      <c r="D533" s="3" t="str">
        <f ca="1">INDEX(Routes!$A$2:$A$31,RANDBETWEEN(1,30))</f>
        <v>R030</v>
      </c>
      <c r="E533" s="3" t="str">
        <f ca="1">INDEX(Vehicles!$A$2:$A$21,RANDBETWEEN(1,20))</f>
        <v>V005</v>
      </c>
      <c r="F533" s="3" t="str">
        <f ca="1">INDEX(Drivers!$A$2:$A$31,RANDBETWEEN(1,30))</f>
        <v>D011</v>
      </c>
      <c r="G533" s="3">
        <f t="shared" ca="1" si="137"/>
        <v>25.1</v>
      </c>
      <c r="H533" s="3">
        <f t="shared" ca="1" si="138"/>
        <v>56901</v>
      </c>
      <c r="I533" s="3">
        <f t="shared" ca="1" si="139"/>
        <v>15932</v>
      </c>
      <c r="J533" s="3">
        <f t="shared" ca="1" si="140"/>
        <v>2303</v>
      </c>
      <c r="K533" s="3">
        <f t="shared" ca="1" si="141"/>
        <v>25</v>
      </c>
      <c r="L533" s="3">
        <f t="shared" ca="1" si="142"/>
        <v>28</v>
      </c>
      <c r="M533" s="3">
        <f t="shared" ca="1" si="143"/>
        <v>3</v>
      </c>
      <c r="N533" s="3" t="str">
        <f t="shared" ca="1" si="144"/>
        <v>Delayed</v>
      </c>
      <c r="O533" s="3" t="str">
        <f t="shared" ca="1" si="145"/>
        <v>High</v>
      </c>
      <c r="P533" s="3">
        <f t="shared" ca="1" si="146"/>
        <v>83.7</v>
      </c>
      <c r="Q533" s="1" t="str">
        <f ca="1">VLOOKUP(D533,Routes!$A$2:$D$31,2,FALSE)</f>
        <v>Bhubaneswar</v>
      </c>
      <c r="R533" s="1" t="str">
        <f ca="1">VLOOKUP(D533,Routes!$A$2:$D$31,3,FALSE)</f>
        <v>Kolkata</v>
      </c>
      <c r="S533" s="3">
        <f ca="1">VLOOKUP(D533,Routes!$A$2:$D$31,4,FALSE)</f>
        <v>440</v>
      </c>
      <c r="T533" s="3" t="str">
        <f ca="1">VLOOKUP(E533,Vehicles!$A$2:$D$21,2,FALSE)</f>
        <v>Trailer</v>
      </c>
      <c r="U533" s="3">
        <f ca="1">VLOOKUP(E533,Vehicles!$A$2:$D$21,3,FALSE)</f>
        <v>32</v>
      </c>
      <c r="V533" s="3" t="str">
        <f ca="1">VLOOKUP(E533,Vehicles!$A$2:$D$21,4,FALSE)</f>
        <v>Diesel</v>
      </c>
      <c r="W533" s="3">
        <f ca="1">VLOOKUP(V533,Fuel_Rates!$A$2:$B$3,2,FALSE)</f>
        <v>95</v>
      </c>
      <c r="X533" s="3">
        <f t="shared" ca="1" si="148"/>
        <v>129.32</v>
      </c>
      <c r="Y533" s="3">
        <f t="shared" ca="1" si="149"/>
        <v>75136</v>
      </c>
      <c r="Z533" s="3" t="str">
        <f t="shared" ca="1" si="150"/>
        <v>Jun</v>
      </c>
      <c r="AA533" s="3" t="str">
        <f t="shared" ca="1" si="151"/>
        <v>Q2</v>
      </c>
      <c r="AB533" s="4" t="str">
        <f t="shared" ca="1" si="152"/>
        <v>Medium Haul</v>
      </c>
    </row>
    <row r="534" spans="1:28" x14ac:dyDescent="0.3">
      <c r="A534" s="8" t="str">
        <f t="shared" si="147"/>
        <v>S0533</v>
      </c>
      <c r="B534" s="3">
        <f t="shared" ca="1" si="136"/>
        <v>45978</v>
      </c>
      <c r="C534" s="3" t="str">
        <f ca="1">INDEX(Customers!$A$2:$A$21,RANDBETWEEN(1,20))</f>
        <v>C015</v>
      </c>
      <c r="D534" s="3" t="str">
        <f ca="1">INDEX(Routes!$A$2:$A$31,RANDBETWEEN(1,30))</f>
        <v>R027</v>
      </c>
      <c r="E534" s="3" t="str">
        <f ca="1">INDEX(Vehicles!$A$2:$A$21,RANDBETWEEN(1,20))</f>
        <v>V002</v>
      </c>
      <c r="F534" s="3" t="str">
        <f ca="1">INDEX(Drivers!$A$2:$A$31,RANDBETWEEN(1,30))</f>
        <v>D005</v>
      </c>
      <c r="G534" s="3">
        <f t="shared" ca="1" si="137"/>
        <v>3.3</v>
      </c>
      <c r="H534" s="3">
        <f t="shared" ca="1" si="138"/>
        <v>17037</v>
      </c>
      <c r="I534" s="3">
        <f t="shared" ca="1" si="139"/>
        <v>4770</v>
      </c>
      <c r="J534" s="3">
        <f t="shared" ca="1" si="140"/>
        <v>2167</v>
      </c>
      <c r="K534" s="3">
        <f t="shared" ca="1" si="141"/>
        <v>16</v>
      </c>
      <c r="L534" s="3">
        <f t="shared" ca="1" si="142"/>
        <v>18</v>
      </c>
      <c r="M534" s="3">
        <f t="shared" ca="1" si="143"/>
        <v>2</v>
      </c>
      <c r="N534" s="3" t="str">
        <f t="shared" ca="1" si="144"/>
        <v>On Time</v>
      </c>
      <c r="O534" s="3" t="str">
        <f t="shared" ca="1" si="145"/>
        <v>Medium</v>
      </c>
      <c r="P534" s="3">
        <f t="shared" ca="1" si="146"/>
        <v>11</v>
      </c>
      <c r="Q534" s="1" t="str">
        <f ca="1">VLOOKUP(D534,Routes!$A$2:$D$31,2,FALSE)</f>
        <v>Patna</v>
      </c>
      <c r="R534" s="1" t="str">
        <f ca="1">VLOOKUP(D534,Routes!$A$2:$D$31,3,FALSE)</f>
        <v>Ranchi</v>
      </c>
      <c r="S534" s="3">
        <f ca="1">VLOOKUP(D534,Routes!$A$2:$D$31,4,FALSE)</f>
        <v>330</v>
      </c>
      <c r="T534" s="3" t="str">
        <f ca="1">VLOOKUP(E534,Vehicles!$A$2:$D$21,2,FALSE)</f>
        <v>Truck</v>
      </c>
      <c r="U534" s="3">
        <f ca="1">VLOOKUP(E534,Vehicles!$A$2:$D$21,3,FALSE)</f>
        <v>20</v>
      </c>
      <c r="V534" s="3" t="str">
        <f ca="1">VLOOKUP(E534,Vehicles!$A$2:$D$21,4,FALSE)</f>
        <v>Diesel</v>
      </c>
      <c r="W534" s="3">
        <f ca="1">VLOOKUP(V534,Fuel_Rates!$A$2:$B$3,2,FALSE)</f>
        <v>95</v>
      </c>
      <c r="X534" s="3">
        <f t="shared" ca="1" si="148"/>
        <v>51.63</v>
      </c>
      <c r="Y534" s="3">
        <f t="shared" ca="1" si="149"/>
        <v>23974</v>
      </c>
      <c r="Z534" s="3" t="str">
        <f t="shared" ca="1" si="150"/>
        <v>Nov</v>
      </c>
      <c r="AA534" s="3" t="str">
        <f t="shared" ca="1" si="151"/>
        <v>Q4</v>
      </c>
      <c r="AB534" s="4" t="str">
        <f t="shared" ca="1" si="152"/>
        <v>Medium Haul</v>
      </c>
    </row>
    <row r="535" spans="1:28" x14ac:dyDescent="0.3">
      <c r="A535" s="8" t="str">
        <f t="shared" si="147"/>
        <v>S0534</v>
      </c>
      <c r="B535" s="3">
        <f t="shared" ca="1" si="136"/>
        <v>45894</v>
      </c>
      <c r="C535" s="3" t="str">
        <f ca="1">INDEX(Customers!$A$2:$A$21,RANDBETWEEN(1,20))</f>
        <v>C003</v>
      </c>
      <c r="D535" s="3" t="str">
        <f ca="1">INDEX(Routes!$A$2:$A$31,RANDBETWEEN(1,30))</f>
        <v>R013</v>
      </c>
      <c r="E535" s="3" t="str">
        <f ca="1">INDEX(Vehicles!$A$2:$A$21,RANDBETWEEN(1,20))</f>
        <v>V011</v>
      </c>
      <c r="F535" s="3" t="str">
        <f ca="1">INDEX(Drivers!$A$2:$A$31,RANDBETWEEN(1,30))</f>
        <v>D005</v>
      </c>
      <c r="G535" s="3">
        <f t="shared" ca="1" si="137"/>
        <v>19.8</v>
      </c>
      <c r="H535" s="3">
        <f t="shared" ca="1" si="138"/>
        <v>41022</v>
      </c>
      <c r="I535" s="3">
        <f t="shared" ca="1" si="139"/>
        <v>11486</v>
      </c>
      <c r="J535" s="3">
        <f t="shared" ca="1" si="140"/>
        <v>1034</v>
      </c>
      <c r="K535" s="3">
        <f t="shared" ca="1" si="141"/>
        <v>15</v>
      </c>
      <c r="L535" s="3">
        <f t="shared" ca="1" si="142"/>
        <v>22</v>
      </c>
      <c r="M535" s="3">
        <f t="shared" ca="1" si="143"/>
        <v>7</v>
      </c>
      <c r="N535" s="3" t="str">
        <f t="shared" ca="1" si="144"/>
        <v>Delayed</v>
      </c>
      <c r="O535" s="3" t="str">
        <f t="shared" ca="1" si="145"/>
        <v>High</v>
      </c>
      <c r="P535" s="3">
        <f t="shared" ca="1" si="146"/>
        <v>66</v>
      </c>
      <c r="Q535" s="1" t="str">
        <f ca="1">VLOOKUP(D535,Routes!$A$2:$D$31,2,FALSE)</f>
        <v>Chennai</v>
      </c>
      <c r="R535" s="1" t="str">
        <f ca="1">VLOOKUP(D535,Routes!$A$2:$D$31,3,FALSE)</f>
        <v>Hyderabad</v>
      </c>
      <c r="S535" s="3">
        <f ca="1">VLOOKUP(D535,Routes!$A$2:$D$31,4,FALSE)</f>
        <v>630</v>
      </c>
      <c r="T535" s="3" t="str">
        <f ca="1">VLOOKUP(E535,Vehicles!$A$2:$D$21,2,FALSE)</f>
        <v>Truck</v>
      </c>
      <c r="U535" s="3">
        <f ca="1">VLOOKUP(E535,Vehicles!$A$2:$D$21,3,FALSE)</f>
        <v>18</v>
      </c>
      <c r="V535" s="3" t="str">
        <f ca="1">VLOOKUP(E535,Vehicles!$A$2:$D$21,4,FALSE)</f>
        <v>CNG</v>
      </c>
      <c r="W535" s="3">
        <f ca="1">VLOOKUP(V535,Fuel_Rates!$A$2:$B$3,2,FALSE)</f>
        <v>78</v>
      </c>
      <c r="X535" s="3">
        <f t="shared" ca="1" si="148"/>
        <v>65.11</v>
      </c>
      <c r="Y535" s="3">
        <f t="shared" ca="1" si="149"/>
        <v>53542</v>
      </c>
      <c r="Z535" s="3" t="str">
        <f t="shared" ca="1" si="150"/>
        <v>Aug</v>
      </c>
      <c r="AA535" s="3" t="str">
        <f t="shared" ca="1" si="151"/>
        <v>Q3</v>
      </c>
      <c r="AB535" s="4" t="str">
        <f t="shared" ca="1" si="152"/>
        <v>Medium Haul</v>
      </c>
    </row>
    <row r="536" spans="1:28" x14ac:dyDescent="0.3">
      <c r="A536" s="8" t="str">
        <f t="shared" si="147"/>
        <v>S0535</v>
      </c>
      <c r="B536" s="3">
        <f t="shared" ca="1" si="136"/>
        <v>45906</v>
      </c>
      <c r="C536" s="3" t="str">
        <f ca="1">INDEX(Customers!$A$2:$A$21,RANDBETWEEN(1,20))</f>
        <v>C008</v>
      </c>
      <c r="D536" s="3" t="str">
        <f ca="1">INDEX(Routes!$A$2:$A$31,RANDBETWEEN(1,30))</f>
        <v>R005</v>
      </c>
      <c r="E536" s="3" t="str">
        <f ca="1">INDEX(Vehicles!$A$2:$A$21,RANDBETWEEN(1,20))</f>
        <v>V020</v>
      </c>
      <c r="F536" s="3" t="str">
        <f ca="1">INDEX(Drivers!$A$2:$A$31,RANDBETWEEN(1,30))</f>
        <v>D016</v>
      </c>
      <c r="G536" s="3">
        <f t="shared" ca="1" si="137"/>
        <v>2.4</v>
      </c>
      <c r="H536" s="3">
        <f t="shared" ca="1" si="138"/>
        <v>9857</v>
      </c>
      <c r="I536" s="3">
        <f t="shared" ca="1" si="139"/>
        <v>2760</v>
      </c>
      <c r="J536" s="3">
        <f t="shared" ca="1" si="140"/>
        <v>968</v>
      </c>
      <c r="K536" s="3">
        <f t="shared" ca="1" si="141"/>
        <v>11</v>
      </c>
      <c r="L536" s="3">
        <f t="shared" ca="1" si="142"/>
        <v>17</v>
      </c>
      <c r="M536" s="3">
        <f t="shared" ca="1" si="143"/>
        <v>6</v>
      </c>
      <c r="N536" s="3" t="str">
        <f t="shared" ca="1" si="144"/>
        <v>Delayed</v>
      </c>
      <c r="O536" s="3" t="str">
        <f t="shared" ca="1" si="145"/>
        <v>Medium</v>
      </c>
      <c r="P536" s="3">
        <f t="shared" ca="1" si="146"/>
        <v>8</v>
      </c>
      <c r="Q536" s="1" t="str">
        <f ca="1">VLOOKUP(D536,Routes!$A$2:$D$31,2,FALSE)</f>
        <v>Delhi</v>
      </c>
      <c r="R536" s="1" t="str">
        <f ca="1">VLOOKUP(D536,Routes!$A$2:$D$31,3,FALSE)</f>
        <v>Jaipur</v>
      </c>
      <c r="S536" s="3">
        <f ca="1">VLOOKUP(D536,Routes!$A$2:$D$31,4,FALSE)</f>
        <v>280</v>
      </c>
      <c r="T536" s="3" t="str">
        <f ca="1">VLOOKUP(E536,Vehicles!$A$2:$D$21,2,FALSE)</f>
        <v>Container</v>
      </c>
      <c r="U536" s="3">
        <f ca="1">VLOOKUP(E536,Vehicles!$A$2:$D$21,3,FALSE)</f>
        <v>28</v>
      </c>
      <c r="V536" s="3" t="str">
        <f ca="1">VLOOKUP(E536,Vehicles!$A$2:$D$21,4,FALSE)</f>
        <v>Diesel</v>
      </c>
      <c r="W536" s="3">
        <f ca="1">VLOOKUP(V536,Fuel_Rates!$A$2:$B$3,2,FALSE)</f>
        <v>95</v>
      </c>
      <c r="X536" s="3">
        <f t="shared" ca="1" si="148"/>
        <v>35.200000000000003</v>
      </c>
      <c r="Y536" s="3">
        <f t="shared" ca="1" si="149"/>
        <v>13585</v>
      </c>
      <c r="Z536" s="3" t="str">
        <f t="shared" ca="1" si="150"/>
        <v>Sep</v>
      </c>
      <c r="AA536" s="3" t="str">
        <f t="shared" ca="1" si="151"/>
        <v>Q3</v>
      </c>
      <c r="AB536" s="4" t="str">
        <f t="shared" ca="1" si="152"/>
        <v>Short Haul</v>
      </c>
    </row>
    <row r="537" spans="1:28" x14ac:dyDescent="0.3">
      <c r="A537" s="8" t="str">
        <f t="shared" si="147"/>
        <v>S0536</v>
      </c>
      <c r="B537" s="3">
        <f t="shared" ca="1" si="136"/>
        <v>45740</v>
      </c>
      <c r="C537" s="3" t="str">
        <f ca="1">INDEX(Customers!$A$2:$A$21,RANDBETWEEN(1,20))</f>
        <v>C014</v>
      </c>
      <c r="D537" s="3" t="str">
        <f ca="1">INDEX(Routes!$A$2:$A$31,RANDBETWEEN(1,30))</f>
        <v>R002</v>
      </c>
      <c r="E537" s="3" t="str">
        <f ca="1">INDEX(Vehicles!$A$2:$A$21,RANDBETWEEN(1,20))</f>
        <v>V011</v>
      </c>
      <c r="F537" s="3" t="str">
        <f ca="1">INDEX(Drivers!$A$2:$A$31,RANDBETWEEN(1,30))</f>
        <v>D011</v>
      </c>
      <c r="G537" s="3">
        <f t="shared" ca="1" si="137"/>
        <v>14.6</v>
      </c>
      <c r="H537" s="3">
        <f t="shared" ca="1" si="138"/>
        <v>34256</v>
      </c>
      <c r="I537" s="3">
        <f t="shared" ca="1" si="139"/>
        <v>9592</v>
      </c>
      <c r="J537" s="3">
        <f t="shared" ca="1" si="140"/>
        <v>3258</v>
      </c>
      <c r="K537" s="3">
        <f t="shared" ca="1" si="141"/>
        <v>29</v>
      </c>
      <c r="L537" s="3">
        <f t="shared" ca="1" si="142"/>
        <v>29</v>
      </c>
      <c r="M537" s="3">
        <f t="shared" ca="1" si="143"/>
        <v>0</v>
      </c>
      <c r="N537" s="3" t="str">
        <f t="shared" ca="1" si="144"/>
        <v>On Time</v>
      </c>
      <c r="O537" s="3" t="str">
        <f t="shared" ca="1" si="145"/>
        <v>Medium</v>
      </c>
      <c r="P537" s="3">
        <f t="shared" ca="1" si="146"/>
        <v>48.7</v>
      </c>
      <c r="Q537" s="1" t="str">
        <f ca="1">VLOOKUP(D537,Routes!$A$2:$D$31,2,FALSE)</f>
        <v>Mumbai</v>
      </c>
      <c r="R537" s="1" t="str">
        <f ca="1">VLOOKUP(D537,Routes!$A$2:$D$31,3,FALSE)</f>
        <v>Ahmedabad</v>
      </c>
      <c r="S537" s="3">
        <f ca="1">VLOOKUP(D537,Routes!$A$2:$D$31,4,FALSE)</f>
        <v>530</v>
      </c>
      <c r="T537" s="3" t="str">
        <f ca="1">VLOOKUP(E537,Vehicles!$A$2:$D$21,2,FALSE)</f>
        <v>Truck</v>
      </c>
      <c r="U537" s="3">
        <f ca="1">VLOOKUP(E537,Vehicles!$A$2:$D$21,3,FALSE)</f>
        <v>18</v>
      </c>
      <c r="V537" s="3" t="str">
        <f ca="1">VLOOKUP(E537,Vehicles!$A$2:$D$21,4,FALSE)</f>
        <v>CNG</v>
      </c>
      <c r="W537" s="3">
        <f ca="1">VLOOKUP(V537,Fuel_Rates!$A$2:$B$3,2,FALSE)</f>
        <v>78</v>
      </c>
      <c r="X537" s="3">
        <f t="shared" ca="1" si="148"/>
        <v>64.63</v>
      </c>
      <c r="Y537" s="3">
        <f t="shared" ca="1" si="149"/>
        <v>47106</v>
      </c>
      <c r="Z537" s="3" t="str">
        <f t="shared" ca="1" si="150"/>
        <v>Mar</v>
      </c>
      <c r="AA537" s="3" t="str">
        <f t="shared" ca="1" si="151"/>
        <v>Q1</v>
      </c>
      <c r="AB537" s="4" t="str">
        <f t="shared" ca="1" si="152"/>
        <v>Medium Haul</v>
      </c>
    </row>
    <row r="538" spans="1:28" x14ac:dyDescent="0.3">
      <c r="A538" s="8" t="str">
        <f t="shared" si="147"/>
        <v>S0537</v>
      </c>
      <c r="B538" s="3">
        <f t="shared" ca="1" si="136"/>
        <v>45751</v>
      </c>
      <c r="C538" s="3" t="str">
        <f ca="1">INDEX(Customers!$A$2:$A$21,RANDBETWEEN(1,20))</f>
        <v>C020</v>
      </c>
      <c r="D538" s="3" t="str">
        <f ca="1">INDEX(Routes!$A$2:$A$31,RANDBETWEEN(1,30))</f>
        <v>R008</v>
      </c>
      <c r="E538" s="3" t="str">
        <f ca="1">INDEX(Vehicles!$A$2:$A$21,RANDBETWEEN(1,20))</f>
        <v>V005</v>
      </c>
      <c r="F538" s="3" t="str">
        <f ca="1">INDEX(Drivers!$A$2:$A$31,RANDBETWEEN(1,30))</f>
        <v>D015</v>
      </c>
      <c r="G538" s="3">
        <f t="shared" ca="1" si="137"/>
        <v>15.4</v>
      </c>
      <c r="H538" s="3">
        <f t="shared" ca="1" si="138"/>
        <v>30978</v>
      </c>
      <c r="I538" s="3">
        <f t="shared" ca="1" si="139"/>
        <v>8674</v>
      </c>
      <c r="J538" s="3">
        <f t="shared" ca="1" si="140"/>
        <v>3396</v>
      </c>
      <c r="K538" s="3">
        <f t="shared" ca="1" si="141"/>
        <v>20</v>
      </c>
      <c r="L538" s="3">
        <f t="shared" ca="1" si="142"/>
        <v>20</v>
      </c>
      <c r="M538" s="3">
        <f t="shared" ca="1" si="143"/>
        <v>0</v>
      </c>
      <c r="N538" s="3" t="str">
        <f t="shared" ca="1" si="144"/>
        <v>On Time</v>
      </c>
      <c r="O538" s="3" t="str">
        <f t="shared" ca="1" si="145"/>
        <v>Medium</v>
      </c>
      <c r="P538" s="3">
        <f t="shared" ca="1" si="146"/>
        <v>51.3</v>
      </c>
      <c r="Q538" s="1" t="str">
        <f ca="1">VLOOKUP(D538,Routes!$A$2:$D$31,2,FALSE)</f>
        <v>Delhi</v>
      </c>
      <c r="R538" s="1" t="str">
        <f ca="1">VLOOKUP(D538,Routes!$A$2:$D$31,3,FALSE)</f>
        <v>Kolkata</v>
      </c>
      <c r="S538" s="3">
        <f ca="1">VLOOKUP(D538,Routes!$A$2:$D$31,4,FALSE)</f>
        <v>1500</v>
      </c>
      <c r="T538" s="3" t="str">
        <f ca="1">VLOOKUP(E538,Vehicles!$A$2:$D$21,2,FALSE)</f>
        <v>Trailer</v>
      </c>
      <c r="U538" s="3">
        <f ca="1">VLOOKUP(E538,Vehicles!$A$2:$D$21,3,FALSE)</f>
        <v>32</v>
      </c>
      <c r="V538" s="3" t="str">
        <f ca="1">VLOOKUP(E538,Vehicles!$A$2:$D$21,4,FALSE)</f>
        <v>Diesel</v>
      </c>
      <c r="W538" s="3">
        <f ca="1">VLOOKUP(V538,Fuel_Rates!$A$2:$B$3,2,FALSE)</f>
        <v>95</v>
      </c>
      <c r="X538" s="3">
        <f t="shared" ca="1" si="148"/>
        <v>20.65</v>
      </c>
      <c r="Y538" s="3">
        <f t="shared" ca="1" si="149"/>
        <v>43048</v>
      </c>
      <c r="Z538" s="3" t="str">
        <f t="shared" ca="1" si="150"/>
        <v>Apr</v>
      </c>
      <c r="AA538" s="3" t="str">
        <f t="shared" ca="1" si="151"/>
        <v>Q2</v>
      </c>
      <c r="AB538" s="4" t="str">
        <f t="shared" ca="1" si="152"/>
        <v>Long Haul</v>
      </c>
    </row>
    <row r="539" spans="1:28" x14ac:dyDescent="0.3">
      <c r="A539" s="8" t="str">
        <f t="shared" si="147"/>
        <v>S0538</v>
      </c>
      <c r="B539" s="3">
        <f t="shared" ca="1" si="136"/>
        <v>45881</v>
      </c>
      <c r="C539" s="3" t="str">
        <f ca="1">INDEX(Customers!$A$2:$A$21,RANDBETWEEN(1,20))</f>
        <v>C015</v>
      </c>
      <c r="D539" s="3" t="str">
        <f ca="1">INDEX(Routes!$A$2:$A$31,RANDBETWEEN(1,30))</f>
        <v>R012</v>
      </c>
      <c r="E539" s="3" t="str">
        <f ca="1">INDEX(Vehicles!$A$2:$A$21,RANDBETWEEN(1,20))</f>
        <v>V013</v>
      </c>
      <c r="F539" s="3" t="str">
        <f ca="1">INDEX(Drivers!$A$2:$A$31,RANDBETWEEN(1,30))</f>
        <v>D007</v>
      </c>
      <c r="G539" s="3">
        <f t="shared" ca="1" si="137"/>
        <v>21.8</v>
      </c>
      <c r="H539" s="3">
        <f t="shared" ca="1" si="138"/>
        <v>42992</v>
      </c>
      <c r="I539" s="3">
        <f t="shared" ca="1" si="139"/>
        <v>12038</v>
      </c>
      <c r="J539" s="3">
        <f t="shared" ca="1" si="140"/>
        <v>1981</v>
      </c>
      <c r="K539" s="3">
        <f t="shared" ca="1" si="141"/>
        <v>24</v>
      </c>
      <c r="L539" s="3">
        <f t="shared" ca="1" si="142"/>
        <v>26</v>
      </c>
      <c r="M539" s="3">
        <f t="shared" ca="1" si="143"/>
        <v>2</v>
      </c>
      <c r="N539" s="3" t="str">
        <f t="shared" ca="1" si="144"/>
        <v>On Time</v>
      </c>
      <c r="O539" s="3" t="str">
        <f t="shared" ca="1" si="145"/>
        <v>Low</v>
      </c>
      <c r="P539" s="3">
        <f t="shared" ca="1" si="146"/>
        <v>72.7</v>
      </c>
      <c r="Q539" s="1" t="str">
        <f ca="1">VLOOKUP(D539,Routes!$A$2:$D$31,2,FALSE)</f>
        <v>Chennai</v>
      </c>
      <c r="R539" s="1" t="str">
        <f ca="1">VLOOKUP(D539,Routes!$A$2:$D$31,3,FALSE)</f>
        <v>Coimbatore</v>
      </c>
      <c r="S539" s="3">
        <f ca="1">VLOOKUP(D539,Routes!$A$2:$D$31,4,FALSE)</f>
        <v>500</v>
      </c>
      <c r="T539" s="3" t="str">
        <f ca="1">VLOOKUP(E539,Vehicles!$A$2:$D$21,2,FALSE)</f>
        <v>LCV</v>
      </c>
      <c r="U539" s="3">
        <f ca="1">VLOOKUP(E539,Vehicles!$A$2:$D$21,3,FALSE)</f>
        <v>4</v>
      </c>
      <c r="V539" s="3" t="str">
        <f ca="1">VLOOKUP(E539,Vehicles!$A$2:$D$21,4,FALSE)</f>
        <v>CNG</v>
      </c>
      <c r="W539" s="3">
        <f ca="1">VLOOKUP(V539,Fuel_Rates!$A$2:$B$3,2,FALSE)</f>
        <v>78</v>
      </c>
      <c r="X539" s="3">
        <f t="shared" ca="1" si="148"/>
        <v>85.98</v>
      </c>
      <c r="Y539" s="3">
        <f t="shared" ca="1" si="149"/>
        <v>57011</v>
      </c>
      <c r="Z539" s="3" t="str">
        <f t="shared" ca="1" si="150"/>
        <v>Aug</v>
      </c>
      <c r="AA539" s="3" t="str">
        <f t="shared" ca="1" si="151"/>
        <v>Q3</v>
      </c>
      <c r="AB539" s="4" t="str">
        <f t="shared" ca="1" si="152"/>
        <v>Medium Haul</v>
      </c>
    </row>
    <row r="540" spans="1:28" x14ac:dyDescent="0.3">
      <c r="A540" s="8" t="str">
        <f t="shared" si="147"/>
        <v>S0539</v>
      </c>
      <c r="B540" s="3">
        <f t="shared" ca="1" si="136"/>
        <v>45813</v>
      </c>
      <c r="C540" s="3" t="str">
        <f ca="1">INDEX(Customers!$A$2:$A$21,RANDBETWEEN(1,20))</f>
        <v>C011</v>
      </c>
      <c r="D540" s="3" t="str">
        <f ca="1">INDEX(Routes!$A$2:$A$31,RANDBETWEEN(1,30))</f>
        <v>R016</v>
      </c>
      <c r="E540" s="3" t="str">
        <f ca="1">INDEX(Vehicles!$A$2:$A$21,RANDBETWEEN(1,20))</f>
        <v>V018</v>
      </c>
      <c r="F540" s="3" t="str">
        <f ca="1">INDEX(Drivers!$A$2:$A$31,RANDBETWEEN(1,30))</f>
        <v>D027</v>
      </c>
      <c r="G540" s="3">
        <f t="shared" ca="1" si="137"/>
        <v>15.3</v>
      </c>
      <c r="H540" s="3">
        <f t="shared" ca="1" si="138"/>
        <v>38324</v>
      </c>
      <c r="I540" s="3">
        <f t="shared" ca="1" si="139"/>
        <v>10731</v>
      </c>
      <c r="J540" s="3">
        <f t="shared" ca="1" si="140"/>
        <v>3845</v>
      </c>
      <c r="K540" s="3">
        <f t="shared" ca="1" si="141"/>
        <v>19</v>
      </c>
      <c r="L540" s="3">
        <f t="shared" ca="1" si="142"/>
        <v>20</v>
      </c>
      <c r="M540" s="3">
        <f t="shared" ca="1" si="143"/>
        <v>1</v>
      </c>
      <c r="N540" s="3" t="str">
        <f t="shared" ca="1" si="144"/>
        <v>On Time</v>
      </c>
      <c r="O540" s="3" t="str">
        <f t="shared" ca="1" si="145"/>
        <v>Low</v>
      </c>
      <c r="P540" s="3">
        <f t="shared" ca="1" si="146"/>
        <v>51</v>
      </c>
      <c r="Q540" s="1" t="str">
        <f ca="1">VLOOKUP(D540,Routes!$A$2:$D$31,2,FALSE)</f>
        <v>Kolkata</v>
      </c>
      <c r="R540" s="1" t="str">
        <f ca="1">VLOOKUP(D540,Routes!$A$2:$D$31,3,FALSE)</f>
        <v>Bhubaneswar</v>
      </c>
      <c r="S540" s="3">
        <f ca="1">VLOOKUP(D540,Routes!$A$2:$D$31,4,FALSE)</f>
        <v>440</v>
      </c>
      <c r="T540" s="3" t="str">
        <f ca="1">VLOOKUP(E540,Vehicles!$A$2:$D$21,2,FALSE)</f>
        <v>Truck</v>
      </c>
      <c r="U540" s="3">
        <f ca="1">VLOOKUP(E540,Vehicles!$A$2:$D$21,3,FALSE)</f>
        <v>26</v>
      </c>
      <c r="V540" s="3" t="str">
        <f ca="1">VLOOKUP(E540,Vehicles!$A$2:$D$21,4,FALSE)</f>
        <v>Diesel</v>
      </c>
      <c r="W540" s="3">
        <f ca="1">VLOOKUP(V540,Fuel_Rates!$A$2:$B$3,2,FALSE)</f>
        <v>95</v>
      </c>
      <c r="X540" s="3">
        <f t="shared" ca="1" si="148"/>
        <v>87.1</v>
      </c>
      <c r="Y540" s="3">
        <f t="shared" ca="1" si="149"/>
        <v>52900</v>
      </c>
      <c r="Z540" s="3" t="str">
        <f t="shared" ca="1" si="150"/>
        <v>Jun</v>
      </c>
      <c r="AA540" s="3" t="str">
        <f t="shared" ca="1" si="151"/>
        <v>Q2</v>
      </c>
      <c r="AB540" s="4" t="str">
        <f t="shared" ca="1" si="152"/>
        <v>Medium Haul</v>
      </c>
    </row>
    <row r="541" spans="1:28" x14ac:dyDescent="0.3">
      <c r="A541" s="8" t="str">
        <f t="shared" si="147"/>
        <v>S0540</v>
      </c>
      <c r="B541" s="3">
        <f t="shared" ca="1" si="136"/>
        <v>45854</v>
      </c>
      <c r="C541" s="3" t="str">
        <f ca="1">INDEX(Customers!$A$2:$A$21,RANDBETWEEN(1,20))</f>
        <v>C003</v>
      </c>
      <c r="D541" s="3" t="str">
        <f ca="1">INDEX(Routes!$A$2:$A$31,RANDBETWEEN(1,30))</f>
        <v>R025</v>
      </c>
      <c r="E541" s="3" t="str">
        <f ca="1">INDEX(Vehicles!$A$2:$A$21,RANDBETWEEN(1,20))</f>
        <v>V014</v>
      </c>
      <c r="F541" s="3" t="str">
        <f ca="1">INDEX(Drivers!$A$2:$A$31,RANDBETWEEN(1,30))</f>
        <v>D013</v>
      </c>
      <c r="G541" s="3">
        <f t="shared" ca="1" si="137"/>
        <v>28</v>
      </c>
      <c r="H541" s="3">
        <f t="shared" ca="1" si="138"/>
        <v>55739</v>
      </c>
      <c r="I541" s="3">
        <f t="shared" ca="1" si="139"/>
        <v>15607</v>
      </c>
      <c r="J541" s="3">
        <f t="shared" ca="1" si="140"/>
        <v>1371</v>
      </c>
      <c r="K541" s="3">
        <f t="shared" ca="1" si="141"/>
        <v>6</v>
      </c>
      <c r="L541" s="3">
        <f t="shared" ca="1" si="142"/>
        <v>7</v>
      </c>
      <c r="M541" s="3">
        <f t="shared" ca="1" si="143"/>
        <v>1</v>
      </c>
      <c r="N541" s="3" t="str">
        <f t="shared" ca="1" si="144"/>
        <v>On Time</v>
      </c>
      <c r="O541" s="3" t="str">
        <f t="shared" ca="1" si="145"/>
        <v>Low</v>
      </c>
      <c r="P541" s="3">
        <f t="shared" ca="1" si="146"/>
        <v>93.3</v>
      </c>
      <c r="Q541" s="1" t="str">
        <f ca="1">VLOOKUP(D541,Routes!$A$2:$D$31,2,FALSE)</f>
        <v>Visakhapatnam</v>
      </c>
      <c r="R541" s="1" t="str">
        <f ca="1">VLOOKUP(D541,Routes!$A$2:$D$31,3,FALSE)</f>
        <v>Hyderabad</v>
      </c>
      <c r="S541" s="3">
        <f ca="1">VLOOKUP(D541,Routes!$A$2:$D$31,4,FALSE)</f>
        <v>620</v>
      </c>
      <c r="T541" s="3" t="str">
        <f ca="1">VLOOKUP(E541,Vehicles!$A$2:$D$21,2,FALSE)</f>
        <v>LCV</v>
      </c>
      <c r="U541" s="3">
        <f ca="1">VLOOKUP(E541,Vehicles!$A$2:$D$21,3,FALSE)</f>
        <v>6</v>
      </c>
      <c r="V541" s="3" t="str">
        <f ca="1">VLOOKUP(E541,Vehicles!$A$2:$D$21,4,FALSE)</f>
        <v>CNG</v>
      </c>
      <c r="W541" s="3">
        <f ca="1">VLOOKUP(V541,Fuel_Rates!$A$2:$B$3,2,FALSE)</f>
        <v>78</v>
      </c>
      <c r="X541" s="3">
        <f t="shared" ca="1" si="148"/>
        <v>89.9</v>
      </c>
      <c r="Y541" s="3">
        <f t="shared" ca="1" si="149"/>
        <v>72717</v>
      </c>
      <c r="Z541" s="3" t="str">
        <f t="shared" ca="1" si="150"/>
        <v>Jul</v>
      </c>
      <c r="AA541" s="3" t="str">
        <f t="shared" ca="1" si="151"/>
        <v>Q3</v>
      </c>
      <c r="AB541" s="4" t="str">
        <f t="shared" ca="1" si="152"/>
        <v>Medium Haul</v>
      </c>
    </row>
    <row r="542" spans="1:28" x14ac:dyDescent="0.3">
      <c r="A542" s="8" t="str">
        <f t="shared" si="147"/>
        <v>S0541</v>
      </c>
      <c r="B542" s="3">
        <f t="shared" ca="1" si="136"/>
        <v>45696</v>
      </c>
      <c r="C542" s="3" t="str">
        <f ca="1">INDEX(Customers!$A$2:$A$21,RANDBETWEEN(1,20))</f>
        <v>C002</v>
      </c>
      <c r="D542" s="3" t="str">
        <f ca="1">INDEX(Routes!$A$2:$A$31,RANDBETWEEN(1,30))</f>
        <v>R004</v>
      </c>
      <c r="E542" s="3" t="str">
        <f ca="1">INDEX(Vehicles!$A$2:$A$21,RANDBETWEEN(1,20))</f>
        <v>V014</v>
      </c>
      <c r="F542" s="3" t="str">
        <f ca="1">INDEX(Drivers!$A$2:$A$31,RANDBETWEEN(1,30))</f>
        <v>D024</v>
      </c>
      <c r="G542" s="3">
        <f t="shared" ca="1" si="137"/>
        <v>26.4</v>
      </c>
      <c r="H542" s="3">
        <f t="shared" ca="1" si="138"/>
        <v>60627</v>
      </c>
      <c r="I542" s="3">
        <f t="shared" ca="1" si="139"/>
        <v>16976</v>
      </c>
      <c r="J542" s="3">
        <f t="shared" ca="1" si="140"/>
        <v>3114</v>
      </c>
      <c r="K542" s="3">
        <f t="shared" ca="1" si="141"/>
        <v>8</v>
      </c>
      <c r="L542" s="3">
        <f t="shared" ca="1" si="142"/>
        <v>14</v>
      </c>
      <c r="M542" s="3">
        <f t="shared" ca="1" si="143"/>
        <v>6</v>
      </c>
      <c r="N542" s="3" t="str">
        <f t="shared" ca="1" si="144"/>
        <v>Delayed</v>
      </c>
      <c r="O542" s="3" t="str">
        <f t="shared" ca="1" si="145"/>
        <v>Medium</v>
      </c>
      <c r="P542" s="3">
        <f t="shared" ca="1" si="146"/>
        <v>88</v>
      </c>
      <c r="Q542" s="1" t="str">
        <f ca="1">VLOOKUP(D542,Routes!$A$2:$D$31,2,FALSE)</f>
        <v>Mumbai</v>
      </c>
      <c r="R542" s="1" t="str">
        <f ca="1">VLOOKUP(D542,Routes!$A$2:$D$31,3,FALSE)</f>
        <v>Bengaluru</v>
      </c>
      <c r="S542" s="3">
        <f ca="1">VLOOKUP(D542,Routes!$A$2:$D$31,4,FALSE)</f>
        <v>980</v>
      </c>
      <c r="T542" s="3" t="str">
        <f ca="1">VLOOKUP(E542,Vehicles!$A$2:$D$21,2,FALSE)</f>
        <v>LCV</v>
      </c>
      <c r="U542" s="3">
        <f ca="1">VLOOKUP(E542,Vehicles!$A$2:$D$21,3,FALSE)</f>
        <v>6</v>
      </c>
      <c r="V542" s="3" t="str">
        <f ca="1">VLOOKUP(E542,Vehicles!$A$2:$D$21,4,FALSE)</f>
        <v>CNG</v>
      </c>
      <c r="W542" s="3">
        <f ca="1">VLOOKUP(V542,Fuel_Rates!$A$2:$B$3,2,FALSE)</f>
        <v>78</v>
      </c>
      <c r="X542" s="3">
        <f t="shared" ca="1" si="148"/>
        <v>61.86</v>
      </c>
      <c r="Y542" s="3">
        <f t="shared" ca="1" si="149"/>
        <v>80717</v>
      </c>
      <c r="Z542" s="3" t="str">
        <f t="shared" ca="1" si="150"/>
        <v>Feb</v>
      </c>
      <c r="AA542" s="3" t="str">
        <f t="shared" ca="1" si="151"/>
        <v>Q1</v>
      </c>
      <c r="AB542" s="4" t="str">
        <f t="shared" ca="1" si="152"/>
        <v>Long Haul</v>
      </c>
    </row>
    <row r="543" spans="1:28" x14ac:dyDescent="0.3">
      <c r="A543" s="8" t="str">
        <f t="shared" si="147"/>
        <v>S0542</v>
      </c>
      <c r="B543" s="3">
        <f t="shared" ca="1" si="136"/>
        <v>45866</v>
      </c>
      <c r="C543" s="3" t="str">
        <f ca="1">INDEX(Customers!$A$2:$A$21,RANDBETWEEN(1,20))</f>
        <v>C014</v>
      </c>
      <c r="D543" s="3" t="str">
        <f ca="1">INDEX(Routes!$A$2:$A$31,RANDBETWEEN(1,30))</f>
        <v>R003</v>
      </c>
      <c r="E543" s="3" t="str">
        <f ca="1">INDEX(Vehicles!$A$2:$A$21,RANDBETWEEN(1,20))</f>
        <v>V014</v>
      </c>
      <c r="F543" s="3" t="str">
        <f ca="1">INDEX(Drivers!$A$2:$A$31,RANDBETWEEN(1,30))</f>
        <v>D007</v>
      </c>
      <c r="G543" s="3">
        <f t="shared" ca="1" si="137"/>
        <v>27.6</v>
      </c>
      <c r="H543" s="3">
        <f t="shared" ca="1" si="138"/>
        <v>53253</v>
      </c>
      <c r="I543" s="3">
        <f t="shared" ca="1" si="139"/>
        <v>14911</v>
      </c>
      <c r="J543" s="3">
        <f t="shared" ca="1" si="140"/>
        <v>2863</v>
      </c>
      <c r="K543" s="3">
        <f t="shared" ca="1" si="141"/>
        <v>8</v>
      </c>
      <c r="L543" s="3">
        <f t="shared" ca="1" si="142"/>
        <v>15</v>
      </c>
      <c r="M543" s="3">
        <f t="shared" ca="1" si="143"/>
        <v>7</v>
      </c>
      <c r="N543" s="3" t="str">
        <f t="shared" ca="1" si="144"/>
        <v>Delayed</v>
      </c>
      <c r="O543" s="3" t="str">
        <f t="shared" ca="1" si="145"/>
        <v>Low</v>
      </c>
      <c r="P543" s="3">
        <f t="shared" ca="1" si="146"/>
        <v>92</v>
      </c>
      <c r="Q543" s="1" t="str">
        <f ca="1">VLOOKUP(D543,Routes!$A$2:$D$31,2,FALSE)</f>
        <v>Mumbai</v>
      </c>
      <c r="R543" s="1" t="str">
        <f ca="1">VLOOKUP(D543,Routes!$A$2:$D$31,3,FALSE)</f>
        <v>Delhi</v>
      </c>
      <c r="S543" s="3">
        <f ca="1">VLOOKUP(D543,Routes!$A$2:$D$31,4,FALSE)</f>
        <v>1450</v>
      </c>
      <c r="T543" s="3" t="str">
        <f ca="1">VLOOKUP(E543,Vehicles!$A$2:$D$21,2,FALSE)</f>
        <v>LCV</v>
      </c>
      <c r="U543" s="3">
        <f ca="1">VLOOKUP(E543,Vehicles!$A$2:$D$21,3,FALSE)</f>
        <v>6</v>
      </c>
      <c r="V543" s="3" t="str">
        <f ca="1">VLOOKUP(E543,Vehicles!$A$2:$D$21,4,FALSE)</f>
        <v>CNG</v>
      </c>
      <c r="W543" s="3">
        <f ca="1">VLOOKUP(V543,Fuel_Rates!$A$2:$B$3,2,FALSE)</f>
        <v>78</v>
      </c>
      <c r="X543" s="3">
        <f t="shared" ca="1" si="148"/>
        <v>36.729999999999997</v>
      </c>
      <c r="Y543" s="3">
        <f t="shared" ca="1" si="149"/>
        <v>71027</v>
      </c>
      <c r="Z543" s="3" t="str">
        <f t="shared" ca="1" si="150"/>
        <v>Jul</v>
      </c>
      <c r="AA543" s="3" t="str">
        <f t="shared" ca="1" si="151"/>
        <v>Q3</v>
      </c>
      <c r="AB543" s="4" t="str">
        <f t="shared" ca="1" si="152"/>
        <v>Long Haul</v>
      </c>
    </row>
    <row r="544" spans="1:28" x14ac:dyDescent="0.3">
      <c r="A544" s="8" t="str">
        <f t="shared" si="147"/>
        <v>S0543</v>
      </c>
      <c r="B544" s="3">
        <f t="shared" ca="1" si="136"/>
        <v>45851</v>
      </c>
      <c r="C544" s="3" t="str">
        <f ca="1">INDEX(Customers!$A$2:$A$21,RANDBETWEEN(1,20))</f>
        <v>C013</v>
      </c>
      <c r="D544" s="3" t="str">
        <f ca="1">INDEX(Routes!$A$2:$A$31,RANDBETWEEN(1,30))</f>
        <v>R011</v>
      </c>
      <c r="E544" s="3" t="str">
        <f ca="1">INDEX(Vehicles!$A$2:$A$21,RANDBETWEEN(1,20))</f>
        <v>V004</v>
      </c>
      <c r="F544" s="3" t="str">
        <f ca="1">INDEX(Drivers!$A$2:$A$31,RANDBETWEEN(1,30))</f>
        <v>D005</v>
      </c>
      <c r="G544" s="3">
        <f t="shared" ca="1" si="137"/>
        <v>4.0999999999999996</v>
      </c>
      <c r="H544" s="3">
        <f t="shared" ca="1" si="138"/>
        <v>13907</v>
      </c>
      <c r="I544" s="3">
        <f t="shared" ca="1" si="139"/>
        <v>3894</v>
      </c>
      <c r="J544" s="3">
        <f t="shared" ca="1" si="140"/>
        <v>3832</v>
      </c>
      <c r="K544" s="3">
        <f t="shared" ca="1" si="141"/>
        <v>14</v>
      </c>
      <c r="L544" s="3">
        <f t="shared" ca="1" si="142"/>
        <v>19</v>
      </c>
      <c r="M544" s="3">
        <f t="shared" ca="1" si="143"/>
        <v>5</v>
      </c>
      <c r="N544" s="3" t="str">
        <f t="shared" ca="1" si="144"/>
        <v>Delayed</v>
      </c>
      <c r="O544" s="3" t="str">
        <f t="shared" ca="1" si="145"/>
        <v>Medium</v>
      </c>
      <c r="P544" s="3">
        <f t="shared" ca="1" si="146"/>
        <v>13.7</v>
      </c>
      <c r="Q544" s="1" t="str">
        <f ca="1">VLOOKUP(D544,Routes!$A$2:$D$31,2,FALSE)</f>
        <v>Bengaluru</v>
      </c>
      <c r="R544" s="1" t="str">
        <f ca="1">VLOOKUP(D544,Routes!$A$2:$D$31,3,FALSE)</f>
        <v>Kochi</v>
      </c>
      <c r="S544" s="3">
        <f ca="1">VLOOKUP(D544,Routes!$A$2:$D$31,4,FALSE)</f>
        <v>550</v>
      </c>
      <c r="T544" s="3" t="str">
        <f ca="1">VLOOKUP(E544,Vehicles!$A$2:$D$21,2,FALSE)</f>
        <v>Trailer</v>
      </c>
      <c r="U544" s="3">
        <f ca="1">VLOOKUP(E544,Vehicles!$A$2:$D$21,3,FALSE)</f>
        <v>28</v>
      </c>
      <c r="V544" s="3" t="str">
        <f ca="1">VLOOKUP(E544,Vehicles!$A$2:$D$21,4,FALSE)</f>
        <v>Diesel</v>
      </c>
      <c r="W544" s="3">
        <f ca="1">VLOOKUP(V544,Fuel_Rates!$A$2:$B$3,2,FALSE)</f>
        <v>95</v>
      </c>
      <c r="X544" s="3">
        <f t="shared" ca="1" si="148"/>
        <v>25.29</v>
      </c>
      <c r="Y544" s="3">
        <f t="shared" ca="1" si="149"/>
        <v>21633</v>
      </c>
      <c r="Z544" s="3" t="str">
        <f t="shared" ca="1" si="150"/>
        <v>Jul</v>
      </c>
      <c r="AA544" s="3" t="str">
        <f t="shared" ca="1" si="151"/>
        <v>Q3</v>
      </c>
      <c r="AB544" s="4" t="str">
        <f t="shared" ca="1" si="152"/>
        <v>Medium Haul</v>
      </c>
    </row>
    <row r="545" spans="1:28" x14ac:dyDescent="0.3">
      <c r="A545" s="8" t="str">
        <f t="shared" si="147"/>
        <v>S0544</v>
      </c>
      <c r="B545" s="3">
        <f t="shared" ca="1" si="136"/>
        <v>45896</v>
      </c>
      <c r="C545" s="3" t="str">
        <f ca="1">INDEX(Customers!$A$2:$A$21,RANDBETWEEN(1,20))</f>
        <v>C019</v>
      </c>
      <c r="D545" s="3" t="str">
        <f ca="1">INDEX(Routes!$A$2:$A$31,RANDBETWEEN(1,30))</f>
        <v>R002</v>
      </c>
      <c r="E545" s="3" t="str">
        <f ca="1">INDEX(Vehicles!$A$2:$A$21,RANDBETWEEN(1,20))</f>
        <v>V004</v>
      </c>
      <c r="F545" s="3" t="str">
        <f ca="1">INDEX(Drivers!$A$2:$A$31,RANDBETWEEN(1,30))</f>
        <v>D014</v>
      </c>
      <c r="G545" s="3">
        <f t="shared" ca="1" si="137"/>
        <v>12</v>
      </c>
      <c r="H545" s="3">
        <f t="shared" ca="1" si="138"/>
        <v>27667</v>
      </c>
      <c r="I545" s="3">
        <f t="shared" ca="1" si="139"/>
        <v>7747</v>
      </c>
      <c r="J545" s="3">
        <f t="shared" ca="1" si="140"/>
        <v>761</v>
      </c>
      <c r="K545" s="3">
        <f t="shared" ca="1" si="141"/>
        <v>20</v>
      </c>
      <c r="L545" s="3">
        <f t="shared" ca="1" si="142"/>
        <v>22</v>
      </c>
      <c r="M545" s="3">
        <f t="shared" ca="1" si="143"/>
        <v>2</v>
      </c>
      <c r="N545" s="3" t="str">
        <f t="shared" ca="1" si="144"/>
        <v>On Time</v>
      </c>
      <c r="O545" s="3" t="str">
        <f t="shared" ca="1" si="145"/>
        <v>Medium</v>
      </c>
      <c r="P545" s="3">
        <f t="shared" ca="1" si="146"/>
        <v>40</v>
      </c>
      <c r="Q545" s="1" t="str">
        <f ca="1">VLOOKUP(D545,Routes!$A$2:$D$31,2,FALSE)</f>
        <v>Mumbai</v>
      </c>
      <c r="R545" s="1" t="str">
        <f ca="1">VLOOKUP(D545,Routes!$A$2:$D$31,3,FALSE)</f>
        <v>Ahmedabad</v>
      </c>
      <c r="S545" s="3">
        <f ca="1">VLOOKUP(D545,Routes!$A$2:$D$31,4,FALSE)</f>
        <v>530</v>
      </c>
      <c r="T545" s="3" t="str">
        <f ca="1">VLOOKUP(E545,Vehicles!$A$2:$D$21,2,FALSE)</f>
        <v>Trailer</v>
      </c>
      <c r="U545" s="3">
        <f ca="1">VLOOKUP(E545,Vehicles!$A$2:$D$21,3,FALSE)</f>
        <v>28</v>
      </c>
      <c r="V545" s="3" t="str">
        <f ca="1">VLOOKUP(E545,Vehicles!$A$2:$D$21,4,FALSE)</f>
        <v>Diesel</v>
      </c>
      <c r="W545" s="3">
        <f ca="1">VLOOKUP(V545,Fuel_Rates!$A$2:$B$3,2,FALSE)</f>
        <v>95</v>
      </c>
      <c r="X545" s="3">
        <f t="shared" ca="1" si="148"/>
        <v>52.2</v>
      </c>
      <c r="Y545" s="3">
        <f t="shared" ca="1" si="149"/>
        <v>36175</v>
      </c>
      <c r="Z545" s="3" t="str">
        <f t="shared" ca="1" si="150"/>
        <v>Aug</v>
      </c>
      <c r="AA545" s="3" t="str">
        <f t="shared" ca="1" si="151"/>
        <v>Q3</v>
      </c>
      <c r="AB545" s="4" t="str">
        <f t="shared" ca="1" si="152"/>
        <v>Medium Haul</v>
      </c>
    </row>
    <row r="546" spans="1:28" x14ac:dyDescent="0.3">
      <c r="A546" s="8" t="str">
        <f t="shared" si="147"/>
        <v>S0545</v>
      </c>
      <c r="B546" s="3">
        <f t="shared" ca="1" si="136"/>
        <v>45684</v>
      </c>
      <c r="C546" s="3" t="str">
        <f ca="1">INDEX(Customers!$A$2:$A$21,RANDBETWEEN(1,20))</f>
        <v>C019</v>
      </c>
      <c r="D546" s="3" t="str">
        <f ca="1">INDEX(Routes!$A$2:$A$31,RANDBETWEEN(1,30))</f>
        <v>R011</v>
      </c>
      <c r="E546" s="3" t="str">
        <f ca="1">INDEX(Vehicles!$A$2:$A$21,RANDBETWEEN(1,20))</f>
        <v>V016</v>
      </c>
      <c r="F546" s="3" t="str">
        <f ca="1">INDEX(Drivers!$A$2:$A$31,RANDBETWEEN(1,30))</f>
        <v>D022</v>
      </c>
      <c r="G546" s="3">
        <f t="shared" ca="1" si="137"/>
        <v>14.5</v>
      </c>
      <c r="H546" s="3">
        <f t="shared" ca="1" si="138"/>
        <v>37018</v>
      </c>
      <c r="I546" s="3">
        <f t="shared" ca="1" si="139"/>
        <v>10365</v>
      </c>
      <c r="J546" s="3">
        <f t="shared" ca="1" si="140"/>
        <v>3565</v>
      </c>
      <c r="K546" s="3">
        <f t="shared" ca="1" si="141"/>
        <v>36</v>
      </c>
      <c r="L546" s="3">
        <f t="shared" ca="1" si="142"/>
        <v>44</v>
      </c>
      <c r="M546" s="3">
        <f t="shared" ca="1" si="143"/>
        <v>8</v>
      </c>
      <c r="N546" s="3" t="str">
        <f t="shared" ca="1" si="144"/>
        <v>Delayed</v>
      </c>
      <c r="O546" s="3" t="str">
        <f t="shared" ca="1" si="145"/>
        <v>Low</v>
      </c>
      <c r="P546" s="3">
        <f t="shared" ca="1" si="146"/>
        <v>48.3</v>
      </c>
      <c r="Q546" s="1" t="str">
        <f ca="1">VLOOKUP(D546,Routes!$A$2:$D$31,2,FALSE)</f>
        <v>Bengaluru</v>
      </c>
      <c r="R546" s="1" t="str">
        <f ca="1">VLOOKUP(D546,Routes!$A$2:$D$31,3,FALSE)</f>
        <v>Kochi</v>
      </c>
      <c r="S546" s="3">
        <f ca="1">VLOOKUP(D546,Routes!$A$2:$D$31,4,FALSE)</f>
        <v>550</v>
      </c>
      <c r="T546" s="3" t="str">
        <f ca="1">VLOOKUP(E546,Vehicles!$A$2:$D$21,2,FALSE)</f>
        <v>Container</v>
      </c>
      <c r="U546" s="3">
        <f ca="1">VLOOKUP(E546,Vehicles!$A$2:$D$21,3,FALSE)</f>
        <v>22</v>
      </c>
      <c r="V546" s="3" t="str">
        <f ca="1">VLOOKUP(E546,Vehicles!$A$2:$D$21,4,FALSE)</f>
        <v>Diesel</v>
      </c>
      <c r="W546" s="3">
        <f ca="1">VLOOKUP(V546,Fuel_Rates!$A$2:$B$3,2,FALSE)</f>
        <v>95</v>
      </c>
      <c r="X546" s="3">
        <f t="shared" ca="1" si="148"/>
        <v>67.31</v>
      </c>
      <c r="Y546" s="3">
        <f t="shared" ca="1" si="149"/>
        <v>50948</v>
      </c>
      <c r="Z546" s="3" t="str">
        <f t="shared" ca="1" si="150"/>
        <v>Jan</v>
      </c>
      <c r="AA546" s="3" t="str">
        <f t="shared" ca="1" si="151"/>
        <v>Q1</v>
      </c>
      <c r="AB546" s="4" t="str">
        <f t="shared" ca="1" si="152"/>
        <v>Medium Haul</v>
      </c>
    </row>
    <row r="547" spans="1:28" x14ac:dyDescent="0.3">
      <c r="A547" s="8" t="str">
        <f t="shared" si="147"/>
        <v>S0546</v>
      </c>
      <c r="B547" s="3">
        <f t="shared" ca="1" si="136"/>
        <v>45923</v>
      </c>
      <c r="C547" s="3" t="str">
        <f ca="1">INDEX(Customers!$A$2:$A$21,RANDBETWEEN(1,20))</f>
        <v>C009</v>
      </c>
      <c r="D547" s="3" t="str">
        <f ca="1">INDEX(Routes!$A$2:$A$31,RANDBETWEEN(1,30))</f>
        <v>R008</v>
      </c>
      <c r="E547" s="3" t="str">
        <f ca="1">INDEX(Vehicles!$A$2:$A$21,RANDBETWEEN(1,20))</f>
        <v>V011</v>
      </c>
      <c r="F547" s="3" t="str">
        <f ca="1">INDEX(Drivers!$A$2:$A$31,RANDBETWEEN(1,30))</f>
        <v>D014</v>
      </c>
      <c r="G547" s="3">
        <f t="shared" ca="1" si="137"/>
        <v>4.4000000000000004</v>
      </c>
      <c r="H547" s="3">
        <f t="shared" ca="1" si="138"/>
        <v>11417</v>
      </c>
      <c r="I547" s="3">
        <f t="shared" ca="1" si="139"/>
        <v>3197</v>
      </c>
      <c r="J547" s="3">
        <f t="shared" ca="1" si="140"/>
        <v>3073</v>
      </c>
      <c r="K547" s="3">
        <f t="shared" ca="1" si="141"/>
        <v>37</v>
      </c>
      <c r="L547" s="3">
        <f t="shared" ca="1" si="142"/>
        <v>38</v>
      </c>
      <c r="M547" s="3">
        <f t="shared" ca="1" si="143"/>
        <v>1</v>
      </c>
      <c r="N547" s="3" t="str">
        <f t="shared" ca="1" si="144"/>
        <v>On Time</v>
      </c>
      <c r="O547" s="3" t="str">
        <f t="shared" ca="1" si="145"/>
        <v>Medium</v>
      </c>
      <c r="P547" s="3">
        <f t="shared" ca="1" si="146"/>
        <v>14.7</v>
      </c>
      <c r="Q547" s="1" t="str">
        <f ca="1">VLOOKUP(D547,Routes!$A$2:$D$31,2,FALSE)</f>
        <v>Delhi</v>
      </c>
      <c r="R547" s="1" t="str">
        <f ca="1">VLOOKUP(D547,Routes!$A$2:$D$31,3,FALSE)</f>
        <v>Kolkata</v>
      </c>
      <c r="S547" s="3">
        <f ca="1">VLOOKUP(D547,Routes!$A$2:$D$31,4,FALSE)</f>
        <v>1500</v>
      </c>
      <c r="T547" s="3" t="str">
        <f ca="1">VLOOKUP(E547,Vehicles!$A$2:$D$21,2,FALSE)</f>
        <v>Truck</v>
      </c>
      <c r="U547" s="3">
        <f ca="1">VLOOKUP(E547,Vehicles!$A$2:$D$21,3,FALSE)</f>
        <v>18</v>
      </c>
      <c r="V547" s="3" t="str">
        <f ca="1">VLOOKUP(E547,Vehicles!$A$2:$D$21,4,FALSE)</f>
        <v>CNG</v>
      </c>
      <c r="W547" s="3">
        <f ca="1">VLOOKUP(V547,Fuel_Rates!$A$2:$B$3,2,FALSE)</f>
        <v>78</v>
      </c>
      <c r="X547" s="3">
        <f t="shared" ca="1" si="148"/>
        <v>7.61</v>
      </c>
      <c r="Y547" s="3">
        <f t="shared" ca="1" si="149"/>
        <v>17687</v>
      </c>
      <c r="Z547" s="3" t="str">
        <f t="shared" ca="1" si="150"/>
        <v>Sep</v>
      </c>
      <c r="AA547" s="3" t="str">
        <f t="shared" ca="1" si="151"/>
        <v>Q3</v>
      </c>
      <c r="AB547" s="4" t="str">
        <f t="shared" ca="1" si="152"/>
        <v>Long Haul</v>
      </c>
    </row>
    <row r="548" spans="1:28" x14ac:dyDescent="0.3">
      <c r="A548" s="8" t="str">
        <f t="shared" si="147"/>
        <v>S0547</v>
      </c>
      <c r="B548" s="3">
        <f t="shared" ca="1" si="136"/>
        <v>46002</v>
      </c>
      <c r="C548" s="3" t="str">
        <f ca="1">INDEX(Customers!$A$2:$A$21,RANDBETWEEN(1,20))</f>
        <v>C008</v>
      </c>
      <c r="D548" s="3" t="str">
        <f ca="1">INDEX(Routes!$A$2:$A$31,RANDBETWEEN(1,30))</f>
        <v>R018</v>
      </c>
      <c r="E548" s="3" t="str">
        <f ca="1">INDEX(Vehicles!$A$2:$A$21,RANDBETWEEN(1,20))</f>
        <v>V004</v>
      </c>
      <c r="F548" s="3" t="str">
        <f ca="1">INDEX(Drivers!$A$2:$A$31,RANDBETWEEN(1,30))</f>
        <v>D029</v>
      </c>
      <c r="G548" s="3">
        <f t="shared" ca="1" si="137"/>
        <v>13.3</v>
      </c>
      <c r="H548" s="3">
        <f t="shared" ca="1" si="138"/>
        <v>34915</v>
      </c>
      <c r="I548" s="3">
        <f t="shared" ca="1" si="139"/>
        <v>9776</v>
      </c>
      <c r="J548" s="3">
        <f t="shared" ca="1" si="140"/>
        <v>3655</v>
      </c>
      <c r="K548" s="3">
        <f t="shared" ca="1" si="141"/>
        <v>24</v>
      </c>
      <c r="L548" s="3">
        <f t="shared" ca="1" si="142"/>
        <v>32</v>
      </c>
      <c r="M548" s="3">
        <f t="shared" ca="1" si="143"/>
        <v>8</v>
      </c>
      <c r="N548" s="3" t="str">
        <f t="shared" ca="1" si="144"/>
        <v>Delayed</v>
      </c>
      <c r="O548" s="3" t="str">
        <f t="shared" ca="1" si="145"/>
        <v>High</v>
      </c>
      <c r="P548" s="3">
        <f t="shared" ca="1" si="146"/>
        <v>44.3</v>
      </c>
      <c r="Q548" s="1" t="str">
        <f ca="1">VLOOKUP(D548,Routes!$A$2:$D$31,2,FALSE)</f>
        <v>Ahmedabad</v>
      </c>
      <c r="R548" s="1" t="str">
        <f ca="1">VLOOKUP(D548,Routes!$A$2:$D$31,3,FALSE)</f>
        <v>Jaipur</v>
      </c>
      <c r="S548" s="3">
        <f ca="1">VLOOKUP(D548,Routes!$A$2:$D$31,4,FALSE)</f>
        <v>670</v>
      </c>
      <c r="T548" s="3" t="str">
        <f ca="1">VLOOKUP(E548,Vehicles!$A$2:$D$21,2,FALSE)</f>
        <v>Trailer</v>
      </c>
      <c r="U548" s="3">
        <f ca="1">VLOOKUP(E548,Vehicles!$A$2:$D$21,3,FALSE)</f>
        <v>28</v>
      </c>
      <c r="V548" s="3" t="str">
        <f ca="1">VLOOKUP(E548,Vehicles!$A$2:$D$21,4,FALSE)</f>
        <v>Diesel</v>
      </c>
      <c r="W548" s="3">
        <f ca="1">VLOOKUP(V548,Fuel_Rates!$A$2:$B$3,2,FALSE)</f>
        <v>95</v>
      </c>
      <c r="X548" s="3">
        <f t="shared" ca="1" si="148"/>
        <v>52.11</v>
      </c>
      <c r="Y548" s="3">
        <f t="shared" ca="1" si="149"/>
        <v>48346</v>
      </c>
      <c r="Z548" s="3" t="str">
        <f t="shared" ca="1" si="150"/>
        <v>Dec</v>
      </c>
      <c r="AA548" s="3" t="str">
        <f t="shared" ca="1" si="151"/>
        <v>Q4</v>
      </c>
      <c r="AB548" s="4" t="str">
        <f t="shared" ca="1" si="152"/>
        <v>Medium Haul</v>
      </c>
    </row>
    <row r="549" spans="1:28" x14ac:dyDescent="0.3">
      <c r="A549" s="8" t="str">
        <f t="shared" si="147"/>
        <v>S0548</v>
      </c>
      <c r="B549" s="3">
        <f t="shared" ca="1" si="136"/>
        <v>45969</v>
      </c>
      <c r="C549" s="3" t="str">
        <f ca="1">INDEX(Customers!$A$2:$A$21,RANDBETWEEN(1,20))</f>
        <v>C009</v>
      </c>
      <c r="D549" s="3" t="str">
        <f ca="1">INDEX(Routes!$A$2:$A$31,RANDBETWEEN(1,30))</f>
        <v>R004</v>
      </c>
      <c r="E549" s="3" t="str">
        <f ca="1">INDEX(Vehicles!$A$2:$A$21,RANDBETWEEN(1,20))</f>
        <v>V003</v>
      </c>
      <c r="F549" s="3" t="str">
        <f ca="1">INDEX(Drivers!$A$2:$A$31,RANDBETWEEN(1,30))</f>
        <v>D021</v>
      </c>
      <c r="G549" s="3">
        <f t="shared" ca="1" si="137"/>
        <v>17.899999999999999</v>
      </c>
      <c r="H549" s="3">
        <f t="shared" ca="1" si="138"/>
        <v>44898</v>
      </c>
      <c r="I549" s="3">
        <f t="shared" ca="1" si="139"/>
        <v>12571</v>
      </c>
      <c r="J549" s="3">
        <f t="shared" ca="1" si="140"/>
        <v>2886</v>
      </c>
      <c r="K549" s="3">
        <f t="shared" ca="1" si="141"/>
        <v>43</v>
      </c>
      <c r="L549" s="3">
        <f t="shared" ca="1" si="142"/>
        <v>51</v>
      </c>
      <c r="M549" s="3">
        <f t="shared" ca="1" si="143"/>
        <v>8</v>
      </c>
      <c r="N549" s="3" t="str">
        <f t="shared" ca="1" si="144"/>
        <v>Delayed</v>
      </c>
      <c r="O549" s="3" t="str">
        <f t="shared" ca="1" si="145"/>
        <v>Low</v>
      </c>
      <c r="P549" s="3">
        <f t="shared" ca="1" si="146"/>
        <v>59.7</v>
      </c>
      <c r="Q549" s="1" t="str">
        <f ca="1">VLOOKUP(D549,Routes!$A$2:$D$31,2,FALSE)</f>
        <v>Mumbai</v>
      </c>
      <c r="R549" s="1" t="str">
        <f ca="1">VLOOKUP(D549,Routes!$A$2:$D$31,3,FALSE)</f>
        <v>Bengaluru</v>
      </c>
      <c r="S549" s="3">
        <f ca="1">VLOOKUP(D549,Routes!$A$2:$D$31,4,FALSE)</f>
        <v>980</v>
      </c>
      <c r="T549" s="3" t="str">
        <f ca="1">VLOOKUP(E549,Vehicles!$A$2:$D$21,2,FALSE)</f>
        <v>Truck</v>
      </c>
      <c r="U549" s="3">
        <f ca="1">VLOOKUP(E549,Vehicles!$A$2:$D$21,3,FALSE)</f>
        <v>25</v>
      </c>
      <c r="V549" s="3" t="str">
        <f ca="1">VLOOKUP(E549,Vehicles!$A$2:$D$21,4,FALSE)</f>
        <v>Diesel</v>
      </c>
      <c r="W549" s="3">
        <f ca="1">VLOOKUP(V549,Fuel_Rates!$A$2:$B$3,2,FALSE)</f>
        <v>95</v>
      </c>
      <c r="X549" s="3">
        <f t="shared" ca="1" si="148"/>
        <v>45.81</v>
      </c>
      <c r="Y549" s="3">
        <f t="shared" ca="1" si="149"/>
        <v>60355</v>
      </c>
      <c r="Z549" s="3" t="str">
        <f t="shared" ca="1" si="150"/>
        <v>Nov</v>
      </c>
      <c r="AA549" s="3" t="str">
        <f t="shared" ca="1" si="151"/>
        <v>Q4</v>
      </c>
      <c r="AB549" s="4" t="str">
        <f t="shared" ca="1" si="152"/>
        <v>Long Haul</v>
      </c>
    </row>
    <row r="550" spans="1:28" x14ac:dyDescent="0.3">
      <c r="A550" s="8" t="str">
        <f t="shared" si="147"/>
        <v>S0549</v>
      </c>
      <c r="B550" s="3">
        <f t="shared" ca="1" si="136"/>
        <v>45956</v>
      </c>
      <c r="C550" s="3" t="str">
        <f ca="1">INDEX(Customers!$A$2:$A$21,RANDBETWEEN(1,20))</f>
        <v>C006</v>
      </c>
      <c r="D550" s="3" t="str">
        <f ca="1">INDEX(Routes!$A$2:$A$31,RANDBETWEEN(1,30))</f>
        <v>R016</v>
      </c>
      <c r="E550" s="3" t="str">
        <f ca="1">INDEX(Vehicles!$A$2:$A$21,RANDBETWEEN(1,20))</f>
        <v>V011</v>
      </c>
      <c r="F550" s="3" t="str">
        <f ca="1">INDEX(Drivers!$A$2:$A$31,RANDBETWEEN(1,30))</f>
        <v>D015</v>
      </c>
      <c r="G550" s="3">
        <f t="shared" ca="1" si="137"/>
        <v>28.3</v>
      </c>
      <c r="H550" s="3">
        <f t="shared" ca="1" si="138"/>
        <v>57937</v>
      </c>
      <c r="I550" s="3">
        <f t="shared" ca="1" si="139"/>
        <v>16222</v>
      </c>
      <c r="J550" s="3">
        <f t="shared" ca="1" si="140"/>
        <v>1645</v>
      </c>
      <c r="K550" s="3">
        <f t="shared" ca="1" si="141"/>
        <v>19</v>
      </c>
      <c r="L550" s="3">
        <f t="shared" ca="1" si="142"/>
        <v>24</v>
      </c>
      <c r="M550" s="3">
        <f t="shared" ca="1" si="143"/>
        <v>5</v>
      </c>
      <c r="N550" s="3" t="str">
        <f t="shared" ca="1" si="144"/>
        <v>Delayed</v>
      </c>
      <c r="O550" s="3" t="str">
        <f t="shared" ca="1" si="145"/>
        <v>Low</v>
      </c>
      <c r="P550" s="3">
        <f t="shared" ca="1" si="146"/>
        <v>94.3</v>
      </c>
      <c r="Q550" s="1" t="str">
        <f ca="1">VLOOKUP(D550,Routes!$A$2:$D$31,2,FALSE)</f>
        <v>Kolkata</v>
      </c>
      <c r="R550" s="1" t="str">
        <f ca="1">VLOOKUP(D550,Routes!$A$2:$D$31,3,FALSE)</f>
        <v>Bhubaneswar</v>
      </c>
      <c r="S550" s="3">
        <f ca="1">VLOOKUP(D550,Routes!$A$2:$D$31,4,FALSE)</f>
        <v>440</v>
      </c>
      <c r="T550" s="3" t="str">
        <f ca="1">VLOOKUP(E550,Vehicles!$A$2:$D$21,2,FALSE)</f>
        <v>Truck</v>
      </c>
      <c r="U550" s="3">
        <f ca="1">VLOOKUP(E550,Vehicles!$A$2:$D$21,3,FALSE)</f>
        <v>18</v>
      </c>
      <c r="V550" s="3" t="str">
        <f ca="1">VLOOKUP(E550,Vehicles!$A$2:$D$21,4,FALSE)</f>
        <v>CNG</v>
      </c>
      <c r="W550" s="3">
        <f ca="1">VLOOKUP(V550,Fuel_Rates!$A$2:$B$3,2,FALSE)</f>
        <v>78</v>
      </c>
      <c r="X550" s="3">
        <f t="shared" ca="1" si="148"/>
        <v>131.68</v>
      </c>
      <c r="Y550" s="3">
        <f t="shared" ca="1" si="149"/>
        <v>75804</v>
      </c>
      <c r="Z550" s="3" t="str">
        <f t="shared" ca="1" si="150"/>
        <v>Oct</v>
      </c>
      <c r="AA550" s="3" t="str">
        <f t="shared" ca="1" si="151"/>
        <v>Q4</v>
      </c>
      <c r="AB550" s="4" t="str">
        <f t="shared" ca="1" si="152"/>
        <v>Medium Haul</v>
      </c>
    </row>
    <row r="551" spans="1:28" x14ac:dyDescent="0.3">
      <c r="A551" s="8" t="str">
        <f t="shared" si="147"/>
        <v>S0550</v>
      </c>
      <c r="B551" s="3">
        <f t="shared" ca="1" si="136"/>
        <v>45812</v>
      </c>
      <c r="C551" s="3" t="str">
        <f ca="1">INDEX(Customers!$A$2:$A$21,RANDBETWEEN(1,20))</f>
        <v>C010</v>
      </c>
      <c r="D551" s="3" t="str">
        <f ca="1">INDEX(Routes!$A$2:$A$31,RANDBETWEEN(1,30))</f>
        <v>R022</v>
      </c>
      <c r="E551" s="3" t="str">
        <f ca="1">INDEX(Vehicles!$A$2:$A$21,RANDBETWEEN(1,20))</f>
        <v>V001</v>
      </c>
      <c r="F551" s="3" t="str">
        <f ca="1">INDEX(Drivers!$A$2:$A$31,RANDBETWEEN(1,30))</f>
        <v>D004</v>
      </c>
      <c r="G551" s="3">
        <f t="shared" ca="1" si="137"/>
        <v>7.7</v>
      </c>
      <c r="H551" s="3">
        <f t="shared" ca="1" si="138"/>
        <v>21934</v>
      </c>
      <c r="I551" s="3">
        <f t="shared" ca="1" si="139"/>
        <v>6142</v>
      </c>
      <c r="J551" s="3">
        <f t="shared" ca="1" si="140"/>
        <v>865</v>
      </c>
      <c r="K551" s="3">
        <f t="shared" ca="1" si="141"/>
        <v>8</v>
      </c>
      <c r="L551" s="3">
        <f t="shared" ca="1" si="142"/>
        <v>11</v>
      </c>
      <c r="M551" s="3">
        <f t="shared" ca="1" si="143"/>
        <v>3</v>
      </c>
      <c r="N551" s="3" t="str">
        <f t="shared" ca="1" si="144"/>
        <v>Delayed</v>
      </c>
      <c r="O551" s="3" t="str">
        <f t="shared" ca="1" si="145"/>
        <v>Low</v>
      </c>
      <c r="P551" s="3">
        <f t="shared" ca="1" si="146"/>
        <v>25.7</v>
      </c>
      <c r="Q551" s="1" t="str">
        <f ca="1">VLOOKUP(D551,Routes!$A$2:$D$31,2,FALSE)</f>
        <v>Jaipur</v>
      </c>
      <c r="R551" s="1" t="str">
        <f ca="1">VLOOKUP(D551,Routes!$A$2:$D$31,3,FALSE)</f>
        <v>Indore</v>
      </c>
      <c r="S551" s="3">
        <f ca="1">VLOOKUP(D551,Routes!$A$2:$D$31,4,FALSE)</f>
        <v>600</v>
      </c>
      <c r="T551" s="3" t="str">
        <f ca="1">VLOOKUP(E551,Vehicles!$A$2:$D$21,2,FALSE)</f>
        <v>Truck</v>
      </c>
      <c r="U551" s="3">
        <f ca="1">VLOOKUP(E551,Vehicles!$A$2:$D$21,3,FALSE)</f>
        <v>16</v>
      </c>
      <c r="V551" s="3" t="str">
        <f ca="1">VLOOKUP(E551,Vehicles!$A$2:$D$21,4,FALSE)</f>
        <v>Diesel</v>
      </c>
      <c r="W551" s="3">
        <f ca="1">VLOOKUP(V551,Fuel_Rates!$A$2:$B$3,2,FALSE)</f>
        <v>95</v>
      </c>
      <c r="X551" s="3">
        <f t="shared" ca="1" si="148"/>
        <v>36.56</v>
      </c>
      <c r="Y551" s="3">
        <f t="shared" ca="1" si="149"/>
        <v>28941</v>
      </c>
      <c r="Z551" s="3" t="str">
        <f t="shared" ca="1" si="150"/>
        <v>Jun</v>
      </c>
      <c r="AA551" s="3" t="str">
        <f t="shared" ca="1" si="151"/>
        <v>Q2</v>
      </c>
      <c r="AB551" s="4" t="str">
        <f t="shared" ca="1" si="152"/>
        <v>Medium Haul</v>
      </c>
    </row>
    <row r="552" spans="1:28" x14ac:dyDescent="0.3">
      <c r="A552" s="8" t="str">
        <f t="shared" si="147"/>
        <v>S0551</v>
      </c>
      <c r="B552" s="3">
        <f t="shared" ca="1" si="136"/>
        <v>45958</v>
      </c>
      <c r="C552" s="3" t="str">
        <f ca="1">INDEX(Customers!$A$2:$A$21,RANDBETWEEN(1,20))</f>
        <v>C015</v>
      </c>
      <c r="D552" s="3" t="str">
        <f ca="1">INDEX(Routes!$A$2:$A$31,RANDBETWEEN(1,30))</f>
        <v>R025</v>
      </c>
      <c r="E552" s="3" t="str">
        <f ca="1">INDEX(Vehicles!$A$2:$A$21,RANDBETWEEN(1,20))</f>
        <v>V008</v>
      </c>
      <c r="F552" s="3" t="str">
        <f ca="1">INDEX(Drivers!$A$2:$A$31,RANDBETWEEN(1,30))</f>
        <v>D009</v>
      </c>
      <c r="G552" s="3">
        <f t="shared" ca="1" si="137"/>
        <v>2.7</v>
      </c>
      <c r="H552" s="3">
        <f t="shared" ca="1" si="138"/>
        <v>13159</v>
      </c>
      <c r="I552" s="3">
        <f t="shared" ca="1" si="139"/>
        <v>3685</v>
      </c>
      <c r="J552" s="3">
        <f t="shared" ca="1" si="140"/>
        <v>2998</v>
      </c>
      <c r="K552" s="3">
        <f t="shared" ca="1" si="141"/>
        <v>16</v>
      </c>
      <c r="L552" s="3">
        <f t="shared" ca="1" si="142"/>
        <v>20</v>
      </c>
      <c r="M552" s="3">
        <f t="shared" ca="1" si="143"/>
        <v>4</v>
      </c>
      <c r="N552" s="3" t="str">
        <f t="shared" ca="1" si="144"/>
        <v>Delayed</v>
      </c>
      <c r="O552" s="3" t="str">
        <f t="shared" ca="1" si="145"/>
        <v>Low</v>
      </c>
      <c r="P552" s="3">
        <f t="shared" ca="1" si="146"/>
        <v>9</v>
      </c>
      <c r="Q552" s="1" t="str">
        <f ca="1">VLOOKUP(D552,Routes!$A$2:$D$31,2,FALSE)</f>
        <v>Visakhapatnam</v>
      </c>
      <c r="R552" s="1" t="str">
        <f ca="1">VLOOKUP(D552,Routes!$A$2:$D$31,3,FALSE)</f>
        <v>Hyderabad</v>
      </c>
      <c r="S552" s="3">
        <f ca="1">VLOOKUP(D552,Routes!$A$2:$D$31,4,FALSE)</f>
        <v>620</v>
      </c>
      <c r="T552" s="3" t="str">
        <f ca="1">VLOOKUP(E552,Vehicles!$A$2:$D$21,2,FALSE)</f>
        <v>Container</v>
      </c>
      <c r="U552" s="3">
        <f ca="1">VLOOKUP(E552,Vehicles!$A$2:$D$21,3,FALSE)</f>
        <v>25</v>
      </c>
      <c r="V552" s="3" t="str">
        <f ca="1">VLOOKUP(E552,Vehicles!$A$2:$D$21,4,FALSE)</f>
        <v>Diesel</v>
      </c>
      <c r="W552" s="3">
        <f ca="1">VLOOKUP(V552,Fuel_Rates!$A$2:$B$3,2,FALSE)</f>
        <v>95</v>
      </c>
      <c r="X552" s="3">
        <f t="shared" ca="1" si="148"/>
        <v>21.22</v>
      </c>
      <c r="Y552" s="3">
        <f t="shared" ca="1" si="149"/>
        <v>19842</v>
      </c>
      <c r="Z552" s="3" t="str">
        <f t="shared" ca="1" si="150"/>
        <v>Oct</v>
      </c>
      <c r="AA552" s="3" t="str">
        <f t="shared" ca="1" si="151"/>
        <v>Q4</v>
      </c>
      <c r="AB552" s="4" t="str">
        <f t="shared" ca="1" si="152"/>
        <v>Medium Haul</v>
      </c>
    </row>
    <row r="553" spans="1:28" x14ac:dyDescent="0.3">
      <c r="A553" s="8" t="str">
        <f t="shared" si="147"/>
        <v>S0552</v>
      </c>
      <c r="B553" s="3">
        <f t="shared" ca="1" si="136"/>
        <v>45663</v>
      </c>
      <c r="C553" s="3" t="str">
        <f ca="1">INDEX(Customers!$A$2:$A$21,RANDBETWEEN(1,20))</f>
        <v>C004</v>
      </c>
      <c r="D553" s="3" t="str">
        <f ca="1">INDEX(Routes!$A$2:$A$31,RANDBETWEEN(1,30))</f>
        <v>R002</v>
      </c>
      <c r="E553" s="3" t="str">
        <f ca="1">INDEX(Vehicles!$A$2:$A$21,RANDBETWEEN(1,20))</f>
        <v>V019</v>
      </c>
      <c r="F553" s="3" t="str">
        <f ca="1">INDEX(Drivers!$A$2:$A$31,RANDBETWEEN(1,30))</f>
        <v>D006</v>
      </c>
      <c r="G553" s="3">
        <f t="shared" ca="1" si="137"/>
        <v>5.9</v>
      </c>
      <c r="H553" s="3">
        <f t="shared" ca="1" si="138"/>
        <v>15050</v>
      </c>
      <c r="I553" s="3">
        <f t="shared" ca="1" si="139"/>
        <v>4214</v>
      </c>
      <c r="J553" s="3">
        <f t="shared" ca="1" si="140"/>
        <v>3060</v>
      </c>
      <c r="K553" s="3">
        <f t="shared" ca="1" si="141"/>
        <v>45</v>
      </c>
      <c r="L553" s="3">
        <f t="shared" ca="1" si="142"/>
        <v>53</v>
      </c>
      <c r="M553" s="3">
        <f t="shared" ca="1" si="143"/>
        <v>8</v>
      </c>
      <c r="N553" s="3" t="str">
        <f t="shared" ca="1" si="144"/>
        <v>Delayed</v>
      </c>
      <c r="O553" s="3" t="str">
        <f t="shared" ca="1" si="145"/>
        <v>Medium</v>
      </c>
      <c r="P553" s="3">
        <f t="shared" ca="1" si="146"/>
        <v>19.7</v>
      </c>
      <c r="Q553" s="1" t="str">
        <f ca="1">VLOOKUP(D553,Routes!$A$2:$D$31,2,FALSE)</f>
        <v>Mumbai</v>
      </c>
      <c r="R553" s="1" t="str">
        <f ca="1">VLOOKUP(D553,Routes!$A$2:$D$31,3,FALSE)</f>
        <v>Ahmedabad</v>
      </c>
      <c r="S553" s="3">
        <f ca="1">VLOOKUP(D553,Routes!$A$2:$D$31,4,FALSE)</f>
        <v>530</v>
      </c>
      <c r="T553" s="3" t="str">
        <f ca="1">VLOOKUP(E553,Vehicles!$A$2:$D$21,2,FALSE)</f>
        <v>Trailer</v>
      </c>
      <c r="U553" s="3">
        <f ca="1">VLOOKUP(E553,Vehicles!$A$2:$D$21,3,FALSE)</f>
        <v>35</v>
      </c>
      <c r="V553" s="3" t="str">
        <f ca="1">VLOOKUP(E553,Vehicles!$A$2:$D$21,4,FALSE)</f>
        <v>Diesel</v>
      </c>
      <c r="W553" s="3">
        <f ca="1">VLOOKUP(V553,Fuel_Rates!$A$2:$B$3,2,FALSE)</f>
        <v>95</v>
      </c>
      <c r="X553" s="3">
        <f t="shared" ca="1" si="148"/>
        <v>28.4</v>
      </c>
      <c r="Y553" s="3">
        <f t="shared" ca="1" si="149"/>
        <v>22324</v>
      </c>
      <c r="Z553" s="3" t="str">
        <f t="shared" ca="1" si="150"/>
        <v>Jan</v>
      </c>
      <c r="AA553" s="3" t="str">
        <f t="shared" ca="1" si="151"/>
        <v>Q1</v>
      </c>
      <c r="AB553" s="4" t="str">
        <f t="shared" ca="1" si="152"/>
        <v>Medium Haul</v>
      </c>
    </row>
    <row r="554" spans="1:28" x14ac:dyDescent="0.3">
      <c r="A554" s="8" t="str">
        <f t="shared" si="147"/>
        <v>S0553</v>
      </c>
      <c r="B554" s="3">
        <f t="shared" ca="1" si="136"/>
        <v>45797</v>
      </c>
      <c r="C554" s="3" t="str">
        <f ca="1">INDEX(Customers!$A$2:$A$21,RANDBETWEEN(1,20))</f>
        <v>C008</v>
      </c>
      <c r="D554" s="3" t="str">
        <f ca="1">INDEX(Routes!$A$2:$A$31,RANDBETWEEN(1,30))</f>
        <v>R015</v>
      </c>
      <c r="E554" s="3" t="str">
        <f ca="1">INDEX(Vehicles!$A$2:$A$21,RANDBETWEEN(1,20))</f>
        <v>V019</v>
      </c>
      <c r="F554" s="3" t="str">
        <f ca="1">INDEX(Drivers!$A$2:$A$31,RANDBETWEEN(1,30))</f>
        <v>D030</v>
      </c>
      <c r="G554" s="3">
        <f t="shared" ca="1" si="137"/>
        <v>26.2</v>
      </c>
      <c r="H554" s="3">
        <f t="shared" ca="1" si="138"/>
        <v>51598</v>
      </c>
      <c r="I554" s="3">
        <f t="shared" ca="1" si="139"/>
        <v>14447</v>
      </c>
      <c r="J554" s="3">
        <f t="shared" ca="1" si="140"/>
        <v>2276</v>
      </c>
      <c r="K554" s="3">
        <f t="shared" ca="1" si="141"/>
        <v>37</v>
      </c>
      <c r="L554" s="3">
        <f t="shared" ca="1" si="142"/>
        <v>45</v>
      </c>
      <c r="M554" s="3">
        <f t="shared" ca="1" si="143"/>
        <v>8</v>
      </c>
      <c r="N554" s="3" t="str">
        <f t="shared" ca="1" si="144"/>
        <v>Delayed</v>
      </c>
      <c r="O554" s="3" t="str">
        <f t="shared" ca="1" si="145"/>
        <v>High</v>
      </c>
      <c r="P554" s="3">
        <f t="shared" ca="1" si="146"/>
        <v>87.3</v>
      </c>
      <c r="Q554" s="1" t="str">
        <f ca="1">VLOOKUP(D554,Routes!$A$2:$D$31,2,FALSE)</f>
        <v>Hyderabad</v>
      </c>
      <c r="R554" s="1" t="str">
        <f ca="1">VLOOKUP(D554,Routes!$A$2:$D$31,3,FALSE)</f>
        <v>Pune</v>
      </c>
      <c r="S554" s="3">
        <f ca="1">VLOOKUP(D554,Routes!$A$2:$D$31,4,FALSE)</f>
        <v>560</v>
      </c>
      <c r="T554" s="3" t="str">
        <f ca="1">VLOOKUP(E554,Vehicles!$A$2:$D$21,2,FALSE)</f>
        <v>Trailer</v>
      </c>
      <c r="U554" s="3">
        <f ca="1">VLOOKUP(E554,Vehicles!$A$2:$D$21,3,FALSE)</f>
        <v>35</v>
      </c>
      <c r="V554" s="3" t="str">
        <f ca="1">VLOOKUP(E554,Vehicles!$A$2:$D$21,4,FALSE)</f>
        <v>Diesel</v>
      </c>
      <c r="W554" s="3">
        <f ca="1">VLOOKUP(V554,Fuel_Rates!$A$2:$B$3,2,FALSE)</f>
        <v>95</v>
      </c>
      <c r="X554" s="3">
        <f t="shared" ca="1" si="148"/>
        <v>92.14</v>
      </c>
      <c r="Y554" s="3">
        <f t="shared" ca="1" si="149"/>
        <v>68321</v>
      </c>
      <c r="Z554" s="3" t="str">
        <f t="shared" ca="1" si="150"/>
        <v>May</v>
      </c>
      <c r="AA554" s="3" t="str">
        <f t="shared" ca="1" si="151"/>
        <v>Q2</v>
      </c>
      <c r="AB554" s="4" t="str">
        <f t="shared" ca="1" si="152"/>
        <v>Medium Haul</v>
      </c>
    </row>
    <row r="555" spans="1:28" x14ac:dyDescent="0.3">
      <c r="A555" s="8" t="str">
        <f t="shared" si="147"/>
        <v>S0554</v>
      </c>
      <c r="B555" s="3">
        <f t="shared" ca="1" si="136"/>
        <v>45983</v>
      </c>
      <c r="C555" s="3" t="str">
        <f ca="1">INDEX(Customers!$A$2:$A$21,RANDBETWEEN(1,20))</f>
        <v>C001</v>
      </c>
      <c r="D555" s="3" t="str">
        <f ca="1">INDEX(Routes!$A$2:$A$31,RANDBETWEEN(1,30))</f>
        <v>R008</v>
      </c>
      <c r="E555" s="3" t="str">
        <f ca="1">INDEX(Vehicles!$A$2:$A$21,RANDBETWEEN(1,20))</f>
        <v>V020</v>
      </c>
      <c r="F555" s="3" t="str">
        <f ca="1">INDEX(Drivers!$A$2:$A$31,RANDBETWEEN(1,30))</f>
        <v>D009</v>
      </c>
      <c r="G555" s="3">
        <f t="shared" ca="1" si="137"/>
        <v>17.899999999999999</v>
      </c>
      <c r="H555" s="3">
        <f t="shared" ca="1" si="138"/>
        <v>40054</v>
      </c>
      <c r="I555" s="3">
        <f t="shared" ca="1" si="139"/>
        <v>11215</v>
      </c>
      <c r="J555" s="3">
        <f t="shared" ca="1" si="140"/>
        <v>1965</v>
      </c>
      <c r="K555" s="3">
        <f t="shared" ca="1" si="141"/>
        <v>47</v>
      </c>
      <c r="L555" s="3">
        <f t="shared" ca="1" si="142"/>
        <v>51</v>
      </c>
      <c r="M555" s="3">
        <f t="shared" ca="1" si="143"/>
        <v>4</v>
      </c>
      <c r="N555" s="3" t="str">
        <f t="shared" ca="1" si="144"/>
        <v>Delayed</v>
      </c>
      <c r="O555" s="3" t="str">
        <f t="shared" ca="1" si="145"/>
        <v>Medium</v>
      </c>
      <c r="P555" s="3">
        <f t="shared" ca="1" si="146"/>
        <v>59.7</v>
      </c>
      <c r="Q555" s="1" t="str">
        <f ca="1">VLOOKUP(D555,Routes!$A$2:$D$31,2,FALSE)</f>
        <v>Delhi</v>
      </c>
      <c r="R555" s="1" t="str">
        <f ca="1">VLOOKUP(D555,Routes!$A$2:$D$31,3,FALSE)</f>
        <v>Kolkata</v>
      </c>
      <c r="S555" s="3">
        <f ca="1">VLOOKUP(D555,Routes!$A$2:$D$31,4,FALSE)</f>
        <v>1500</v>
      </c>
      <c r="T555" s="3" t="str">
        <f ca="1">VLOOKUP(E555,Vehicles!$A$2:$D$21,2,FALSE)</f>
        <v>Container</v>
      </c>
      <c r="U555" s="3">
        <f ca="1">VLOOKUP(E555,Vehicles!$A$2:$D$21,3,FALSE)</f>
        <v>28</v>
      </c>
      <c r="V555" s="3" t="str">
        <f ca="1">VLOOKUP(E555,Vehicles!$A$2:$D$21,4,FALSE)</f>
        <v>Diesel</v>
      </c>
      <c r="W555" s="3">
        <f ca="1">VLOOKUP(V555,Fuel_Rates!$A$2:$B$3,2,FALSE)</f>
        <v>95</v>
      </c>
      <c r="X555" s="3">
        <f t="shared" ca="1" si="148"/>
        <v>26.7</v>
      </c>
      <c r="Y555" s="3">
        <f t="shared" ca="1" si="149"/>
        <v>53234</v>
      </c>
      <c r="Z555" s="3" t="str">
        <f t="shared" ca="1" si="150"/>
        <v>Nov</v>
      </c>
      <c r="AA555" s="3" t="str">
        <f t="shared" ca="1" si="151"/>
        <v>Q4</v>
      </c>
      <c r="AB555" s="4" t="str">
        <f t="shared" ca="1" si="152"/>
        <v>Long Haul</v>
      </c>
    </row>
    <row r="556" spans="1:28" x14ac:dyDescent="0.3">
      <c r="A556" s="8" t="str">
        <f t="shared" si="147"/>
        <v>S0555</v>
      </c>
      <c r="B556" s="3">
        <f t="shared" ca="1" si="136"/>
        <v>45769</v>
      </c>
      <c r="C556" s="3" t="str">
        <f ca="1">INDEX(Customers!$A$2:$A$21,RANDBETWEEN(1,20))</f>
        <v>C010</v>
      </c>
      <c r="D556" s="3" t="str">
        <f ca="1">INDEX(Routes!$A$2:$A$31,RANDBETWEEN(1,30))</f>
        <v>R018</v>
      </c>
      <c r="E556" s="3" t="str">
        <f ca="1">INDEX(Vehicles!$A$2:$A$21,RANDBETWEEN(1,20))</f>
        <v>V019</v>
      </c>
      <c r="F556" s="3" t="str">
        <f ca="1">INDEX(Drivers!$A$2:$A$31,RANDBETWEEN(1,30))</f>
        <v>D020</v>
      </c>
      <c r="G556" s="3">
        <f t="shared" ca="1" si="137"/>
        <v>21.9</v>
      </c>
      <c r="H556" s="3">
        <f t="shared" ca="1" si="138"/>
        <v>54043</v>
      </c>
      <c r="I556" s="3">
        <f t="shared" ca="1" si="139"/>
        <v>15132</v>
      </c>
      <c r="J556" s="3">
        <f t="shared" ca="1" si="140"/>
        <v>766</v>
      </c>
      <c r="K556" s="3">
        <f t="shared" ca="1" si="141"/>
        <v>41</v>
      </c>
      <c r="L556" s="3">
        <f t="shared" ca="1" si="142"/>
        <v>45</v>
      </c>
      <c r="M556" s="3">
        <f t="shared" ca="1" si="143"/>
        <v>4</v>
      </c>
      <c r="N556" s="3" t="str">
        <f t="shared" ca="1" si="144"/>
        <v>Delayed</v>
      </c>
      <c r="O556" s="3" t="str">
        <f t="shared" ca="1" si="145"/>
        <v>Medium</v>
      </c>
      <c r="P556" s="3">
        <f t="shared" ca="1" si="146"/>
        <v>73</v>
      </c>
      <c r="Q556" s="1" t="str">
        <f ca="1">VLOOKUP(D556,Routes!$A$2:$D$31,2,FALSE)</f>
        <v>Ahmedabad</v>
      </c>
      <c r="R556" s="1" t="str">
        <f ca="1">VLOOKUP(D556,Routes!$A$2:$D$31,3,FALSE)</f>
        <v>Jaipur</v>
      </c>
      <c r="S556" s="3">
        <f ca="1">VLOOKUP(D556,Routes!$A$2:$D$31,4,FALSE)</f>
        <v>670</v>
      </c>
      <c r="T556" s="3" t="str">
        <f ca="1">VLOOKUP(E556,Vehicles!$A$2:$D$21,2,FALSE)</f>
        <v>Trailer</v>
      </c>
      <c r="U556" s="3">
        <f ca="1">VLOOKUP(E556,Vehicles!$A$2:$D$21,3,FALSE)</f>
        <v>35</v>
      </c>
      <c r="V556" s="3" t="str">
        <f ca="1">VLOOKUP(E556,Vehicles!$A$2:$D$21,4,FALSE)</f>
        <v>Diesel</v>
      </c>
      <c r="W556" s="3">
        <f ca="1">VLOOKUP(V556,Fuel_Rates!$A$2:$B$3,2,FALSE)</f>
        <v>95</v>
      </c>
      <c r="X556" s="3">
        <f t="shared" ca="1" si="148"/>
        <v>80.66</v>
      </c>
      <c r="Y556" s="3">
        <f t="shared" ca="1" si="149"/>
        <v>69941</v>
      </c>
      <c r="Z556" s="3" t="str">
        <f t="shared" ca="1" si="150"/>
        <v>Apr</v>
      </c>
      <c r="AA556" s="3" t="str">
        <f t="shared" ca="1" si="151"/>
        <v>Q2</v>
      </c>
      <c r="AB556" s="4" t="str">
        <f t="shared" ca="1" si="152"/>
        <v>Medium Haul</v>
      </c>
    </row>
    <row r="557" spans="1:28" x14ac:dyDescent="0.3">
      <c r="A557" s="8" t="str">
        <f t="shared" si="147"/>
        <v>S0556</v>
      </c>
      <c r="B557" s="3">
        <f t="shared" ca="1" si="136"/>
        <v>45813</v>
      </c>
      <c r="C557" s="3" t="str">
        <f ca="1">INDEX(Customers!$A$2:$A$21,RANDBETWEEN(1,20))</f>
        <v>C005</v>
      </c>
      <c r="D557" s="3" t="str">
        <f ca="1">INDEX(Routes!$A$2:$A$31,RANDBETWEEN(1,30))</f>
        <v>R004</v>
      </c>
      <c r="E557" s="3" t="str">
        <f ca="1">INDEX(Vehicles!$A$2:$A$21,RANDBETWEEN(1,20))</f>
        <v>V009</v>
      </c>
      <c r="F557" s="3" t="str">
        <f ca="1">INDEX(Drivers!$A$2:$A$31,RANDBETWEEN(1,30))</f>
        <v>D008</v>
      </c>
      <c r="G557" s="3">
        <f t="shared" ca="1" si="137"/>
        <v>8.3000000000000007</v>
      </c>
      <c r="H557" s="3">
        <f t="shared" ca="1" si="138"/>
        <v>25473</v>
      </c>
      <c r="I557" s="3">
        <f t="shared" ca="1" si="139"/>
        <v>7132</v>
      </c>
      <c r="J557" s="3">
        <f t="shared" ca="1" si="140"/>
        <v>950</v>
      </c>
      <c r="K557" s="3">
        <f t="shared" ca="1" si="141"/>
        <v>11</v>
      </c>
      <c r="L557" s="3">
        <f t="shared" ca="1" si="142"/>
        <v>19</v>
      </c>
      <c r="M557" s="3">
        <f t="shared" ca="1" si="143"/>
        <v>8</v>
      </c>
      <c r="N557" s="3" t="str">
        <f t="shared" ca="1" si="144"/>
        <v>Delayed</v>
      </c>
      <c r="O557" s="3" t="str">
        <f t="shared" ca="1" si="145"/>
        <v>Low</v>
      </c>
      <c r="P557" s="3">
        <f t="shared" ca="1" si="146"/>
        <v>27.7</v>
      </c>
      <c r="Q557" s="1" t="str">
        <f ca="1">VLOOKUP(D557,Routes!$A$2:$D$31,2,FALSE)</f>
        <v>Mumbai</v>
      </c>
      <c r="R557" s="1" t="str">
        <f ca="1">VLOOKUP(D557,Routes!$A$2:$D$31,3,FALSE)</f>
        <v>Bengaluru</v>
      </c>
      <c r="S557" s="3">
        <f ca="1">VLOOKUP(D557,Routes!$A$2:$D$31,4,FALSE)</f>
        <v>980</v>
      </c>
      <c r="T557" s="3" t="str">
        <f ca="1">VLOOKUP(E557,Vehicles!$A$2:$D$21,2,FALSE)</f>
        <v>LCV</v>
      </c>
      <c r="U557" s="3">
        <f ca="1">VLOOKUP(E557,Vehicles!$A$2:$D$21,3,FALSE)</f>
        <v>5</v>
      </c>
      <c r="V557" s="3" t="str">
        <f ca="1">VLOOKUP(E557,Vehicles!$A$2:$D$21,4,FALSE)</f>
        <v>Diesel</v>
      </c>
      <c r="W557" s="3">
        <f ca="1">VLOOKUP(V557,Fuel_Rates!$A$2:$B$3,2,FALSE)</f>
        <v>95</v>
      </c>
      <c r="X557" s="3">
        <f t="shared" ca="1" si="148"/>
        <v>25.99</v>
      </c>
      <c r="Y557" s="3">
        <f t="shared" ca="1" si="149"/>
        <v>33555</v>
      </c>
      <c r="Z557" s="3" t="str">
        <f t="shared" ca="1" si="150"/>
        <v>Jun</v>
      </c>
      <c r="AA557" s="3" t="str">
        <f t="shared" ca="1" si="151"/>
        <v>Q2</v>
      </c>
      <c r="AB557" s="4" t="str">
        <f t="shared" ca="1" si="152"/>
        <v>Long Haul</v>
      </c>
    </row>
    <row r="558" spans="1:28" x14ac:dyDescent="0.3">
      <c r="A558" s="8" t="str">
        <f t="shared" si="147"/>
        <v>S0557</v>
      </c>
      <c r="B558" s="3">
        <f t="shared" ca="1" si="136"/>
        <v>46019</v>
      </c>
      <c r="C558" s="3" t="str">
        <f ca="1">INDEX(Customers!$A$2:$A$21,RANDBETWEEN(1,20))</f>
        <v>C011</v>
      </c>
      <c r="D558" s="3" t="str">
        <f ca="1">INDEX(Routes!$A$2:$A$31,RANDBETWEEN(1,30))</f>
        <v>R006</v>
      </c>
      <c r="E558" s="3" t="str">
        <f ca="1">INDEX(Vehicles!$A$2:$A$21,RANDBETWEEN(1,20))</f>
        <v>V013</v>
      </c>
      <c r="F558" s="3" t="str">
        <f ca="1">INDEX(Drivers!$A$2:$A$31,RANDBETWEEN(1,30))</f>
        <v>D016</v>
      </c>
      <c r="G558" s="3">
        <f t="shared" ca="1" si="137"/>
        <v>2.6</v>
      </c>
      <c r="H558" s="3">
        <f t="shared" ca="1" si="138"/>
        <v>14582</v>
      </c>
      <c r="I558" s="3">
        <f t="shared" ca="1" si="139"/>
        <v>4083</v>
      </c>
      <c r="J558" s="3">
        <f t="shared" ca="1" si="140"/>
        <v>561</v>
      </c>
      <c r="K558" s="3">
        <f t="shared" ca="1" si="141"/>
        <v>7</v>
      </c>
      <c r="L558" s="3">
        <f t="shared" ca="1" si="142"/>
        <v>9</v>
      </c>
      <c r="M558" s="3">
        <f t="shared" ca="1" si="143"/>
        <v>2</v>
      </c>
      <c r="N558" s="3" t="str">
        <f t="shared" ca="1" si="144"/>
        <v>On Time</v>
      </c>
      <c r="O558" s="3" t="str">
        <f t="shared" ca="1" si="145"/>
        <v>Low</v>
      </c>
      <c r="P558" s="3">
        <f t="shared" ca="1" si="146"/>
        <v>8.6999999999999993</v>
      </c>
      <c r="Q558" s="1" t="str">
        <f ca="1">VLOOKUP(D558,Routes!$A$2:$D$31,2,FALSE)</f>
        <v>Delhi</v>
      </c>
      <c r="R558" s="1" t="str">
        <f ca="1">VLOOKUP(D558,Routes!$A$2:$D$31,3,FALSE)</f>
        <v>Lucknow</v>
      </c>
      <c r="S558" s="3">
        <f ca="1">VLOOKUP(D558,Routes!$A$2:$D$31,4,FALSE)</f>
        <v>550</v>
      </c>
      <c r="T558" s="3" t="str">
        <f ca="1">VLOOKUP(E558,Vehicles!$A$2:$D$21,2,FALSE)</f>
        <v>LCV</v>
      </c>
      <c r="U558" s="3">
        <f ca="1">VLOOKUP(E558,Vehicles!$A$2:$D$21,3,FALSE)</f>
        <v>4</v>
      </c>
      <c r="V558" s="3" t="str">
        <f ca="1">VLOOKUP(E558,Vehicles!$A$2:$D$21,4,FALSE)</f>
        <v>CNG</v>
      </c>
      <c r="W558" s="3">
        <f ca="1">VLOOKUP(V558,Fuel_Rates!$A$2:$B$3,2,FALSE)</f>
        <v>78</v>
      </c>
      <c r="X558" s="3">
        <f t="shared" ca="1" si="148"/>
        <v>26.51</v>
      </c>
      <c r="Y558" s="3">
        <f t="shared" ca="1" si="149"/>
        <v>19226</v>
      </c>
      <c r="Z558" s="3" t="str">
        <f t="shared" ca="1" si="150"/>
        <v>Dec</v>
      </c>
      <c r="AA558" s="3" t="str">
        <f t="shared" ca="1" si="151"/>
        <v>Q4</v>
      </c>
      <c r="AB558" s="4" t="str">
        <f t="shared" ca="1" si="152"/>
        <v>Medium Haul</v>
      </c>
    </row>
    <row r="559" spans="1:28" x14ac:dyDescent="0.3">
      <c r="A559" s="8" t="str">
        <f t="shared" si="147"/>
        <v>S0558</v>
      </c>
      <c r="B559" s="3">
        <f t="shared" ca="1" si="136"/>
        <v>45958</v>
      </c>
      <c r="C559" s="3" t="str">
        <f ca="1">INDEX(Customers!$A$2:$A$21,RANDBETWEEN(1,20))</f>
        <v>C007</v>
      </c>
      <c r="D559" s="3" t="str">
        <f ca="1">INDEX(Routes!$A$2:$A$31,RANDBETWEEN(1,30))</f>
        <v>R002</v>
      </c>
      <c r="E559" s="3" t="str">
        <f ca="1">INDEX(Vehicles!$A$2:$A$21,RANDBETWEEN(1,20))</f>
        <v>V011</v>
      </c>
      <c r="F559" s="3" t="str">
        <f ca="1">INDEX(Drivers!$A$2:$A$31,RANDBETWEEN(1,30))</f>
        <v>D016</v>
      </c>
      <c r="G559" s="3">
        <f t="shared" ca="1" si="137"/>
        <v>2.7</v>
      </c>
      <c r="H559" s="3">
        <f t="shared" ca="1" si="138"/>
        <v>16322</v>
      </c>
      <c r="I559" s="3">
        <f t="shared" ca="1" si="139"/>
        <v>4570</v>
      </c>
      <c r="J559" s="3">
        <f t="shared" ca="1" si="140"/>
        <v>2832</v>
      </c>
      <c r="K559" s="3">
        <f t="shared" ca="1" si="141"/>
        <v>48</v>
      </c>
      <c r="L559" s="3">
        <f t="shared" ca="1" si="142"/>
        <v>52</v>
      </c>
      <c r="M559" s="3">
        <f t="shared" ca="1" si="143"/>
        <v>4</v>
      </c>
      <c r="N559" s="3" t="str">
        <f t="shared" ca="1" si="144"/>
        <v>Delayed</v>
      </c>
      <c r="O559" s="3" t="str">
        <f t="shared" ca="1" si="145"/>
        <v>Low</v>
      </c>
      <c r="P559" s="3">
        <f t="shared" ca="1" si="146"/>
        <v>9</v>
      </c>
      <c r="Q559" s="1" t="str">
        <f ca="1">VLOOKUP(D559,Routes!$A$2:$D$31,2,FALSE)</f>
        <v>Mumbai</v>
      </c>
      <c r="R559" s="1" t="str">
        <f ca="1">VLOOKUP(D559,Routes!$A$2:$D$31,3,FALSE)</f>
        <v>Ahmedabad</v>
      </c>
      <c r="S559" s="3">
        <f ca="1">VLOOKUP(D559,Routes!$A$2:$D$31,4,FALSE)</f>
        <v>530</v>
      </c>
      <c r="T559" s="3" t="str">
        <f ca="1">VLOOKUP(E559,Vehicles!$A$2:$D$21,2,FALSE)</f>
        <v>Truck</v>
      </c>
      <c r="U559" s="3">
        <f ca="1">VLOOKUP(E559,Vehicles!$A$2:$D$21,3,FALSE)</f>
        <v>18</v>
      </c>
      <c r="V559" s="3" t="str">
        <f ca="1">VLOOKUP(E559,Vehicles!$A$2:$D$21,4,FALSE)</f>
        <v>CNG</v>
      </c>
      <c r="W559" s="3">
        <f ca="1">VLOOKUP(V559,Fuel_Rates!$A$2:$B$3,2,FALSE)</f>
        <v>78</v>
      </c>
      <c r="X559" s="3">
        <f t="shared" ca="1" si="148"/>
        <v>30.8</v>
      </c>
      <c r="Y559" s="3">
        <f t="shared" ca="1" si="149"/>
        <v>23724</v>
      </c>
      <c r="Z559" s="3" t="str">
        <f t="shared" ca="1" si="150"/>
        <v>Oct</v>
      </c>
      <c r="AA559" s="3" t="str">
        <f t="shared" ca="1" si="151"/>
        <v>Q4</v>
      </c>
      <c r="AB559" s="4" t="str">
        <f t="shared" ca="1" si="152"/>
        <v>Medium Haul</v>
      </c>
    </row>
    <row r="560" spans="1:28" x14ac:dyDescent="0.3">
      <c r="A560" s="8" t="str">
        <f t="shared" si="147"/>
        <v>S0559</v>
      </c>
      <c r="B560" s="3">
        <f t="shared" ca="1" si="136"/>
        <v>45830</v>
      </c>
      <c r="C560" s="3" t="str">
        <f ca="1">INDEX(Customers!$A$2:$A$21,RANDBETWEEN(1,20))</f>
        <v>C001</v>
      </c>
      <c r="D560" s="3" t="str">
        <f ca="1">INDEX(Routes!$A$2:$A$31,RANDBETWEEN(1,30))</f>
        <v>R006</v>
      </c>
      <c r="E560" s="3" t="str">
        <f ca="1">INDEX(Vehicles!$A$2:$A$21,RANDBETWEEN(1,20))</f>
        <v>V016</v>
      </c>
      <c r="F560" s="3" t="str">
        <f ca="1">INDEX(Drivers!$A$2:$A$31,RANDBETWEEN(1,30))</f>
        <v>D027</v>
      </c>
      <c r="G560" s="3">
        <f t="shared" ca="1" si="137"/>
        <v>25.8</v>
      </c>
      <c r="H560" s="3">
        <f t="shared" ca="1" si="138"/>
        <v>51831</v>
      </c>
      <c r="I560" s="3">
        <f t="shared" ca="1" si="139"/>
        <v>14513</v>
      </c>
      <c r="J560" s="3">
        <f t="shared" ca="1" si="140"/>
        <v>2478</v>
      </c>
      <c r="K560" s="3">
        <f t="shared" ca="1" si="141"/>
        <v>10</v>
      </c>
      <c r="L560" s="3">
        <f t="shared" ca="1" si="142"/>
        <v>16</v>
      </c>
      <c r="M560" s="3">
        <f t="shared" ca="1" si="143"/>
        <v>6</v>
      </c>
      <c r="N560" s="3" t="str">
        <f t="shared" ca="1" si="144"/>
        <v>Delayed</v>
      </c>
      <c r="O560" s="3" t="str">
        <f t="shared" ca="1" si="145"/>
        <v>Low</v>
      </c>
      <c r="P560" s="3">
        <f t="shared" ca="1" si="146"/>
        <v>86</v>
      </c>
      <c r="Q560" s="1" t="str">
        <f ca="1">VLOOKUP(D560,Routes!$A$2:$D$31,2,FALSE)</f>
        <v>Delhi</v>
      </c>
      <c r="R560" s="1" t="str">
        <f ca="1">VLOOKUP(D560,Routes!$A$2:$D$31,3,FALSE)</f>
        <v>Lucknow</v>
      </c>
      <c r="S560" s="3">
        <f ca="1">VLOOKUP(D560,Routes!$A$2:$D$31,4,FALSE)</f>
        <v>550</v>
      </c>
      <c r="T560" s="3" t="str">
        <f ca="1">VLOOKUP(E560,Vehicles!$A$2:$D$21,2,FALSE)</f>
        <v>Container</v>
      </c>
      <c r="U560" s="3">
        <f ca="1">VLOOKUP(E560,Vehicles!$A$2:$D$21,3,FALSE)</f>
        <v>22</v>
      </c>
      <c r="V560" s="3" t="str">
        <f ca="1">VLOOKUP(E560,Vehicles!$A$2:$D$21,4,FALSE)</f>
        <v>Diesel</v>
      </c>
      <c r="W560" s="3">
        <f ca="1">VLOOKUP(V560,Fuel_Rates!$A$2:$B$3,2,FALSE)</f>
        <v>95</v>
      </c>
      <c r="X560" s="3">
        <f t="shared" ca="1" si="148"/>
        <v>94.24</v>
      </c>
      <c r="Y560" s="3">
        <f t="shared" ca="1" si="149"/>
        <v>68822</v>
      </c>
      <c r="Z560" s="3" t="str">
        <f t="shared" ca="1" si="150"/>
        <v>Jun</v>
      </c>
      <c r="AA560" s="3" t="str">
        <f t="shared" ca="1" si="151"/>
        <v>Q2</v>
      </c>
      <c r="AB560" s="4" t="str">
        <f t="shared" ca="1" si="152"/>
        <v>Medium Haul</v>
      </c>
    </row>
    <row r="561" spans="1:28" x14ac:dyDescent="0.3">
      <c r="A561" s="8" t="str">
        <f t="shared" si="147"/>
        <v>S0560</v>
      </c>
      <c r="B561" s="3">
        <f t="shared" ca="1" si="136"/>
        <v>45986</v>
      </c>
      <c r="C561" s="3" t="str">
        <f ca="1">INDEX(Customers!$A$2:$A$21,RANDBETWEEN(1,20))</f>
        <v>C010</v>
      </c>
      <c r="D561" s="3" t="str">
        <f ca="1">INDEX(Routes!$A$2:$A$31,RANDBETWEEN(1,30))</f>
        <v>R004</v>
      </c>
      <c r="E561" s="3" t="str">
        <f ca="1">INDEX(Vehicles!$A$2:$A$21,RANDBETWEEN(1,20))</f>
        <v>V005</v>
      </c>
      <c r="F561" s="3" t="str">
        <f ca="1">INDEX(Drivers!$A$2:$A$31,RANDBETWEEN(1,30))</f>
        <v>D017</v>
      </c>
      <c r="G561" s="3">
        <f t="shared" ca="1" si="137"/>
        <v>19.2</v>
      </c>
      <c r="H561" s="3">
        <f t="shared" ca="1" si="138"/>
        <v>45908</v>
      </c>
      <c r="I561" s="3">
        <f t="shared" ca="1" si="139"/>
        <v>12854</v>
      </c>
      <c r="J561" s="3">
        <f t="shared" ca="1" si="140"/>
        <v>3263</v>
      </c>
      <c r="K561" s="3">
        <f t="shared" ca="1" si="141"/>
        <v>20</v>
      </c>
      <c r="L561" s="3">
        <f t="shared" ca="1" si="142"/>
        <v>22</v>
      </c>
      <c r="M561" s="3">
        <f t="shared" ca="1" si="143"/>
        <v>2</v>
      </c>
      <c r="N561" s="3" t="str">
        <f t="shared" ca="1" si="144"/>
        <v>On Time</v>
      </c>
      <c r="O561" s="3" t="str">
        <f t="shared" ca="1" si="145"/>
        <v>High</v>
      </c>
      <c r="P561" s="3">
        <f t="shared" ca="1" si="146"/>
        <v>64</v>
      </c>
      <c r="Q561" s="1" t="str">
        <f ca="1">VLOOKUP(D561,Routes!$A$2:$D$31,2,FALSE)</f>
        <v>Mumbai</v>
      </c>
      <c r="R561" s="1" t="str">
        <f ca="1">VLOOKUP(D561,Routes!$A$2:$D$31,3,FALSE)</f>
        <v>Bengaluru</v>
      </c>
      <c r="S561" s="3">
        <f ca="1">VLOOKUP(D561,Routes!$A$2:$D$31,4,FALSE)</f>
        <v>980</v>
      </c>
      <c r="T561" s="3" t="str">
        <f ca="1">VLOOKUP(E561,Vehicles!$A$2:$D$21,2,FALSE)</f>
        <v>Trailer</v>
      </c>
      <c r="U561" s="3">
        <f ca="1">VLOOKUP(E561,Vehicles!$A$2:$D$21,3,FALSE)</f>
        <v>32</v>
      </c>
      <c r="V561" s="3" t="str">
        <f ca="1">VLOOKUP(E561,Vehicles!$A$2:$D$21,4,FALSE)</f>
        <v>Diesel</v>
      </c>
      <c r="W561" s="3">
        <f ca="1">VLOOKUP(V561,Fuel_Rates!$A$2:$B$3,2,FALSE)</f>
        <v>95</v>
      </c>
      <c r="X561" s="3">
        <f t="shared" ca="1" si="148"/>
        <v>46.84</v>
      </c>
      <c r="Y561" s="3">
        <f t="shared" ca="1" si="149"/>
        <v>62025</v>
      </c>
      <c r="Z561" s="3" t="str">
        <f t="shared" ca="1" si="150"/>
        <v>Nov</v>
      </c>
      <c r="AA561" s="3" t="str">
        <f t="shared" ca="1" si="151"/>
        <v>Q4</v>
      </c>
      <c r="AB561" s="4" t="str">
        <f t="shared" ca="1" si="152"/>
        <v>Long Haul</v>
      </c>
    </row>
    <row r="562" spans="1:28" x14ac:dyDescent="0.3">
      <c r="A562" s="8" t="str">
        <f t="shared" si="147"/>
        <v>S0561</v>
      </c>
      <c r="B562" s="3">
        <f t="shared" ca="1" si="136"/>
        <v>45996</v>
      </c>
      <c r="C562" s="3" t="str">
        <f ca="1">INDEX(Customers!$A$2:$A$21,RANDBETWEEN(1,20))</f>
        <v>C012</v>
      </c>
      <c r="D562" s="3" t="str">
        <f ca="1">INDEX(Routes!$A$2:$A$31,RANDBETWEEN(1,30))</f>
        <v>R015</v>
      </c>
      <c r="E562" s="3" t="str">
        <f ca="1">INDEX(Vehicles!$A$2:$A$21,RANDBETWEEN(1,20))</f>
        <v>V013</v>
      </c>
      <c r="F562" s="3" t="str">
        <f ca="1">INDEX(Drivers!$A$2:$A$31,RANDBETWEEN(1,30))</f>
        <v>D017</v>
      </c>
      <c r="G562" s="3">
        <f t="shared" ca="1" si="137"/>
        <v>9.4</v>
      </c>
      <c r="H562" s="3">
        <f t="shared" ca="1" si="138"/>
        <v>23324</v>
      </c>
      <c r="I562" s="3">
        <f t="shared" ca="1" si="139"/>
        <v>6531</v>
      </c>
      <c r="J562" s="3">
        <f t="shared" ca="1" si="140"/>
        <v>3057</v>
      </c>
      <c r="K562" s="3">
        <f t="shared" ca="1" si="141"/>
        <v>33</v>
      </c>
      <c r="L562" s="3">
        <f t="shared" ca="1" si="142"/>
        <v>33</v>
      </c>
      <c r="M562" s="3">
        <f t="shared" ca="1" si="143"/>
        <v>0</v>
      </c>
      <c r="N562" s="3" t="str">
        <f t="shared" ca="1" si="144"/>
        <v>On Time</v>
      </c>
      <c r="O562" s="3" t="str">
        <f t="shared" ca="1" si="145"/>
        <v>High</v>
      </c>
      <c r="P562" s="3">
        <f t="shared" ca="1" si="146"/>
        <v>31.3</v>
      </c>
      <c r="Q562" s="1" t="str">
        <f ca="1">VLOOKUP(D562,Routes!$A$2:$D$31,2,FALSE)</f>
        <v>Hyderabad</v>
      </c>
      <c r="R562" s="1" t="str">
        <f ca="1">VLOOKUP(D562,Routes!$A$2:$D$31,3,FALSE)</f>
        <v>Pune</v>
      </c>
      <c r="S562" s="3">
        <f ca="1">VLOOKUP(D562,Routes!$A$2:$D$31,4,FALSE)</f>
        <v>560</v>
      </c>
      <c r="T562" s="3" t="str">
        <f ca="1">VLOOKUP(E562,Vehicles!$A$2:$D$21,2,FALSE)</f>
        <v>LCV</v>
      </c>
      <c r="U562" s="3">
        <f ca="1">VLOOKUP(E562,Vehicles!$A$2:$D$21,3,FALSE)</f>
        <v>4</v>
      </c>
      <c r="V562" s="3" t="str">
        <f ca="1">VLOOKUP(E562,Vehicles!$A$2:$D$21,4,FALSE)</f>
        <v>CNG</v>
      </c>
      <c r="W562" s="3">
        <f ca="1">VLOOKUP(V562,Fuel_Rates!$A$2:$B$3,2,FALSE)</f>
        <v>78</v>
      </c>
      <c r="X562" s="3">
        <f t="shared" ca="1" si="148"/>
        <v>41.65</v>
      </c>
      <c r="Y562" s="3">
        <f t="shared" ca="1" si="149"/>
        <v>32912</v>
      </c>
      <c r="Z562" s="3" t="str">
        <f t="shared" ca="1" si="150"/>
        <v>Dec</v>
      </c>
      <c r="AA562" s="3" t="str">
        <f t="shared" ca="1" si="151"/>
        <v>Q4</v>
      </c>
      <c r="AB562" s="4" t="str">
        <f t="shared" ca="1" si="152"/>
        <v>Medium Haul</v>
      </c>
    </row>
    <row r="563" spans="1:28" x14ac:dyDescent="0.3">
      <c r="A563" s="8" t="str">
        <f t="shared" si="147"/>
        <v>S0562</v>
      </c>
      <c r="B563" s="3">
        <f t="shared" ca="1" si="136"/>
        <v>45672</v>
      </c>
      <c r="C563" s="3" t="str">
        <f ca="1">INDEX(Customers!$A$2:$A$21,RANDBETWEEN(1,20))</f>
        <v>C003</v>
      </c>
      <c r="D563" s="3" t="str">
        <f ca="1">INDEX(Routes!$A$2:$A$31,RANDBETWEEN(1,30))</f>
        <v>R029</v>
      </c>
      <c r="E563" s="3" t="str">
        <f ca="1">INDEX(Vehicles!$A$2:$A$21,RANDBETWEEN(1,20))</f>
        <v>V018</v>
      </c>
      <c r="F563" s="3" t="str">
        <f ca="1">INDEX(Drivers!$A$2:$A$31,RANDBETWEEN(1,30))</f>
        <v>D008</v>
      </c>
      <c r="G563" s="3">
        <f t="shared" ca="1" si="137"/>
        <v>29</v>
      </c>
      <c r="H563" s="3">
        <f t="shared" ca="1" si="138"/>
        <v>58667</v>
      </c>
      <c r="I563" s="3">
        <f t="shared" ca="1" si="139"/>
        <v>16427</v>
      </c>
      <c r="J563" s="3">
        <f t="shared" ca="1" si="140"/>
        <v>3992</v>
      </c>
      <c r="K563" s="3">
        <f t="shared" ca="1" si="141"/>
        <v>5</v>
      </c>
      <c r="L563" s="3">
        <f t="shared" ca="1" si="142"/>
        <v>6</v>
      </c>
      <c r="M563" s="3">
        <f t="shared" ca="1" si="143"/>
        <v>1</v>
      </c>
      <c r="N563" s="3" t="str">
        <f t="shared" ca="1" si="144"/>
        <v>On Time</v>
      </c>
      <c r="O563" s="3" t="str">
        <f t="shared" ca="1" si="145"/>
        <v>High</v>
      </c>
      <c r="P563" s="3">
        <f t="shared" ca="1" si="146"/>
        <v>96.7</v>
      </c>
      <c r="Q563" s="1" t="str">
        <f ca="1">VLOOKUP(D563,Routes!$A$2:$D$31,2,FALSE)</f>
        <v>Chandigarh</v>
      </c>
      <c r="R563" s="1" t="str">
        <f ca="1">VLOOKUP(D563,Routes!$A$2:$D$31,3,FALSE)</f>
        <v>Delhi</v>
      </c>
      <c r="S563" s="3">
        <f ca="1">VLOOKUP(D563,Routes!$A$2:$D$31,4,FALSE)</f>
        <v>250</v>
      </c>
      <c r="T563" s="3" t="str">
        <f ca="1">VLOOKUP(E563,Vehicles!$A$2:$D$21,2,FALSE)</f>
        <v>Truck</v>
      </c>
      <c r="U563" s="3">
        <f ca="1">VLOOKUP(E563,Vehicles!$A$2:$D$21,3,FALSE)</f>
        <v>26</v>
      </c>
      <c r="V563" s="3" t="str">
        <f ca="1">VLOOKUP(E563,Vehicles!$A$2:$D$21,4,FALSE)</f>
        <v>Diesel</v>
      </c>
      <c r="W563" s="3">
        <f ca="1">VLOOKUP(V563,Fuel_Rates!$A$2:$B$3,2,FALSE)</f>
        <v>95</v>
      </c>
      <c r="X563" s="3">
        <f t="shared" ca="1" si="148"/>
        <v>234.67</v>
      </c>
      <c r="Y563" s="3">
        <f t="shared" ca="1" si="149"/>
        <v>79086</v>
      </c>
      <c r="Z563" s="3" t="str">
        <f t="shared" ca="1" si="150"/>
        <v>Jan</v>
      </c>
      <c r="AA563" s="3" t="str">
        <f t="shared" ca="1" si="151"/>
        <v>Q1</v>
      </c>
      <c r="AB563" s="4" t="str">
        <f t="shared" ca="1" si="152"/>
        <v>Short Haul</v>
      </c>
    </row>
    <row r="564" spans="1:28" x14ac:dyDescent="0.3">
      <c r="A564" s="8" t="str">
        <f t="shared" si="147"/>
        <v>S0563</v>
      </c>
      <c r="B564" s="3">
        <f t="shared" ca="1" si="136"/>
        <v>45672</v>
      </c>
      <c r="C564" s="3" t="str">
        <f ca="1">INDEX(Customers!$A$2:$A$21,RANDBETWEEN(1,20))</f>
        <v>C002</v>
      </c>
      <c r="D564" s="3" t="str">
        <f ca="1">INDEX(Routes!$A$2:$A$31,RANDBETWEEN(1,30))</f>
        <v>R019</v>
      </c>
      <c r="E564" s="3" t="str">
        <f ca="1">INDEX(Vehicles!$A$2:$A$21,RANDBETWEEN(1,20))</f>
        <v>V019</v>
      </c>
      <c r="F564" s="3" t="str">
        <f ca="1">INDEX(Drivers!$A$2:$A$31,RANDBETWEEN(1,30))</f>
        <v>D010</v>
      </c>
      <c r="G564" s="3">
        <f t="shared" ca="1" si="137"/>
        <v>24.8</v>
      </c>
      <c r="H564" s="3">
        <f t="shared" ca="1" si="138"/>
        <v>52144</v>
      </c>
      <c r="I564" s="3">
        <f t="shared" ca="1" si="139"/>
        <v>14600</v>
      </c>
      <c r="J564" s="3">
        <f t="shared" ca="1" si="140"/>
        <v>1537</v>
      </c>
      <c r="K564" s="3">
        <f t="shared" ca="1" si="141"/>
        <v>40</v>
      </c>
      <c r="L564" s="3">
        <f t="shared" ca="1" si="142"/>
        <v>43</v>
      </c>
      <c r="M564" s="3">
        <f t="shared" ca="1" si="143"/>
        <v>3</v>
      </c>
      <c r="N564" s="3" t="str">
        <f t="shared" ca="1" si="144"/>
        <v>Delayed</v>
      </c>
      <c r="O564" s="3" t="str">
        <f t="shared" ca="1" si="145"/>
        <v>High</v>
      </c>
      <c r="P564" s="3">
        <f t="shared" ca="1" si="146"/>
        <v>82.7</v>
      </c>
      <c r="Q564" s="1" t="str">
        <f ca="1">VLOOKUP(D564,Routes!$A$2:$D$31,2,FALSE)</f>
        <v>Ahmedabad</v>
      </c>
      <c r="R564" s="1" t="str">
        <f ca="1">VLOOKUP(D564,Routes!$A$2:$D$31,3,FALSE)</f>
        <v>Indore</v>
      </c>
      <c r="S564" s="3">
        <f ca="1">VLOOKUP(D564,Routes!$A$2:$D$31,4,FALSE)</f>
        <v>390</v>
      </c>
      <c r="T564" s="3" t="str">
        <f ca="1">VLOOKUP(E564,Vehicles!$A$2:$D$21,2,FALSE)</f>
        <v>Trailer</v>
      </c>
      <c r="U564" s="3">
        <f ca="1">VLOOKUP(E564,Vehicles!$A$2:$D$21,3,FALSE)</f>
        <v>35</v>
      </c>
      <c r="V564" s="3" t="str">
        <f ca="1">VLOOKUP(E564,Vehicles!$A$2:$D$21,4,FALSE)</f>
        <v>Diesel</v>
      </c>
      <c r="W564" s="3">
        <f ca="1">VLOOKUP(V564,Fuel_Rates!$A$2:$B$3,2,FALSE)</f>
        <v>95</v>
      </c>
      <c r="X564" s="3">
        <f t="shared" ca="1" si="148"/>
        <v>133.69999999999999</v>
      </c>
      <c r="Y564" s="3">
        <f t="shared" ca="1" si="149"/>
        <v>68281</v>
      </c>
      <c r="Z564" s="3" t="str">
        <f t="shared" ca="1" si="150"/>
        <v>Jan</v>
      </c>
      <c r="AA564" s="3" t="str">
        <f t="shared" ca="1" si="151"/>
        <v>Q1</v>
      </c>
      <c r="AB564" s="4" t="str">
        <f t="shared" ca="1" si="152"/>
        <v>Medium Haul</v>
      </c>
    </row>
    <row r="565" spans="1:28" x14ac:dyDescent="0.3">
      <c r="A565" s="8" t="str">
        <f t="shared" si="147"/>
        <v>S0564</v>
      </c>
      <c r="B565" s="3">
        <f t="shared" ca="1" si="136"/>
        <v>45936</v>
      </c>
      <c r="C565" s="3" t="str">
        <f ca="1">INDEX(Customers!$A$2:$A$21,RANDBETWEEN(1,20))</f>
        <v>C017</v>
      </c>
      <c r="D565" s="3" t="str">
        <f ca="1">INDEX(Routes!$A$2:$A$31,RANDBETWEEN(1,30))</f>
        <v>R020</v>
      </c>
      <c r="E565" s="3" t="str">
        <f ca="1">INDEX(Vehicles!$A$2:$A$21,RANDBETWEEN(1,20))</f>
        <v>V009</v>
      </c>
      <c r="F565" s="3" t="str">
        <f ca="1">INDEX(Drivers!$A$2:$A$31,RANDBETWEEN(1,30))</f>
        <v>D008</v>
      </c>
      <c r="G565" s="3">
        <f t="shared" ca="1" si="137"/>
        <v>19.5</v>
      </c>
      <c r="H565" s="3">
        <f t="shared" ca="1" si="138"/>
        <v>42509</v>
      </c>
      <c r="I565" s="3">
        <f t="shared" ca="1" si="139"/>
        <v>11903</v>
      </c>
      <c r="J565" s="3">
        <f t="shared" ca="1" si="140"/>
        <v>2064</v>
      </c>
      <c r="K565" s="3">
        <f t="shared" ca="1" si="141"/>
        <v>35</v>
      </c>
      <c r="L565" s="3">
        <f t="shared" ca="1" si="142"/>
        <v>43</v>
      </c>
      <c r="M565" s="3">
        <f t="shared" ca="1" si="143"/>
        <v>8</v>
      </c>
      <c r="N565" s="3" t="str">
        <f t="shared" ca="1" si="144"/>
        <v>Delayed</v>
      </c>
      <c r="O565" s="3" t="str">
        <f t="shared" ca="1" si="145"/>
        <v>Low</v>
      </c>
      <c r="P565" s="3">
        <f t="shared" ca="1" si="146"/>
        <v>65</v>
      </c>
      <c r="Q565" s="1" t="str">
        <f ca="1">VLOOKUP(D565,Routes!$A$2:$D$31,2,FALSE)</f>
        <v>Pune</v>
      </c>
      <c r="R565" s="1" t="str">
        <f ca="1">VLOOKUP(D565,Routes!$A$2:$D$31,3,FALSE)</f>
        <v>Nagpur</v>
      </c>
      <c r="S565" s="3">
        <f ca="1">VLOOKUP(D565,Routes!$A$2:$D$31,4,FALSE)</f>
        <v>720</v>
      </c>
      <c r="T565" s="3" t="str">
        <f ca="1">VLOOKUP(E565,Vehicles!$A$2:$D$21,2,FALSE)</f>
        <v>LCV</v>
      </c>
      <c r="U565" s="3">
        <f ca="1">VLOOKUP(E565,Vehicles!$A$2:$D$21,3,FALSE)</f>
        <v>5</v>
      </c>
      <c r="V565" s="3" t="str">
        <f ca="1">VLOOKUP(E565,Vehicles!$A$2:$D$21,4,FALSE)</f>
        <v>Diesel</v>
      </c>
      <c r="W565" s="3">
        <f ca="1">VLOOKUP(V565,Fuel_Rates!$A$2:$B$3,2,FALSE)</f>
        <v>95</v>
      </c>
      <c r="X565" s="3">
        <f t="shared" ca="1" si="148"/>
        <v>59.04</v>
      </c>
      <c r="Y565" s="3">
        <f t="shared" ca="1" si="149"/>
        <v>56476</v>
      </c>
      <c r="Z565" s="3" t="str">
        <f t="shared" ca="1" si="150"/>
        <v>Oct</v>
      </c>
      <c r="AA565" s="3" t="str">
        <f t="shared" ca="1" si="151"/>
        <v>Q4</v>
      </c>
      <c r="AB565" s="4" t="str">
        <f t="shared" ca="1" si="152"/>
        <v>Medium Haul</v>
      </c>
    </row>
    <row r="566" spans="1:28" x14ac:dyDescent="0.3">
      <c r="A566" s="8" t="str">
        <f t="shared" si="147"/>
        <v>S0565</v>
      </c>
      <c r="B566" s="3">
        <f t="shared" ca="1" si="136"/>
        <v>45676</v>
      </c>
      <c r="C566" s="3" t="str">
        <f ca="1">INDEX(Customers!$A$2:$A$21,RANDBETWEEN(1,20))</f>
        <v>C002</v>
      </c>
      <c r="D566" s="3" t="str">
        <f ca="1">INDEX(Routes!$A$2:$A$31,RANDBETWEEN(1,30))</f>
        <v>R001</v>
      </c>
      <c r="E566" s="3" t="str">
        <f ca="1">INDEX(Vehicles!$A$2:$A$21,RANDBETWEEN(1,20))</f>
        <v>V004</v>
      </c>
      <c r="F566" s="3" t="str">
        <f ca="1">INDEX(Drivers!$A$2:$A$31,RANDBETWEEN(1,30))</f>
        <v>D012</v>
      </c>
      <c r="G566" s="3">
        <f t="shared" ca="1" si="137"/>
        <v>23.8</v>
      </c>
      <c r="H566" s="3">
        <f t="shared" ca="1" si="138"/>
        <v>48685</v>
      </c>
      <c r="I566" s="3">
        <f t="shared" ca="1" si="139"/>
        <v>13632</v>
      </c>
      <c r="J566" s="3">
        <f t="shared" ca="1" si="140"/>
        <v>1006</v>
      </c>
      <c r="K566" s="3">
        <f t="shared" ca="1" si="141"/>
        <v>41</v>
      </c>
      <c r="L566" s="3">
        <f t="shared" ca="1" si="142"/>
        <v>46</v>
      </c>
      <c r="M566" s="3">
        <f t="shared" ca="1" si="143"/>
        <v>5</v>
      </c>
      <c r="N566" s="3" t="str">
        <f t="shared" ca="1" si="144"/>
        <v>Delayed</v>
      </c>
      <c r="O566" s="3" t="str">
        <f t="shared" ca="1" si="145"/>
        <v>High</v>
      </c>
      <c r="P566" s="3">
        <f t="shared" ca="1" si="146"/>
        <v>79.3</v>
      </c>
      <c r="Q566" s="1" t="str">
        <f ca="1">VLOOKUP(D566,Routes!$A$2:$D$31,2,FALSE)</f>
        <v>Mumbai</v>
      </c>
      <c r="R566" s="1" t="str">
        <f ca="1">VLOOKUP(D566,Routes!$A$2:$D$31,3,FALSE)</f>
        <v>Pune</v>
      </c>
      <c r="S566" s="3">
        <f ca="1">VLOOKUP(D566,Routes!$A$2:$D$31,4,FALSE)</f>
        <v>150</v>
      </c>
      <c r="T566" s="3" t="str">
        <f ca="1">VLOOKUP(E566,Vehicles!$A$2:$D$21,2,FALSE)</f>
        <v>Trailer</v>
      </c>
      <c r="U566" s="3">
        <f ca="1">VLOOKUP(E566,Vehicles!$A$2:$D$21,3,FALSE)</f>
        <v>28</v>
      </c>
      <c r="V566" s="3" t="str">
        <f ca="1">VLOOKUP(E566,Vehicles!$A$2:$D$21,4,FALSE)</f>
        <v>Diesel</v>
      </c>
      <c r="W566" s="3">
        <f ca="1">VLOOKUP(V566,Fuel_Rates!$A$2:$B$3,2,FALSE)</f>
        <v>95</v>
      </c>
      <c r="X566" s="3">
        <f t="shared" ca="1" si="148"/>
        <v>324.57</v>
      </c>
      <c r="Y566" s="3">
        <f t="shared" ca="1" si="149"/>
        <v>63323</v>
      </c>
      <c r="Z566" s="3" t="str">
        <f t="shared" ca="1" si="150"/>
        <v>Jan</v>
      </c>
      <c r="AA566" s="3" t="str">
        <f t="shared" ca="1" si="151"/>
        <v>Q1</v>
      </c>
      <c r="AB566" s="4" t="str">
        <f t="shared" ca="1" si="152"/>
        <v>Short Haul</v>
      </c>
    </row>
    <row r="567" spans="1:28" x14ac:dyDescent="0.3">
      <c r="A567" s="8" t="str">
        <f t="shared" si="147"/>
        <v>S0566</v>
      </c>
      <c r="B567" s="3">
        <f t="shared" ca="1" si="136"/>
        <v>45800</v>
      </c>
      <c r="C567" s="3" t="str">
        <f ca="1">INDEX(Customers!$A$2:$A$21,RANDBETWEEN(1,20))</f>
        <v>C013</v>
      </c>
      <c r="D567" s="3" t="str">
        <f ca="1">INDEX(Routes!$A$2:$A$31,RANDBETWEEN(1,30))</f>
        <v>R030</v>
      </c>
      <c r="E567" s="3" t="str">
        <f ca="1">INDEX(Vehicles!$A$2:$A$21,RANDBETWEEN(1,20))</f>
        <v>V016</v>
      </c>
      <c r="F567" s="3" t="str">
        <f ca="1">INDEX(Drivers!$A$2:$A$31,RANDBETWEEN(1,30))</f>
        <v>D003</v>
      </c>
      <c r="G567" s="3">
        <f t="shared" ca="1" si="137"/>
        <v>19</v>
      </c>
      <c r="H567" s="3">
        <f t="shared" ca="1" si="138"/>
        <v>39925</v>
      </c>
      <c r="I567" s="3">
        <f t="shared" ca="1" si="139"/>
        <v>11179</v>
      </c>
      <c r="J567" s="3">
        <f t="shared" ca="1" si="140"/>
        <v>2545</v>
      </c>
      <c r="K567" s="3">
        <f t="shared" ca="1" si="141"/>
        <v>8</v>
      </c>
      <c r="L567" s="3">
        <f t="shared" ca="1" si="142"/>
        <v>11</v>
      </c>
      <c r="M567" s="3">
        <f t="shared" ca="1" si="143"/>
        <v>3</v>
      </c>
      <c r="N567" s="3" t="str">
        <f t="shared" ca="1" si="144"/>
        <v>Delayed</v>
      </c>
      <c r="O567" s="3" t="str">
        <f t="shared" ca="1" si="145"/>
        <v>High</v>
      </c>
      <c r="P567" s="3">
        <f t="shared" ca="1" si="146"/>
        <v>63.3</v>
      </c>
      <c r="Q567" s="1" t="str">
        <f ca="1">VLOOKUP(D567,Routes!$A$2:$D$31,2,FALSE)</f>
        <v>Bhubaneswar</v>
      </c>
      <c r="R567" s="1" t="str">
        <f ca="1">VLOOKUP(D567,Routes!$A$2:$D$31,3,FALSE)</f>
        <v>Kolkata</v>
      </c>
      <c r="S567" s="3">
        <f ca="1">VLOOKUP(D567,Routes!$A$2:$D$31,4,FALSE)</f>
        <v>440</v>
      </c>
      <c r="T567" s="3" t="str">
        <f ca="1">VLOOKUP(E567,Vehicles!$A$2:$D$21,2,FALSE)</f>
        <v>Container</v>
      </c>
      <c r="U567" s="3">
        <f ca="1">VLOOKUP(E567,Vehicles!$A$2:$D$21,3,FALSE)</f>
        <v>22</v>
      </c>
      <c r="V567" s="3" t="str">
        <f ca="1">VLOOKUP(E567,Vehicles!$A$2:$D$21,4,FALSE)</f>
        <v>Diesel</v>
      </c>
      <c r="W567" s="3">
        <f ca="1">VLOOKUP(V567,Fuel_Rates!$A$2:$B$3,2,FALSE)</f>
        <v>95</v>
      </c>
      <c r="X567" s="3">
        <f t="shared" ca="1" si="148"/>
        <v>90.74</v>
      </c>
      <c r="Y567" s="3">
        <f t="shared" ca="1" si="149"/>
        <v>53649</v>
      </c>
      <c r="Z567" s="3" t="str">
        <f t="shared" ca="1" si="150"/>
        <v>May</v>
      </c>
      <c r="AA567" s="3" t="str">
        <f t="shared" ca="1" si="151"/>
        <v>Q2</v>
      </c>
      <c r="AB567" s="4" t="str">
        <f t="shared" ca="1" si="152"/>
        <v>Medium Haul</v>
      </c>
    </row>
    <row r="568" spans="1:28" x14ac:dyDescent="0.3">
      <c r="A568" s="8" t="str">
        <f t="shared" si="147"/>
        <v>S0567</v>
      </c>
      <c r="B568" s="3">
        <f t="shared" ca="1" si="136"/>
        <v>45792</v>
      </c>
      <c r="C568" s="3" t="str">
        <f ca="1">INDEX(Customers!$A$2:$A$21,RANDBETWEEN(1,20))</f>
        <v>C012</v>
      </c>
      <c r="D568" s="3" t="str">
        <f ca="1">INDEX(Routes!$A$2:$A$31,RANDBETWEEN(1,30))</f>
        <v>R026</v>
      </c>
      <c r="E568" s="3" t="str">
        <f ca="1">INDEX(Vehicles!$A$2:$A$21,RANDBETWEEN(1,20))</f>
        <v>V008</v>
      </c>
      <c r="F568" s="3" t="str">
        <f ca="1">INDEX(Drivers!$A$2:$A$31,RANDBETWEEN(1,30))</f>
        <v>D030</v>
      </c>
      <c r="G568" s="3">
        <f t="shared" ca="1" si="137"/>
        <v>26.7</v>
      </c>
      <c r="H568" s="3">
        <f t="shared" ca="1" si="138"/>
        <v>57841</v>
      </c>
      <c r="I568" s="3">
        <f t="shared" ca="1" si="139"/>
        <v>16195</v>
      </c>
      <c r="J568" s="3">
        <f t="shared" ca="1" si="140"/>
        <v>869</v>
      </c>
      <c r="K568" s="3">
        <f t="shared" ca="1" si="141"/>
        <v>7</v>
      </c>
      <c r="L568" s="3">
        <f t="shared" ca="1" si="142"/>
        <v>15</v>
      </c>
      <c r="M568" s="3">
        <f t="shared" ca="1" si="143"/>
        <v>8</v>
      </c>
      <c r="N568" s="3" t="str">
        <f t="shared" ca="1" si="144"/>
        <v>Delayed</v>
      </c>
      <c r="O568" s="3" t="str">
        <f t="shared" ca="1" si="145"/>
        <v>Medium</v>
      </c>
      <c r="P568" s="3">
        <f t="shared" ca="1" si="146"/>
        <v>89</v>
      </c>
      <c r="Q568" s="1" t="str">
        <f ca="1">VLOOKUP(D568,Routes!$A$2:$D$31,2,FALSE)</f>
        <v>Nagpur</v>
      </c>
      <c r="R568" s="1" t="str">
        <f ca="1">VLOOKUP(D568,Routes!$A$2:$D$31,3,FALSE)</f>
        <v>Bhopal</v>
      </c>
      <c r="S568" s="3">
        <f ca="1">VLOOKUP(D568,Routes!$A$2:$D$31,4,FALSE)</f>
        <v>350</v>
      </c>
      <c r="T568" s="3" t="str">
        <f ca="1">VLOOKUP(E568,Vehicles!$A$2:$D$21,2,FALSE)</f>
        <v>Container</v>
      </c>
      <c r="U568" s="3">
        <f ca="1">VLOOKUP(E568,Vehicles!$A$2:$D$21,3,FALSE)</f>
        <v>25</v>
      </c>
      <c r="V568" s="3" t="str">
        <f ca="1">VLOOKUP(E568,Vehicles!$A$2:$D$21,4,FALSE)</f>
        <v>Diesel</v>
      </c>
      <c r="W568" s="3">
        <f ca="1">VLOOKUP(V568,Fuel_Rates!$A$2:$B$3,2,FALSE)</f>
        <v>95</v>
      </c>
      <c r="X568" s="3">
        <f t="shared" ca="1" si="148"/>
        <v>165.26</v>
      </c>
      <c r="Y568" s="3">
        <f t="shared" ca="1" si="149"/>
        <v>74905</v>
      </c>
      <c r="Z568" s="3" t="str">
        <f t="shared" ca="1" si="150"/>
        <v>May</v>
      </c>
      <c r="AA568" s="3" t="str">
        <f t="shared" ca="1" si="151"/>
        <v>Q2</v>
      </c>
      <c r="AB568" s="4" t="str">
        <f t="shared" ca="1" si="152"/>
        <v>Medium Haul</v>
      </c>
    </row>
    <row r="569" spans="1:28" x14ac:dyDescent="0.3">
      <c r="A569" s="8" t="str">
        <f t="shared" si="147"/>
        <v>S0568</v>
      </c>
      <c r="B569" s="3">
        <f t="shared" ca="1" si="136"/>
        <v>45759</v>
      </c>
      <c r="C569" s="3" t="str">
        <f ca="1">INDEX(Customers!$A$2:$A$21,RANDBETWEEN(1,20))</f>
        <v>C015</v>
      </c>
      <c r="D569" s="3" t="str">
        <f ca="1">INDEX(Routes!$A$2:$A$31,RANDBETWEEN(1,30))</f>
        <v>R015</v>
      </c>
      <c r="E569" s="3" t="str">
        <f ca="1">INDEX(Vehicles!$A$2:$A$21,RANDBETWEEN(1,20))</f>
        <v>V008</v>
      </c>
      <c r="F569" s="3" t="str">
        <f ca="1">INDEX(Drivers!$A$2:$A$31,RANDBETWEEN(1,30))</f>
        <v>D003</v>
      </c>
      <c r="G569" s="3">
        <f t="shared" ca="1" si="137"/>
        <v>26</v>
      </c>
      <c r="H569" s="3">
        <f t="shared" ca="1" si="138"/>
        <v>58519</v>
      </c>
      <c r="I569" s="3">
        <f t="shared" ca="1" si="139"/>
        <v>16385</v>
      </c>
      <c r="J569" s="3">
        <f t="shared" ca="1" si="140"/>
        <v>2150</v>
      </c>
      <c r="K569" s="3">
        <f t="shared" ca="1" si="141"/>
        <v>40</v>
      </c>
      <c r="L569" s="3">
        <f t="shared" ca="1" si="142"/>
        <v>47</v>
      </c>
      <c r="M569" s="3">
        <f t="shared" ca="1" si="143"/>
        <v>7</v>
      </c>
      <c r="N569" s="3" t="str">
        <f t="shared" ca="1" si="144"/>
        <v>Delayed</v>
      </c>
      <c r="O569" s="3" t="str">
        <f t="shared" ca="1" si="145"/>
        <v>Medium</v>
      </c>
      <c r="P569" s="3">
        <f t="shared" ca="1" si="146"/>
        <v>86.7</v>
      </c>
      <c r="Q569" s="1" t="str">
        <f ca="1">VLOOKUP(D569,Routes!$A$2:$D$31,2,FALSE)</f>
        <v>Hyderabad</v>
      </c>
      <c r="R569" s="1" t="str">
        <f ca="1">VLOOKUP(D569,Routes!$A$2:$D$31,3,FALSE)</f>
        <v>Pune</v>
      </c>
      <c r="S569" s="3">
        <f ca="1">VLOOKUP(D569,Routes!$A$2:$D$31,4,FALSE)</f>
        <v>560</v>
      </c>
      <c r="T569" s="3" t="str">
        <f ca="1">VLOOKUP(E569,Vehicles!$A$2:$D$21,2,FALSE)</f>
        <v>Container</v>
      </c>
      <c r="U569" s="3">
        <f ca="1">VLOOKUP(E569,Vehicles!$A$2:$D$21,3,FALSE)</f>
        <v>25</v>
      </c>
      <c r="V569" s="3" t="str">
        <f ca="1">VLOOKUP(E569,Vehicles!$A$2:$D$21,4,FALSE)</f>
        <v>Diesel</v>
      </c>
      <c r="W569" s="3">
        <f ca="1">VLOOKUP(V569,Fuel_Rates!$A$2:$B$3,2,FALSE)</f>
        <v>95</v>
      </c>
      <c r="X569" s="3">
        <f t="shared" ca="1" si="148"/>
        <v>104.5</v>
      </c>
      <c r="Y569" s="3">
        <f t="shared" ca="1" si="149"/>
        <v>77054</v>
      </c>
      <c r="Z569" s="3" t="str">
        <f t="shared" ca="1" si="150"/>
        <v>Apr</v>
      </c>
      <c r="AA569" s="3" t="str">
        <f t="shared" ca="1" si="151"/>
        <v>Q2</v>
      </c>
      <c r="AB569" s="4" t="str">
        <f t="shared" ca="1" si="152"/>
        <v>Medium Haul</v>
      </c>
    </row>
    <row r="570" spans="1:28" x14ac:dyDescent="0.3">
      <c r="A570" s="8" t="str">
        <f t="shared" si="147"/>
        <v>S0569</v>
      </c>
      <c r="B570" s="3">
        <f t="shared" ca="1" si="136"/>
        <v>45851</v>
      </c>
      <c r="C570" s="3" t="str">
        <f ca="1">INDEX(Customers!$A$2:$A$21,RANDBETWEEN(1,20))</f>
        <v>C006</v>
      </c>
      <c r="D570" s="3" t="str">
        <f ca="1">INDEX(Routes!$A$2:$A$31,RANDBETWEEN(1,30))</f>
        <v>R028</v>
      </c>
      <c r="E570" s="3" t="str">
        <f ca="1">INDEX(Vehicles!$A$2:$A$21,RANDBETWEEN(1,20))</f>
        <v>V011</v>
      </c>
      <c r="F570" s="3" t="str">
        <f ca="1">INDEX(Drivers!$A$2:$A$31,RANDBETWEEN(1,30))</f>
        <v>D017</v>
      </c>
      <c r="G570" s="3">
        <f t="shared" ca="1" si="137"/>
        <v>22.3</v>
      </c>
      <c r="H570" s="3">
        <f t="shared" ca="1" si="138"/>
        <v>48093</v>
      </c>
      <c r="I570" s="3">
        <f t="shared" ca="1" si="139"/>
        <v>13466</v>
      </c>
      <c r="J570" s="3">
        <f t="shared" ca="1" si="140"/>
        <v>729</v>
      </c>
      <c r="K570" s="3">
        <f t="shared" ca="1" si="141"/>
        <v>21</v>
      </c>
      <c r="L570" s="3">
        <f t="shared" ca="1" si="142"/>
        <v>21</v>
      </c>
      <c r="M570" s="3">
        <f t="shared" ca="1" si="143"/>
        <v>0</v>
      </c>
      <c r="N570" s="3" t="str">
        <f t="shared" ca="1" si="144"/>
        <v>On Time</v>
      </c>
      <c r="O570" s="3" t="str">
        <f t="shared" ca="1" si="145"/>
        <v>High</v>
      </c>
      <c r="P570" s="3">
        <f t="shared" ca="1" si="146"/>
        <v>74.3</v>
      </c>
      <c r="Q570" s="1" t="str">
        <f ca="1">VLOOKUP(D570,Routes!$A$2:$D$31,2,FALSE)</f>
        <v>Indore</v>
      </c>
      <c r="R570" s="1" t="str">
        <f ca="1">VLOOKUP(D570,Routes!$A$2:$D$31,3,FALSE)</f>
        <v>Mumbai</v>
      </c>
      <c r="S570" s="3">
        <f ca="1">VLOOKUP(D570,Routes!$A$2:$D$31,4,FALSE)</f>
        <v>590</v>
      </c>
      <c r="T570" s="3" t="str">
        <f ca="1">VLOOKUP(E570,Vehicles!$A$2:$D$21,2,FALSE)</f>
        <v>Truck</v>
      </c>
      <c r="U570" s="3">
        <f ca="1">VLOOKUP(E570,Vehicles!$A$2:$D$21,3,FALSE)</f>
        <v>18</v>
      </c>
      <c r="V570" s="3" t="str">
        <f ca="1">VLOOKUP(E570,Vehicles!$A$2:$D$21,4,FALSE)</f>
        <v>CNG</v>
      </c>
      <c r="W570" s="3">
        <f ca="1">VLOOKUP(V570,Fuel_Rates!$A$2:$B$3,2,FALSE)</f>
        <v>78</v>
      </c>
      <c r="X570" s="3">
        <f t="shared" ca="1" si="148"/>
        <v>81.510000000000005</v>
      </c>
      <c r="Y570" s="3">
        <f t="shared" ca="1" si="149"/>
        <v>62288</v>
      </c>
      <c r="Z570" s="3" t="str">
        <f t="shared" ca="1" si="150"/>
        <v>Jul</v>
      </c>
      <c r="AA570" s="3" t="str">
        <f t="shared" ca="1" si="151"/>
        <v>Q3</v>
      </c>
      <c r="AB570" s="4" t="str">
        <f t="shared" ca="1" si="152"/>
        <v>Medium Haul</v>
      </c>
    </row>
    <row r="571" spans="1:28" x14ac:dyDescent="0.3">
      <c r="A571" s="8" t="str">
        <f t="shared" si="147"/>
        <v>S0570</v>
      </c>
      <c r="B571" s="3">
        <f t="shared" ca="1" si="136"/>
        <v>45770</v>
      </c>
      <c r="C571" s="3" t="str">
        <f ca="1">INDEX(Customers!$A$2:$A$21,RANDBETWEEN(1,20))</f>
        <v>C003</v>
      </c>
      <c r="D571" s="3" t="str">
        <f ca="1">INDEX(Routes!$A$2:$A$31,RANDBETWEEN(1,30))</f>
        <v>R011</v>
      </c>
      <c r="E571" s="3" t="str">
        <f ca="1">INDEX(Vehicles!$A$2:$A$21,RANDBETWEEN(1,20))</f>
        <v>V009</v>
      </c>
      <c r="F571" s="3" t="str">
        <f ca="1">INDEX(Drivers!$A$2:$A$31,RANDBETWEEN(1,30))</f>
        <v>D007</v>
      </c>
      <c r="G571" s="3">
        <f t="shared" ca="1" si="137"/>
        <v>5.0999999999999996</v>
      </c>
      <c r="H571" s="3">
        <f t="shared" ca="1" si="138"/>
        <v>14406</v>
      </c>
      <c r="I571" s="3">
        <f t="shared" ca="1" si="139"/>
        <v>4034</v>
      </c>
      <c r="J571" s="3">
        <f t="shared" ca="1" si="140"/>
        <v>3632</v>
      </c>
      <c r="K571" s="3">
        <f t="shared" ca="1" si="141"/>
        <v>22</v>
      </c>
      <c r="L571" s="3">
        <f t="shared" ca="1" si="142"/>
        <v>23</v>
      </c>
      <c r="M571" s="3">
        <f t="shared" ca="1" si="143"/>
        <v>1</v>
      </c>
      <c r="N571" s="3" t="str">
        <f t="shared" ca="1" si="144"/>
        <v>On Time</v>
      </c>
      <c r="O571" s="3" t="str">
        <f t="shared" ca="1" si="145"/>
        <v>High</v>
      </c>
      <c r="P571" s="3">
        <f t="shared" ca="1" si="146"/>
        <v>17</v>
      </c>
      <c r="Q571" s="1" t="str">
        <f ca="1">VLOOKUP(D571,Routes!$A$2:$D$31,2,FALSE)</f>
        <v>Bengaluru</v>
      </c>
      <c r="R571" s="1" t="str">
        <f ca="1">VLOOKUP(D571,Routes!$A$2:$D$31,3,FALSE)</f>
        <v>Kochi</v>
      </c>
      <c r="S571" s="3">
        <f ca="1">VLOOKUP(D571,Routes!$A$2:$D$31,4,FALSE)</f>
        <v>550</v>
      </c>
      <c r="T571" s="3" t="str">
        <f ca="1">VLOOKUP(E571,Vehicles!$A$2:$D$21,2,FALSE)</f>
        <v>LCV</v>
      </c>
      <c r="U571" s="3">
        <f ca="1">VLOOKUP(E571,Vehicles!$A$2:$D$21,3,FALSE)</f>
        <v>5</v>
      </c>
      <c r="V571" s="3" t="str">
        <f ca="1">VLOOKUP(E571,Vehicles!$A$2:$D$21,4,FALSE)</f>
        <v>Diesel</v>
      </c>
      <c r="W571" s="3">
        <f ca="1">VLOOKUP(V571,Fuel_Rates!$A$2:$B$3,2,FALSE)</f>
        <v>95</v>
      </c>
      <c r="X571" s="3">
        <f t="shared" ca="1" si="148"/>
        <v>26.19</v>
      </c>
      <c r="Y571" s="3">
        <f t="shared" ca="1" si="149"/>
        <v>22072</v>
      </c>
      <c r="Z571" s="3" t="str">
        <f t="shared" ca="1" si="150"/>
        <v>Apr</v>
      </c>
      <c r="AA571" s="3" t="str">
        <f t="shared" ca="1" si="151"/>
        <v>Q2</v>
      </c>
      <c r="AB571" s="4" t="str">
        <f t="shared" ca="1" si="152"/>
        <v>Medium Haul</v>
      </c>
    </row>
    <row r="572" spans="1:28" x14ac:dyDescent="0.3">
      <c r="A572" s="8" t="str">
        <f t="shared" si="147"/>
        <v>S0571</v>
      </c>
      <c r="B572" s="3">
        <f t="shared" ca="1" si="136"/>
        <v>45933</v>
      </c>
      <c r="C572" s="3" t="str">
        <f ca="1">INDEX(Customers!$A$2:$A$21,RANDBETWEEN(1,20))</f>
        <v>C006</v>
      </c>
      <c r="D572" s="3" t="str">
        <f ca="1">INDEX(Routes!$A$2:$A$31,RANDBETWEEN(1,30))</f>
        <v>R021</v>
      </c>
      <c r="E572" s="3" t="str">
        <f ca="1">INDEX(Vehicles!$A$2:$A$21,RANDBETWEEN(1,20))</f>
        <v>V015</v>
      </c>
      <c r="F572" s="3" t="str">
        <f ca="1">INDEX(Drivers!$A$2:$A$31,RANDBETWEEN(1,30))</f>
        <v>D027</v>
      </c>
      <c r="G572" s="3">
        <f t="shared" ca="1" si="137"/>
        <v>27.9</v>
      </c>
      <c r="H572" s="3">
        <f t="shared" ca="1" si="138"/>
        <v>57056</v>
      </c>
      <c r="I572" s="3">
        <f t="shared" ca="1" si="139"/>
        <v>15976</v>
      </c>
      <c r="J572" s="3">
        <f t="shared" ca="1" si="140"/>
        <v>574</v>
      </c>
      <c r="K572" s="3">
        <f t="shared" ca="1" si="141"/>
        <v>15</v>
      </c>
      <c r="L572" s="3">
        <f t="shared" ca="1" si="142"/>
        <v>15</v>
      </c>
      <c r="M572" s="3">
        <f t="shared" ca="1" si="143"/>
        <v>0</v>
      </c>
      <c r="N572" s="3" t="str">
        <f t="shared" ca="1" si="144"/>
        <v>On Time</v>
      </c>
      <c r="O572" s="3" t="str">
        <f t="shared" ca="1" si="145"/>
        <v>Medium</v>
      </c>
      <c r="P572" s="3">
        <f t="shared" ca="1" si="146"/>
        <v>93</v>
      </c>
      <c r="Q572" s="1" t="str">
        <f ca="1">VLOOKUP(D572,Routes!$A$2:$D$31,2,FALSE)</f>
        <v>Lucknow</v>
      </c>
      <c r="R572" s="1" t="str">
        <f ca="1">VLOOKUP(D572,Routes!$A$2:$D$31,3,FALSE)</f>
        <v>Kanpur</v>
      </c>
      <c r="S572" s="3">
        <f ca="1">VLOOKUP(D572,Routes!$A$2:$D$31,4,FALSE)</f>
        <v>90</v>
      </c>
      <c r="T572" s="3" t="str">
        <f ca="1">VLOOKUP(E572,Vehicles!$A$2:$D$21,2,FALSE)</f>
        <v>Trailer</v>
      </c>
      <c r="U572" s="3">
        <f ca="1">VLOOKUP(E572,Vehicles!$A$2:$D$21,3,FALSE)</f>
        <v>30</v>
      </c>
      <c r="V572" s="3" t="str">
        <f ca="1">VLOOKUP(E572,Vehicles!$A$2:$D$21,4,FALSE)</f>
        <v>Diesel</v>
      </c>
      <c r="W572" s="3">
        <f ca="1">VLOOKUP(V572,Fuel_Rates!$A$2:$B$3,2,FALSE)</f>
        <v>95</v>
      </c>
      <c r="X572" s="3">
        <f t="shared" ca="1" si="148"/>
        <v>633.96</v>
      </c>
      <c r="Y572" s="3">
        <f t="shared" ca="1" si="149"/>
        <v>73606</v>
      </c>
      <c r="Z572" s="3" t="str">
        <f t="shared" ca="1" si="150"/>
        <v>Oct</v>
      </c>
      <c r="AA572" s="3" t="str">
        <f t="shared" ca="1" si="151"/>
        <v>Q4</v>
      </c>
      <c r="AB572" s="4" t="str">
        <f t="shared" ca="1" si="152"/>
        <v>Short Haul</v>
      </c>
    </row>
    <row r="573" spans="1:28" x14ac:dyDescent="0.3">
      <c r="A573" s="8" t="str">
        <f t="shared" si="147"/>
        <v>S0572</v>
      </c>
      <c r="B573" s="3">
        <f t="shared" ca="1" si="136"/>
        <v>45864</v>
      </c>
      <c r="C573" s="3" t="str">
        <f ca="1">INDEX(Customers!$A$2:$A$21,RANDBETWEEN(1,20))</f>
        <v>C015</v>
      </c>
      <c r="D573" s="3" t="str">
        <f ca="1">INDEX(Routes!$A$2:$A$31,RANDBETWEEN(1,30))</f>
        <v>R019</v>
      </c>
      <c r="E573" s="3" t="str">
        <f ca="1">INDEX(Vehicles!$A$2:$A$21,RANDBETWEEN(1,20))</f>
        <v>V006</v>
      </c>
      <c r="F573" s="3" t="str">
        <f ca="1">INDEX(Drivers!$A$2:$A$31,RANDBETWEEN(1,30))</f>
        <v>D021</v>
      </c>
      <c r="G573" s="3">
        <f t="shared" ca="1" si="137"/>
        <v>8.1</v>
      </c>
      <c r="H573" s="3">
        <f t="shared" ca="1" si="138"/>
        <v>25906</v>
      </c>
      <c r="I573" s="3">
        <f t="shared" ca="1" si="139"/>
        <v>7254</v>
      </c>
      <c r="J573" s="3">
        <f t="shared" ca="1" si="140"/>
        <v>1212</v>
      </c>
      <c r="K573" s="3">
        <f t="shared" ca="1" si="141"/>
        <v>30</v>
      </c>
      <c r="L573" s="3">
        <f t="shared" ca="1" si="142"/>
        <v>36</v>
      </c>
      <c r="M573" s="3">
        <f t="shared" ca="1" si="143"/>
        <v>6</v>
      </c>
      <c r="N573" s="3" t="str">
        <f t="shared" ca="1" si="144"/>
        <v>Delayed</v>
      </c>
      <c r="O573" s="3" t="str">
        <f t="shared" ca="1" si="145"/>
        <v>High</v>
      </c>
      <c r="P573" s="3">
        <f t="shared" ca="1" si="146"/>
        <v>27</v>
      </c>
      <c r="Q573" s="1" t="str">
        <f ca="1">VLOOKUP(D573,Routes!$A$2:$D$31,2,FALSE)</f>
        <v>Ahmedabad</v>
      </c>
      <c r="R573" s="1" t="str">
        <f ca="1">VLOOKUP(D573,Routes!$A$2:$D$31,3,FALSE)</f>
        <v>Indore</v>
      </c>
      <c r="S573" s="3">
        <f ca="1">VLOOKUP(D573,Routes!$A$2:$D$31,4,FALSE)</f>
        <v>390</v>
      </c>
      <c r="T573" s="3" t="str">
        <f ca="1">VLOOKUP(E573,Vehicles!$A$2:$D$21,2,FALSE)</f>
        <v>Container</v>
      </c>
      <c r="U573" s="3">
        <f ca="1">VLOOKUP(E573,Vehicles!$A$2:$D$21,3,FALSE)</f>
        <v>18</v>
      </c>
      <c r="V573" s="3" t="str">
        <f ca="1">VLOOKUP(E573,Vehicles!$A$2:$D$21,4,FALSE)</f>
        <v>Diesel</v>
      </c>
      <c r="W573" s="3">
        <f ca="1">VLOOKUP(V573,Fuel_Rates!$A$2:$B$3,2,FALSE)</f>
        <v>95</v>
      </c>
      <c r="X573" s="3">
        <f t="shared" ca="1" si="148"/>
        <v>66.430000000000007</v>
      </c>
      <c r="Y573" s="3">
        <f t="shared" ca="1" si="149"/>
        <v>34372</v>
      </c>
      <c r="Z573" s="3" t="str">
        <f t="shared" ca="1" si="150"/>
        <v>Jul</v>
      </c>
      <c r="AA573" s="3" t="str">
        <f t="shared" ca="1" si="151"/>
        <v>Q3</v>
      </c>
      <c r="AB573" s="4" t="str">
        <f t="shared" ca="1" si="152"/>
        <v>Medium Haul</v>
      </c>
    </row>
    <row r="574" spans="1:28" x14ac:dyDescent="0.3">
      <c r="A574" s="8" t="str">
        <f t="shared" si="147"/>
        <v>S0573</v>
      </c>
      <c r="B574" s="3">
        <f t="shared" ca="1" si="136"/>
        <v>45952</v>
      </c>
      <c r="C574" s="3" t="str">
        <f ca="1">INDEX(Customers!$A$2:$A$21,RANDBETWEEN(1,20))</f>
        <v>C011</v>
      </c>
      <c r="D574" s="3" t="str">
        <f ca="1">INDEX(Routes!$A$2:$A$31,RANDBETWEEN(1,30))</f>
        <v>R021</v>
      </c>
      <c r="E574" s="3" t="str">
        <f ca="1">INDEX(Vehicles!$A$2:$A$21,RANDBETWEEN(1,20))</f>
        <v>V017</v>
      </c>
      <c r="F574" s="3" t="str">
        <f ca="1">INDEX(Drivers!$A$2:$A$31,RANDBETWEEN(1,30))</f>
        <v>D010</v>
      </c>
      <c r="G574" s="3">
        <f t="shared" ca="1" si="137"/>
        <v>6.3</v>
      </c>
      <c r="H574" s="3">
        <f t="shared" ca="1" si="138"/>
        <v>20365</v>
      </c>
      <c r="I574" s="3">
        <f t="shared" ca="1" si="139"/>
        <v>5702</v>
      </c>
      <c r="J574" s="3">
        <f t="shared" ca="1" si="140"/>
        <v>2939</v>
      </c>
      <c r="K574" s="3">
        <f t="shared" ca="1" si="141"/>
        <v>40</v>
      </c>
      <c r="L574" s="3">
        <f t="shared" ca="1" si="142"/>
        <v>41</v>
      </c>
      <c r="M574" s="3">
        <f t="shared" ca="1" si="143"/>
        <v>1</v>
      </c>
      <c r="N574" s="3" t="str">
        <f t="shared" ca="1" si="144"/>
        <v>On Time</v>
      </c>
      <c r="O574" s="3" t="str">
        <f t="shared" ca="1" si="145"/>
        <v>High</v>
      </c>
      <c r="P574" s="3">
        <f t="shared" ca="1" si="146"/>
        <v>21</v>
      </c>
      <c r="Q574" s="1" t="str">
        <f ca="1">VLOOKUP(D574,Routes!$A$2:$D$31,2,FALSE)</f>
        <v>Lucknow</v>
      </c>
      <c r="R574" s="1" t="str">
        <f ca="1">VLOOKUP(D574,Routes!$A$2:$D$31,3,FALSE)</f>
        <v>Kanpur</v>
      </c>
      <c r="S574" s="3">
        <f ca="1">VLOOKUP(D574,Routes!$A$2:$D$31,4,FALSE)</f>
        <v>90</v>
      </c>
      <c r="T574" s="3" t="str">
        <f ca="1">VLOOKUP(E574,Vehicles!$A$2:$D$21,2,FALSE)</f>
        <v>Truck</v>
      </c>
      <c r="U574" s="3">
        <f ca="1">VLOOKUP(E574,Vehicles!$A$2:$D$21,3,FALSE)</f>
        <v>24</v>
      </c>
      <c r="V574" s="3" t="str">
        <f ca="1">VLOOKUP(E574,Vehicles!$A$2:$D$21,4,FALSE)</f>
        <v>Diesel</v>
      </c>
      <c r="W574" s="3">
        <f ca="1">VLOOKUP(V574,Fuel_Rates!$A$2:$B$3,2,FALSE)</f>
        <v>95</v>
      </c>
      <c r="X574" s="3">
        <f t="shared" ca="1" si="148"/>
        <v>226.28</v>
      </c>
      <c r="Y574" s="3">
        <f t="shared" ca="1" si="149"/>
        <v>29006</v>
      </c>
      <c r="Z574" s="3" t="str">
        <f t="shared" ca="1" si="150"/>
        <v>Oct</v>
      </c>
      <c r="AA574" s="3" t="str">
        <f t="shared" ca="1" si="151"/>
        <v>Q4</v>
      </c>
      <c r="AB574" s="4" t="str">
        <f t="shared" ca="1" si="152"/>
        <v>Short Haul</v>
      </c>
    </row>
    <row r="575" spans="1:28" x14ac:dyDescent="0.3">
      <c r="A575" s="8" t="str">
        <f t="shared" si="147"/>
        <v>S0574</v>
      </c>
      <c r="B575" s="3">
        <f t="shared" ca="1" si="136"/>
        <v>45905</v>
      </c>
      <c r="C575" s="3" t="str">
        <f ca="1">INDEX(Customers!$A$2:$A$21,RANDBETWEEN(1,20))</f>
        <v>C014</v>
      </c>
      <c r="D575" s="3" t="str">
        <f ca="1">INDEX(Routes!$A$2:$A$31,RANDBETWEEN(1,30))</f>
        <v>R025</v>
      </c>
      <c r="E575" s="3" t="str">
        <f ca="1">INDEX(Vehicles!$A$2:$A$21,RANDBETWEEN(1,20))</f>
        <v>V008</v>
      </c>
      <c r="F575" s="3" t="str">
        <f ca="1">INDEX(Drivers!$A$2:$A$31,RANDBETWEEN(1,30))</f>
        <v>D013</v>
      </c>
      <c r="G575" s="3">
        <f t="shared" ca="1" si="137"/>
        <v>25.7</v>
      </c>
      <c r="H575" s="3">
        <f t="shared" ca="1" si="138"/>
        <v>51659</v>
      </c>
      <c r="I575" s="3">
        <f t="shared" ca="1" si="139"/>
        <v>14465</v>
      </c>
      <c r="J575" s="3">
        <f t="shared" ca="1" si="140"/>
        <v>1692</v>
      </c>
      <c r="K575" s="3">
        <f t="shared" ca="1" si="141"/>
        <v>10</v>
      </c>
      <c r="L575" s="3">
        <f t="shared" ca="1" si="142"/>
        <v>11</v>
      </c>
      <c r="M575" s="3">
        <f t="shared" ca="1" si="143"/>
        <v>1</v>
      </c>
      <c r="N575" s="3" t="str">
        <f t="shared" ca="1" si="144"/>
        <v>On Time</v>
      </c>
      <c r="O575" s="3" t="str">
        <f t="shared" ca="1" si="145"/>
        <v>Low</v>
      </c>
      <c r="P575" s="3">
        <f t="shared" ca="1" si="146"/>
        <v>85.7</v>
      </c>
      <c r="Q575" s="1" t="str">
        <f ca="1">VLOOKUP(D575,Routes!$A$2:$D$31,2,FALSE)</f>
        <v>Visakhapatnam</v>
      </c>
      <c r="R575" s="1" t="str">
        <f ca="1">VLOOKUP(D575,Routes!$A$2:$D$31,3,FALSE)</f>
        <v>Hyderabad</v>
      </c>
      <c r="S575" s="3">
        <f ca="1">VLOOKUP(D575,Routes!$A$2:$D$31,4,FALSE)</f>
        <v>620</v>
      </c>
      <c r="T575" s="3" t="str">
        <f ca="1">VLOOKUP(E575,Vehicles!$A$2:$D$21,2,FALSE)</f>
        <v>Container</v>
      </c>
      <c r="U575" s="3">
        <f ca="1">VLOOKUP(E575,Vehicles!$A$2:$D$21,3,FALSE)</f>
        <v>25</v>
      </c>
      <c r="V575" s="3" t="str">
        <f ca="1">VLOOKUP(E575,Vehicles!$A$2:$D$21,4,FALSE)</f>
        <v>Diesel</v>
      </c>
      <c r="W575" s="3">
        <f ca="1">VLOOKUP(V575,Fuel_Rates!$A$2:$B$3,2,FALSE)</f>
        <v>95</v>
      </c>
      <c r="X575" s="3">
        <f t="shared" ca="1" si="148"/>
        <v>83.32</v>
      </c>
      <c r="Y575" s="3">
        <f t="shared" ca="1" si="149"/>
        <v>67816</v>
      </c>
      <c r="Z575" s="3" t="str">
        <f t="shared" ca="1" si="150"/>
        <v>Sep</v>
      </c>
      <c r="AA575" s="3" t="str">
        <f t="shared" ca="1" si="151"/>
        <v>Q3</v>
      </c>
      <c r="AB575" s="4" t="str">
        <f t="shared" ca="1" si="152"/>
        <v>Medium Haul</v>
      </c>
    </row>
    <row r="576" spans="1:28" x14ac:dyDescent="0.3">
      <c r="A576" s="8" t="str">
        <f t="shared" si="147"/>
        <v>S0575</v>
      </c>
      <c r="B576" s="3">
        <f t="shared" ca="1" si="136"/>
        <v>45800</v>
      </c>
      <c r="C576" s="3" t="str">
        <f ca="1">INDEX(Customers!$A$2:$A$21,RANDBETWEEN(1,20))</f>
        <v>C020</v>
      </c>
      <c r="D576" s="3" t="str">
        <f ca="1">INDEX(Routes!$A$2:$A$31,RANDBETWEEN(1,30))</f>
        <v>R009</v>
      </c>
      <c r="E576" s="3" t="str">
        <f ca="1">INDEX(Vehicles!$A$2:$A$21,RANDBETWEEN(1,20))</f>
        <v>V003</v>
      </c>
      <c r="F576" s="3" t="str">
        <f ca="1">INDEX(Drivers!$A$2:$A$31,RANDBETWEEN(1,30))</f>
        <v>D021</v>
      </c>
      <c r="G576" s="3">
        <f t="shared" ca="1" si="137"/>
        <v>4.3</v>
      </c>
      <c r="H576" s="3">
        <f t="shared" ca="1" si="138"/>
        <v>15974</v>
      </c>
      <c r="I576" s="3">
        <f t="shared" ca="1" si="139"/>
        <v>4473</v>
      </c>
      <c r="J576" s="3">
        <f t="shared" ca="1" si="140"/>
        <v>1456</v>
      </c>
      <c r="K576" s="3">
        <f t="shared" ca="1" si="141"/>
        <v>38</v>
      </c>
      <c r="L576" s="3">
        <f t="shared" ca="1" si="142"/>
        <v>41</v>
      </c>
      <c r="M576" s="3">
        <f t="shared" ca="1" si="143"/>
        <v>3</v>
      </c>
      <c r="N576" s="3" t="str">
        <f t="shared" ca="1" si="144"/>
        <v>Delayed</v>
      </c>
      <c r="O576" s="3" t="str">
        <f t="shared" ca="1" si="145"/>
        <v>High</v>
      </c>
      <c r="P576" s="3">
        <f t="shared" ca="1" si="146"/>
        <v>14.3</v>
      </c>
      <c r="Q576" s="1" t="str">
        <f ca="1">VLOOKUP(D576,Routes!$A$2:$D$31,2,FALSE)</f>
        <v>Bengaluru</v>
      </c>
      <c r="R576" s="1" t="str">
        <f ca="1">VLOOKUP(D576,Routes!$A$2:$D$31,3,FALSE)</f>
        <v>Chennai</v>
      </c>
      <c r="S576" s="3">
        <f ca="1">VLOOKUP(D576,Routes!$A$2:$D$31,4,FALSE)</f>
        <v>350</v>
      </c>
      <c r="T576" s="3" t="str">
        <f ca="1">VLOOKUP(E576,Vehicles!$A$2:$D$21,2,FALSE)</f>
        <v>Truck</v>
      </c>
      <c r="U576" s="3">
        <f ca="1">VLOOKUP(E576,Vehicles!$A$2:$D$21,3,FALSE)</f>
        <v>25</v>
      </c>
      <c r="V576" s="3" t="str">
        <f ca="1">VLOOKUP(E576,Vehicles!$A$2:$D$21,4,FALSE)</f>
        <v>Diesel</v>
      </c>
      <c r="W576" s="3">
        <f ca="1">VLOOKUP(V576,Fuel_Rates!$A$2:$B$3,2,FALSE)</f>
        <v>95</v>
      </c>
      <c r="X576" s="3">
        <f t="shared" ca="1" si="148"/>
        <v>45.64</v>
      </c>
      <c r="Y576" s="3">
        <f t="shared" ca="1" si="149"/>
        <v>21903</v>
      </c>
      <c r="Z576" s="3" t="str">
        <f t="shared" ca="1" si="150"/>
        <v>May</v>
      </c>
      <c r="AA576" s="3" t="str">
        <f t="shared" ca="1" si="151"/>
        <v>Q2</v>
      </c>
      <c r="AB576" s="4" t="str">
        <f t="shared" ca="1" si="152"/>
        <v>Medium Haul</v>
      </c>
    </row>
    <row r="577" spans="1:28" x14ac:dyDescent="0.3">
      <c r="A577" s="8" t="str">
        <f t="shared" si="147"/>
        <v>S0576</v>
      </c>
      <c r="B577" s="3">
        <f t="shared" ca="1" si="136"/>
        <v>45835</v>
      </c>
      <c r="C577" s="3" t="str">
        <f ca="1">INDEX(Customers!$A$2:$A$21,RANDBETWEEN(1,20))</f>
        <v>C020</v>
      </c>
      <c r="D577" s="3" t="str">
        <f ca="1">INDEX(Routes!$A$2:$A$31,RANDBETWEEN(1,30))</f>
        <v>R005</v>
      </c>
      <c r="E577" s="3" t="str">
        <f ca="1">INDEX(Vehicles!$A$2:$A$21,RANDBETWEEN(1,20))</f>
        <v>V020</v>
      </c>
      <c r="F577" s="3" t="str">
        <f ca="1">INDEX(Drivers!$A$2:$A$31,RANDBETWEEN(1,30))</f>
        <v>D003</v>
      </c>
      <c r="G577" s="3">
        <f t="shared" ca="1" si="137"/>
        <v>8.4</v>
      </c>
      <c r="H577" s="3">
        <f t="shared" ca="1" si="138"/>
        <v>28802</v>
      </c>
      <c r="I577" s="3">
        <f t="shared" ca="1" si="139"/>
        <v>8065</v>
      </c>
      <c r="J577" s="3">
        <f t="shared" ca="1" si="140"/>
        <v>1858</v>
      </c>
      <c r="K577" s="3">
        <f t="shared" ca="1" si="141"/>
        <v>33</v>
      </c>
      <c r="L577" s="3">
        <f t="shared" ca="1" si="142"/>
        <v>38</v>
      </c>
      <c r="M577" s="3">
        <f t="shared" ca="1" si="143"/>
        <v>5</v>
      </c>
      <c r="N577" s="3" t="str">
        <f t="shared" ca="1" si="144"/>
        <v>Delayed</v>
      </c>
      <c r="O577" s="3" t="str">
        <f t="shared" ca="1" si="145"/>
        <v>High</v>
      </c>
      <c r="P577" s="3">
        <f t="shared" ca="1" si="146"/>
        <v>28</v>
      </c>
      <c r="Q577" s="1" t="str">
        <f ca="1">VLOOKUP(D577,Routes!$A$2:$D$31,2,FALSE)</f>
        <v>Delhi</v>
      </c>
      <c r="R577" s="1" t="str">
        <f ca="1">VLOOKUP(D577,Routes!$A$2:$D$31,3,FALSE)</f>
        <v>Jaipur</v>
      </c>
      <c r="S577" s="3">
        <f ca="1">VLOOKUP(D577,Routes!$A$2:$D$31,4,FALSE)</f>
        <v>280</v>
      </c>
      <c r="T577" s="3" t="str">
        <f ca="1">VLOOKUP(E577,Vehicles!$A$2:$D$21,2,FALSE)</f>
        <v>Container</v>
      </c>
      <c r="U577" s="3">
        <f ca="1">VLOOKUP(E577,Vehicles!$A$2:$D$21,3,FALSE)</f>
        <v>28</v>
      </c>
      <c r="V577" s="3" t="str">
        <f ca="1">VLOOKUP(E577,Vehicles!$A$2:$D$21,4,FALSE)</f>
        <v>Diesel</v>
      </c>
      <c r="W577" s="3">
        <f ca="1">VLOOKUP(V577,Fuel_Rates!$A$2:$B$3,2,FALSE)</f>
        <v>95</v>
      </c>
      <c r="X577" s="3">
        <f t="shared" ca="1" si="148"/>
        <v>102.86</v>
      </c>
      <c r="Y577" s="3">
        <f t="shared" ca="1" si="149"/>
        <v>38725</v>
      </c>
      <c r="Z577" s="3" t="str">
        <f t="shared" ca="1" si="150"/>
        <v>Jun</v>
      </c>
      <c r="AA577" s="3" t="str">
        <f t="shared" ca="1" si="151"/>
        <v>Q2</v>
      </c>
      <c r="AB577" s="4" t="str">
        <f t="shared" ca="1" si="152"/>
        <v>Short Haul</v>
      </c>
    </row>
    <row r="578" spans="1:28" x14ac:dyDescent="0.3">
      <c r="A578" s="8" t="str">
        <f t="shared" si="147"/>
        <v>S0577</v>
      </c>
      <c r="B578" s="3">
        <f t="shared" ref="B578:B641" ca="1" si="153">DATE(2025,RANDBETWEEN(1,12),RANDBETWEEN(1,28))</f>
        <v>45658</v>
      </c>
      <c r="C578" s="3" t="str">
        <f ca="1">INDEX(Customers!$A$2:$A$21,RANDBETWEEN(1,20))</f>
        <v>C001</v>
      </c>
      <c r="D578" s="3" t="str">
        <f ca="1">INDEX(Routes!$A$2:$A$31,RANDBETWEEN(1,30))</f>
        <v>R023</v>
      </c>
      <c r="E578" s="3" t="str">
        <f ca="1">INDEX(Vehicles!$A$2:$A$21,RANDBETWEEN(1,20))</f>
        <v>V015</v>
      </c>
      <c r="F578" s="3" t="str">
        <f ca="1">INDEX(Drivers!$A$2:$A$31,RANDBETWEEN(1,30))</f>
        <v>D019</v>
      </c>
      <c r="G578" s="3">
        <f t="shared" ref="G578:G641" ca="1" si="154">ROUND(RANDBETWEEN(20,300)/10,1)</f>
        <v>6</v>
      </c>
      <c r="H578" s="3">
        <f t="shared" ref="H578:H641" ca="1" si="155">ROUND((G578*1800)+RANDBETWEEN(3000,15000),0)</f>
        <v>20279</v>
      </c>
      <c r="I578" s="3">
        <f t="shared" ref="I578:I641" ca="1" si="156">ROUND(H578*0.28,0)</f>
        <v>5678</v>
      </c>
      <c r="J578" s="3">
        <f t="shared" ref="J578:J641" ca="1" si="157">RANDBETWEEN(500,4000)</f>
        <v>917</v>
      </c>
      <c r="K578" s="3">
        <f t="shared" ref="K578:K641" ca="1" si="158">RANDBETWEEN(4,48)</f>
        <v>34</v>
      </c>
      <c r="L578" s="3">
        <f t="shared" ref="L578:L641" ca="1" si="159">K578+RANDBETWEEN(0,8)</f>
        <v>36</v>
      </c>
      <c r="M578" s="3">
        <f t="shared" ref="M578:M641" ca="1" si="160">L578-K578</f>
        <v>2</v>
      </c>
      <c r="N578" s="3" t="str">
        <f t="shared" ref="N578:N641" ca="1" si="161">IF(M578&lt;=2,"On Time","Delayed")</f>
        <v>On Time</v>
      </c>
      <c r="O578" s="3" t="str">
        <f t="shared" ref="O578:O641" ca="1" si="162">CHOOSE(RANDBETWEEN(1,3),"High","Medium","Low")</f>
        <v>High</v>
      </c>
      <c r="P578" s="3">
        <f t="shared" ref="P578:P641" ca="1" si="163">ROUND((G578/30)*100,1)</f>
        <v>20</v>
      </c>
      <c r="Q578" s="1" t="str">
        <f ca="1">VLOOKUP(D578,Routes!$A$2:$D$31,2,FALSE)</f>
        <v>Kochi</v>
      </c>
      <c r="R578" s="1" t="str">
        <f ca="1">VLOOKUP(D578,Routes!$A$2:$D$31,3,FALSE)</f>
        <v>Bengaluru</v>
      </c>
      <c r="S578" s="3">
        <f ca="1">VLOOKUP(D578,Routes!$A$2:$D$31,4,FALSE)</f>
        <v>550</v>
      </c>
      <c r="T578" s="3" t="str">
        <f ca="1">VLOOKUP(E578,Vehicles!$A$2:$D$21,2,FALSE)</f>
        <v>Trailer</v>
      </c>
      <c r="U578" s="3">
        <f ca="1">VLOOKUP(E578,Vehicles!$A$2:$D$21,3,FALSE)</f>
        <v>30</v>
      </c>
      <c r="V578" s="3" t="str">
        <f ca="1">VLOOKUP(E578,Vehicles!$A$2:$D$21,4,FALSE)</f>
        <v>Diesel</v>
      </c>
      <c r="W578" s="3">
        <f ca="1">VLOOKUP(V578,Fuel_Rates!$A$2:$B$3,2,FALSE)</f>
        <v>95</v>
      </c>
      <c r="X578" s="3">
        <f t="shared" ca="1" si="148"/>
        <v>36.869999999999997</v>
      </c>
      <c r="Y578" s="3">
        <f t="shared" ca="1" si="149"/>
        <v>26874</v>
      </c>
      <c r="Z578" s="3" t="str">
        <f t="shared" ca="1" si="150"/>
        <v>Jan</v>
      </c>
      <c r="AA578" s="3" t="str">
        <f t="shared" ca="1" si="151"/>
        <v>Q1</v>
      </c>
      <c r="AB578" s="4" t="str">
        <f t="shared" ca="1" si="152"/>
        <v>Medium Haul</v>
      </c>
    </row>
    <row r="579" spans="1:28" x14ac:dyDescent="0.3">
      <c r="A579" s="8" t="str">
        <f t="shared" ref="A579:A642" si="164">"S"&amp;TEXT(ROW()-1,"0000")</f>
        <v>S0578</v>
      </c>
      <c r="B579" s="3">
        <f t="shared" ca="1" si="153"/>
        <v>45673</v>
      </c>
      <c r="C579" s="3" t="str">
        <f ca="1">INDEX(Customers!$A$2:$A$21,RANDBETWEEN(1,20))</f>
        <v>C012</v>
      </c>
      <c r="D579" s="3" t="str">
        <f ca="1">INDEX(Routes!$A$2:$A$31,RANDBETWEEN(1,30))</f>
        <v>R003</v>
      </c>
      <c r="E579" s="3" t="str">
        <f ca="1">INDEX(Vehicles!$A$2:$A$21,RANDBETWEEN(1,20))</f>
        <v>V015</v>
      </c>
      <c r="F579" s="3" t="str">
        <f ca="1">INDEX(Drivers!$A$2:$A$31,RANDBETWEEN(1,30))</f>
        <v>D008</v>
      </c>
      <c r="G579" s="3">
        <f t="shared" ca="1" si="154"/>
        <v>22.1</v>
      </c>
      <c r="H579" s="3">
        <f t="shared" ca="1" si="155"/>
        <v>46854</v>
      </c>
      <c r="I579" s="3">
        <f t="shared" ca="1" si="156"/>
        <v>13119</v>
      </c>
      <c r="J579" s="3">
        <f t="shared" ca="1" si="157"/>
        <v>2764</v>
      </c>
      <c r="K579" s="3">
        <f t="shared" ca="1" si="158"/>
        <v>41</v>
      </c>
      <c r="L579" s="3">
        <f t="shared" ca="1" si="159"/>
        <v>42</v>
      </c>
      <c r="M579" s="3">
        <f t="shared" ca="1" si="160"/>
        <v>1</v>
      </c>
      <c r="N579" s="3" t="str">
        <f t="shared" ca="1" si="161"/>
        <v>On Time</v>
      </c>
      <c r="O579" s="3" t="str">
        <f t="shared" ca="1" si="162"/>
        <v>High</v>
      </c>
      <c r="P579" s="3">
        <f t="shared" ca="1" si="163"/>
        <v>73.7</v>
      </c>
      <c r="Q579" s="1" t="str">
        <f ca="1">VLOOKUP(D579,Routes!$A$2:$D$31,2,FALSE)</f>
        <v>Mumbai</v>
      </c>
      <c r="R579" s="1" t="str">
        <f ca="1">VLOOKUP(D579,Routes!$A$2:$D$31,3,FALSE)</f>
        <v>Delhi</v>
      </c>
      <c r="S579" s="3">
        <f ca="1">VLOOKUP(D579,Routes!$A$2:$D$31,4,FALSE)</f>
        <v>1450</v>
      </c>
      <c r="T579" s="3" t="str">
        <f ca="1">VLOOKUP(E579,Vehicles!$A$2:$D$21,2,FALSE)</f>
        <v>Trailer</v>
      </c>
      <c r="U579" s="3">
        <f ca="1">VLOOKUP(E579,Vehicles!$A$2:$D$21,3,FALSE)</f>
        <v>30</v>
      </c>
      <c r="V579" s="3" t="str">
        <f ca="1">VLOOKUP(E579,Vehicles!$A$2:$D$21,4,FALSE)</f>
        <v>Diesel</v>
      </c>
      <c r="W579" s="3">
        <f ca="1">VLOOKUP(V579,Fuel_Rates!$A$2:$B$3,2,FALSE)</f>
        <v>95</v>
      </c>
      <c r="X579" s="3">
        <f t="shared" ref="X579:X642" ca="1" si="165">ROUND(H579/S579,2)</f>
        <v>32.31</v>
      </c>
      <c r="Y579" s="3">
        <f t="shared" ref="Y579:Y642" ca="1" si="166">H579+I579+J579</f>
        <v>62737</v>
      </c>
      <c r="Z579" s="3" t="str">
        <f t="shared" ref="Z579:Z642" ca="1" si="167">TEXT(B579,"mmm")</f>
        <v>Jan</v>
      </c>
      <c r="AA579" s="3" t="str">
        <f t="shared" ref="AA579:AA642" ca="1" si="168">"Q"&amp;ROUNDUP(MONTH(B579)/3,0)</f>
        <v>Q1</v>
      </c>
      <c r="AB579" s="4" t="str">
        <f t="shared" ref="AB579:AB642" ca="1" si="169">IF(S579&lt;300,"Short Haul",IF(S579&lt;800,"Medium Haul","Long Haul"))</f>
        <v>Long Haul</v>
      </c>
    </row>
    <row r="580" spans="1:28" x14ac:dyDescent="0.3">
      <c r="A580" s="8" t="str">
        <f t="shared" si="164"/>
        <v>S0579</v>
      </c>
      <c r="B580" s="3">
        <f t="shared" ca="1" si="153"/>
        <v>45743</v>
      </c>
      <c r="C580" s="3" t="str">
        <f ca="1">INDEX(Customers!$A$2:$A$21,RANDBETWEEN(1,20))</f>
        <v>C011</v>
      </c>
      <c r="D580" s="3" t="str">
        <f ca="1">INDEX(Routes!$A$2:$A$31,RANDBETWEEN(1,30))</f>
        <v>R030</v>
      </c>
      <c r="E580" s="3" t="str">
        <f ca="1">INDEX(Vehicles!$A$2:$A$21,RANDBETWEEN(1,20))</f>
        <v>V018</v>
      </c>
      <c r="F580" s="3" t="str">
        <f ca="1">INDEX(Drivers!$A$2:$A$31,RANDBETWEEN(1,30))</f>
        <v>D016</v>
      </c>
      <c r="G580" s="3">
        <f t="shared" ca="1" si="154"/>
        <v>18.899999999999999</v>
      </c>
      <c r="H580" s="3">
        <f t="shared" ca="1" si="155"/>
        <v>38796</v>
      </c>
      <c r="I580" s="3">
        <f t="shared" ca="1" si="156"/>
        <v>10863</v>
      </c>
      <c r="J580" s="3">
        <f t="shared" ca="1" si="157"/>
        <v>3791</v>
      </c>
      <c r="K580" s="3">
        <f t="shared" ca="1" si="158"/>
        <v>46</v>
      </c>
      <c r="L580" s="3">
        <f t="shared" ca="1" si="159"/>
        <v>48</v>
      </c>
      <c r="M580" s="3">
        <f t="shared" ca="1" si="160"/>
        <v>2</v>
      </c>
      <c r="N580" s="3" t="str">
        <f t="shared" ca="1" si="161"/>
        <v>On Time</v>
      </c>
      <c r="O580" s="3" t="str">
        <f t="shared" ca="1" si="162"/>
        <v>High</v>
      </c>
      <c r="P580" s="3">
        <f t="shared" ca="1" si="163"/>
        <v>63</v>
      </c>
      <c r="Q580" s="1" t="str">
        <f ca="1">VLOOKUP(D580,Routes!$A$2:$D$31,2,FALSE)</f>
        <v>Bhubaneswar</v>
      </c>
      <c r="R580" s="1" t="str">
        <f ca="1">VLOOKUP(D580,Routes!$A$2:$D$31,3,FALSE)</f>
        <v>Kolkata</v>
      </c>
      <c r="S580" s="3">
        <f ca="1">VLOOKUP(D580,Routes!$A$2:$D$31,4,FALSE)</f>
        <v>440</v>
      </c>
      <c r="T580" s="3" t="str">
        <f ca="1">VLOOKUP(E580,Vehicles!$A$2:$D$21,2,FALSE)</f>
        <v>Truck</v>
      </c>
      <c r="U580" s="3">
        <f ca="1">VLOOKUP(E580,Vehicles!$A$2:$D$21,3,FALSE)</f>
        <v>26</v>
      </c>
      <c r="V580" s="3" t="str">
        <f ca="1">VLOOKUP(E580,Vehicles!$A$2:$D$21,4,FALSE)</f>
        <v>Diesel</v>
      </c>
      <c r="W580" s="3">
        <f ca="1">VLOOKUP(V580,Fuel_Rates!$A$2:$B$3,2,FALSE)</f>
        <v>95</v>
      </c>
      <c r="X580" s="3">
        <f t="shared" ca="1" si="165"/>
        <v>88.17</v>
      </c>
      <c r="Y580" s="3">
        <f t="shared" ca="1" si="166"/>
        <v>53450</v>
      </c>
      <c r="Z580" s="3" t="str">
        <f t="shared" ca="1" si="167"/>
        <v>Mar</v>
      </c>
      <c r="AA580" s="3" t="str">
        <f t="shared" ca="1" si="168"/>
        <v>Q1</v>
      </c>
      <c r="AB580" s="4" t="str">
        <f t="shared" ca="1" si="169"/>
        <v>Medium Haul</v>
      </c>
    </row>
    <row r="581" spans="1:28" x14ac:dyDescent="0.3">
      <c r="A581" s="8" t="str">
        <f t="shared" si="164"/>
        <v>S0580</v>
      </c>
      <c r="B581" s="3">
        <f t="shared" ca="1" si="153"/>
        <v>45696</v>
      </c>
      <c r="C581" s="3" t="str">
        <f ca="1">INDEX(Customers!$A$2:$A$21,RANDBETWEEN(1,20))</f>
        <v>C012</v>
      </c>
      <c r="D581" s="3" t="str">
        <f ca="1">INDEX(Routes!$A$2:$A$31,RANDBETWEEN(1,30))</f>
        <v>R019</v>
      </c>
      <c r="E581" s="3" t="str">
        <f ca="1">INDEX(Vehicles!$A$2:$A$21,RANDBETWEEN(1,20))</f>
        <v>V004</v>
      </c>
      <c r="F581" s="3" t="str">
        <f ca="1">INDEX(Drivers!$A$2:$A$31,RANDBETWEEN(1,30))</f>
        <v>D001</v>
      </c>
      <c r="G581" s="3">
        <f t="shared" ca="1" si="154"/>
        <v>19.2</v>
      </c>
      <c r="H581" s="3">
        <f t="shared" ca="1" si="155"/>
        <v>39896</v>
      </c>
      <c r="I581" s="3">
        <f t="shared" ca="1" si="156"/>
        <v>11171</v>
      </c>
      <c r="J581" s="3">
        <f t="shared" ca="1" si="157"/>
        <v>832</v>
      </c>
      <c r="K581" s="3">
        <f t="shared" ca="1" si="158"/>
        <v>19</v>
      </c>
      <c r="L581" s="3">
        <f t="shared" ca="1" si="159"/>
        <v>24</v>
      </c>
      <c r="M581" s="3">
        <f t="shared" ca="1" si="160"/>
        <v>5</v>
      </c>
      <c r="N581" s="3" t="str">
        <f t="shared" ca="1" si="161"/>
        <v>Delayed</v>
      </c>
      <c r="O581" s="3" t="str">
        <f t="shared" ca="1" si="162"/>
        <v>Medium</v>
      </c>
      <c r="P581" s="3">
        <f t="shared" ca="1" si="163"/>
        <v>64</v>
      </c>
      <c r="Q581" s="1" t="str">
        <f ca="1">VLOOKUP(D581,Routes!$A$2:$D$31,2,FALSE)</f>
        <v>Ahmedabad</v>
      </c>
      <c r="R581" s="1" t="str">
        <f ca="1">VLOOKUP(D581,Routes!$A$2:$D$31,3,FALSE)</f>
        <v>Indore</v>
      </c>
      <c r="S581" s="3">
        <f ca="1">VLOOKUP(D581,Routes!$A$2:$D$31,4,FALSE)</f>
        <v>390</v>
      </c>
      <c r="T581" s="3" t="str">
        <f ca="1">VLOOKUP(E581,Vehicles!$A$2:$D$21,2,FALSE)</f>
        <v>Trailer</v>
      </c>
      <c r="U581" s="3">
        <f ca="1">VLOOKUP(E581,Vehicles!$A$2:$D$21,3,FALSE)</f>
        <v>28</v>
      </c>
      <c r="V581" s="3" t="str">
        <f ca="1">VLOOKUP(E581,Vehicles!$A$2:$D$21,4,FALSE)</f>
        <v>Diesel</v>
      </c>
      <c r="W581" s="3">
        <f ca="1">VLOOKUP(V581,Fuel_Rates!$A$2:$B$3,2,FALSE)</f>
        <v>95</v>
      </c>
      <c r="X581" s="3">
        <f t="shared" ca="1" si="165"/>
        <v>102.3</v>
      </c>
      <c r="Y581" s="3">
        <f t="shared" ca="1" si="166"/>
        <v>51899</v>
      </c>
      <c r="Z581" s="3" t="str">
        <f t="shared" ca="1" si="167"/>
        <v>Feb</v>
      </c>
      <c r="AA581" s="3" t="str">
        <f t="shared" ca="1" si="168"/>
        <v>Q1</v>
      </c>
      <c r="AB581" s="4" t="str">
        <f t="shared" ca="1" si="169"/>
        <v>Medium Haul</v>
      </c>
    </row>
    <row r="582" spans="1:28" x14ac:dyDescent="0.3">
      <c r="A582" s="8" t="str">
        <f t="shared" si="164"/>
        <v>S0581</v>
      </c>
      <c r="B582" s="3">
        <f t="shared" ca="1" si="153"/>
        <v>45765</v>
      </c>
      <c r="C582" s="3" t="str">
        <f ca="1">INDEX(Customers!$A$2:$A$21,RANDBETWEEN(1,20))</f>
        <v>C007</v>
      </c>
      <c r="D582" s="3" t="str">
        <f ca="1">INDEX(Routes!$A$2:$A$31,RANDBETWEEN(1,30))</f>
        <v>R020</v>
      </c>
      <c r="E582" s="3" t="str">
        <f ca="1">INDEX(Vehicles!$A$2:$A$21,RANDBETWEEN(1,20))</f>
        <v>V008</v>
      </c>
      <c r="F582" s="3" t="str">
        <f ca="1">INDEX(Drivers!$A$2:$A$31,RANDBETWEEN(1,30))</f>
        <v>D021</v>
      </c>
      <c r="G582" s="3">
        <f t="shared" ca="1" si="154"/>
        <v>29.8</v>
      </c>
      <c r="H582" s="3">
        <f t="shared" ca="1" si="155"/>
        <v>57539</v>
      </c>
      <c r="I582" s="3">
        <f t="shared" ca="1" si="156"/>
        <v>16111</v>
      </c>
      <c r="J582" s="3">
        <f t="shared" ca="1" si="157"/>
        <v>3827</v>
      </c>
      <c r="K582" s="3">
        <f t="shared" ca="1" si="158"/>
        <v>44</v>
      </c>
      <c r="L582" s="3">
        <f t="shared" ca="1" si="159"/>
        <v>44</v>
      </c>
      <c r="M582" s="3">
        <f t="shared" ca="1" si="160"/>
        <v>0</v>
      </c>
      <c r="N582" s="3" t="str">
        <f t="shared" ca="1" si="161"/>
        <v>On Time</v>
      </c>
      <c r="O582" s="3" t="str">
        <f t="shared" ca="1" si="162"/>
        <v>Medium</v>
      </c>
      <c r="P582" s="3">
        <f t="shared" ca="1" si="163"/>
        <v>99.3</v>
      </c>
      <c r="Q582" s="1" t="str">
        <f ca="1">VLOOKUP(D582,Routes!$A$2:$D$31,2,FALSE)</f>
        <v>Pune</v>
      </c>
      <c r="R582" s="1" t="str">
        <f ca="1">VLOOKUP(D582,Routes!$A$2:$D$31,3,FALSE)</f>
        <v>Nagpur</v>
      </c>
      <c r="S582" s="3">
        <f ca="1">VLOOKUP(D582,Routes!$A$2:$D$31,4,FALSE)</f>
        <v>720</v>
      </c>
      <c r="T582" s="3" t="str">
        <f ca="1">VLOOKUP(E582,Vehicles!$A$2:$D$21,2,FALSE)</f>
        <v>Container</v>
      </c>
      <c r="U582" s="3">
        <f ca="1">VLOOKUP(E582,Vehicles!$A$2:$D$21,3,FALSE)</f>
        <v>25</v>
      </c>
      <c r="V582" s="3" t="str">
        <f ca="1">VLOOKUP(E582,Vehicles!$A$2:$D$21,4,FALSE)</f>
        <v>Diesel</v>
      </c>
      <c r="W582" s="3">
        <f ca="1">VLOOKUP(V582,Fuel_Rates!$A$2:$B$3,2,FALSE)</f>
        <v>95</v>
      </c>
      <c r="X582" s="3">
        <f t="shared" ca="1" si="165"/>
        <v>79.92</v>
      </c>
      <c r="Y582" s="3">
        <f t="shared" ca="1" si="166"/>
        <v>77477</v>
      </c>
      <c r="Z582" s="3" t="str">
        <f t="shared" ca="1" si="167"/>
        <v>Apr</v>
      </c>
      <c r="AA582" s="3" t="str">
        <f t="shared" ca="1" si="168"/>
        <v>Q2</v>
      </c>
      <c r="AB582" s="4" t="str">
        <f t="shared" ca="1" si="169"/>
        <v>Medium Haul</v>
      </c>
    </row>
    <row r="583" spans="1:28" x14ac:dyDescent="0.3">
      <c r="A583" s="8" t="str">
        <f t="shared" si="164"/>
        <v>S0582</v>
      </c>
      <c r="B583" s="3">
        <f t="shared" ca="1" si="153"/>
        <v>45879</v>
      </c>
      <c r="C583" s="3" t="str">
        <f ca="1">INDEX(Customers!$A$2:$A$21,RANDBETWEEN(1,20))</f>
        <v>C009</v>
      </c>
      <c r="D583" s="3" t="str">
        <f ca="1">INDEX(Routes!$A$2:$A$31,RANDBETWEEN(1,30))</f>
        <v>R029</v>
      </c>
      <c r="E583" s="3" t="str">
        <f ca="1">INDEX(Vehicles!$A$2:$A$21,RANDBETWEEN(1,20))</f>
        <v>V016</v>
      </c>
      <c r="F583" s="3" t="str">
        <f ca="1">INDEX(Drivers!$A$2:$A$31,RANDBETWEEN(1,30))</f>
        <v>D014</v>
      </c>
      <c r="G583" s="3">
        <f t="shared" ca="1" si="154"/>
        <v>18.3</v>
      </c>
      <c r="H583" s="3">
        <f t="shared" ca="1" si="155"/>
        <v>43299</v>
      </c>
      <c r="I583" s="3">
        <f t="shared" ca="1" si="156"/>
        <v>12124</v>
      </c>
      <c r="J583" s="3">
        <f t="shared" ca="1" si="157"/>
        <v>726</v>
      </c>
      <c r="K583" s="3">
        <f t="shared" ca="1" si="158"/>
        <v>36</v>
      </c>
      <c r="L583" s="3">
        <f t="shared" ca="1" si="159"/>
        <v>44</v>
      </c>
      <c r="M583" s="3">
        <f t="shared" ca="1" si="160"/>
        <v>8</v>
      </c>
      <c r="N583" s="3" t="str">
        <f t="shared" ca="1" si="161"/>
        <v>Delayed</v>
      </c>
      <c r="O583" s="3" t="str">
        <f t="shared" ca="1" si="162"/>
        <v>Low</v>
      </c>
      <c r="P583" s="3">
        <f t="shared" ca="1" si="163"/>
        <v>61</v>
      </c>
      <c r="Q583" s="1" t="str">
        <f ca="1">VLOOKUP(D583,Routes!$A$2:$D$31,2,FALSE)</f>
        <v>Chandigarh</v>
      </c>
      <c r="R583" s="1" t="str">
        <f ca="1">VLOOKUP(D583,Routes!$A$2:$D$31,3,FALSE)</f>
        <v>Delhi</v>
      </c>
      <c r="S583" s="3">
        <f ca="1">VLOOKUP(D583,Routes!$A$2:$D$31,4,FALSE)</f>
        <v>250</v>
      </c>
      <c r="T583" s="3" t="str">
        <f ca="1">VLOOKUP(E583,Vehicles!$A$2:$D$21,2,FALSE)</f>
        <v>Container</v>
      </c>
      <c r="U583" s="3">
        <f ca="1">VLOOKUP(E583,Vehicles!$A$2:$D$21,3,FALSE)</f>
        <v>22</v>
      </c>
      <c r="V583" s="3" t="str">
        <f ca="1">VLOOKUP(E583,Vehicles!$A$2:$D$21,4,FALSE)</f>
        <v>Diesel</v>
      </c>
      <c r="W583" s="3">
        <f ca="1">VLOOKUP(V583,Fuel_Rates!$A$2:$B$3,2,FALSE)</f>
        <v>95</v>
      </c>
      <c r="X583" s="3">
        <f t="shared" ca="1" si="165"/>
        <v>173.2</v>
      </c>
      <c r="Y583" s="3">
        <f t="shared" ca="1" si="166"/>
        <v>56149</v>
      </c>
      <c r="Z583" s="3" t="str">
        <f t="shared" ca="1" si="167"/>
        <v>Aug</v>
      </c>
      <c r="AA583" s="3" t="str">
        <f t="shared" ca="1" si="168"/>
        <v>Q3</v>
      </c>
      <c r="AB583" s="4" t="str">
        <f t="shared" ca="1" si="169"/>
        <v>Short Haul</v>
      </c>
    </row>
    <row r="584" spans="1:28" x14ac:dyDescent="0.3">
      <c r="A584" s="8" t="str">
        <f t="shared" si="164"/>
        <v>S0583</v>
      </c>
      <c r="B584" s="3">
        <f t="shared" ca="1" si="153"/>
        <v>45674</v>
      </c>
      <c r="C584" s="3" t="str">
        <f ca="1">INDEX(Customers!$A$2:$A$21,RANDBETWEEN(1,20))</f>
        <v>C012</v>
      </c>
      <c r="D584" s="3" t="str">
        <f ca="1">INDEX(Routes!$A$2:$A$31,RANDBETWEEN(1,30))</f>
        <v>R001</v>
      </c>
      <c r="E584" s="3" t="str">
        <f ca="1">INDEX(Vehicles!$A$2:$A$21,RANDBETWEEN(1,20))</f>
        <v>V013</v>
      </c>
      <c r="F584" s="3" t="str">
        <f ca="1">INDEX(Drivers!$A$2:$A$31,RANDBETWEEN(1,30))</f>
        <v>D016</v>
      </c>
      <c r="G584" s="3">
        <f t="shared" ca="1" si="154"/>
        <v>2.6</v>
      </c>
      <c r="H584" s="3">
        <f t="shared" ca="1" si="155"/>
        <v>17174</v>
      </c>
      <c r="I584" s="3">
        <f t="shared" ca="1" si="156"/>
        <v>4809</v>
      </c>
      <c r="J584" s="3">
        <f t="shared" ca="1" si="157"/>
        <v>2035</v>
      </c>
      <c r="K584" s="3">
        <f t="shared" ca="1" si="158"/>
        <v>4</v>
      </c>
      <c r="L584" s="3">
        <f t="shared" ca="1" si="159"/>
        <v>6</v>
      </c>
      <c r="M584" s="3">
        <f t="shared" ca="1" si="160"/>
        <v>2</v>
      </c>
      <c r="N584" s="3" t="str">
        <f t="shared" ca="1" si="161"/>
        <v>On Time</v>
      </c>
      <c r="O584" s="3" t="str">
        <f t="shared" ca="1" si="162"/>
        <v>Low</v>
      </c>
      <c r="P584" s="3">
        <f t="shared" ca="1" si="163"/>
        <v>8.6999999999999993</v>
      </c>
      <c r="Q584" s="1" t="str">
        <f ca="1">VLOOKUP(D584,Routes!$A$2:$D$31,2,FALSE)</f>
        <v>Mumbai</v>
      </c>
      <c r="R584" s="1" t="str">
        <f ca="1">VLOOKUP(D584,Routes!$A$2:$D$31,3,FALSE)</f>
        <v>Pune</v>
      </c>
      <c r="S584" s="3">
        <f ca="1">VLOOKUP(D584,Routes!$A$2:$D$31,4,FALSE)</f>
        <v>150</v>
      </c>
      <c r="T584" s="3" t="str">
        <f ca="1">VLOOKUP(E584,Vehicles!$A$2:$D$21,2,FALSE)</f>
        <v>LCV</v>
      </c>
      <c r="U584" s="3">
        <f ca="1">VLOOKUP(E584,Vehicles!$A$2:$D$21,3,FALSE)</f>
        <v>4</v>
      </c>
      <c r="V584" s="3" t="str">
        <f ca="1">VLOOKUP(E584,Vehicles!$A$2:$D$21,4,FALSE)</f>
        <v>CNG</v>
      </c>
      <c r="W584" s="3">
        <f ca="1">VLOOKUP(V584,Fuel_Rates!$A$2:$B$3,2,FALSE)</f>
        <v>78</v>
      </c>
      <c r="X584" s="3">
        <f t="shared" ca="1" si="165"/>
        <v>114.49</v>
      </c>
      <c r="Y584" s="3">
        <f t="shared" ca="1" si="166"/>
        <v>24018</v>
      </c>
      <c r="Z584" s="3" t="str">
        <f t="shared" ca="1" si="167"/>
        <v>Jan</v>
      </c>
      <c r="AA584" s="3" t="str">
        <f t="shared" ca="1" si="168"/>
        <v>Q1</v>
      </c>
      <c r="AB584" s="4" t="str">
        <f t="shared" ca="1" si="169"/>
        <v>Short Haul</v>
      </c>
    </row>
    <row r="585" spans="1:28" x14ac:dyDescent="0.3">
      <c r="A585" s="8" t="str">
        <f t="shared" si="164"/>
        <v>S0584</v>
      </c>
      <c r="B585" s="3">
        <f t="shared" ca="1" si="153"/>
        <v>45685</v>
      </c>
      <c r="C585" s="3" t="str">
        <f ca="1">INDEX(Customers!$A$2:$A$21,RANDBETWEEN(1,20))</f>
        <v>C007</v>
      </c>
      <c r="D585" s="3" t="str">
        <f ca="1">INDEX(Routes!$A$2:$A$31,RANDBETWEEN(1,30))</f>
        <v>R009</v>
      </c>
      <c r="E585" s="3" t="str">
        <f ca="1">INDEX(Vehicles!$A$2:$A$21,RANDBETWEEN(1,20))</f>
        <v>V016</v>
      </c>
      <c r="F585" s="3" t="str">
        <f ca="1">INDEX(Drivers!$A$2:$A$31,RANDBETWEEN(1,30))</f>
        <v>D008</v>
      </c>
      <c r="G585" s="3">
        <f t="shared" ca="1" si="154"/>
        <v>2.4</v>
      </c>
      <c r="H585" s="3">
        <f t="shared" ca="1" si="155"/>
        <v>11916</v>
      </c>
      <c r="I585" s="3">
        <f t="shared" ca="1" si="156"/>
        <v>3336</v>
      </c>
      <c r="J585" s="3">
        <f t="shared" ca="1" si="157"/>
        <v>1283</v>
      </c>
      <c r="K585" s="3">
        <f t="shared" ca="1" si="158"/>
        <v>41</v>
      </c>
      <c r="L585" s="3">
        <f t="shared" ca="1" si="159"/>
        <v>44</v>
      </c>
      <c r="M585" s="3">
        <f t="shared" ca="1" si="160"/>
        <v>3</v>
      </c>
      <c r="N585" s="3" t="str">
        <f t="shared" ca="1" si="161"/>
        <v>Delayed</v>
      </c>
      <c r="O585" s="3" t="str">
        <f t="shared" ca="1" si="162"/>
        <v>Medium</v>
      </c>
      <c r="P585" s="3">
        <f t="shared" ca="1" si="163"/>
        <v>8</v>
      </c>
      <c r="Q585" s="1" t="str">
        <f ca="1">VLOOKUP(D585,Routes!$A$2:$D$31,2,FALSE)</f>
        <v>Bengaluru</v>
      </c>
      <c r="R585" s="1" t="str">
        <f ca="1">VLOOKUP(D585,Routes!$A$2:$D$31,3,FALSE)</f>
        <v>Chennai</v>
      </c>
      <c r="S585" s="3">
        <f ca="1">VLOOKUP(D585,Routes!$A$2:$D$31,4,FALSE)</f>
        <v>350</v>
      </c>
      <c r="T585" s="3" t="str">
        <f ca="1">VLOOKUP(E585,Vehicles!$A$2:$D$21,2,FALSE)</f>
        <v>Container</v>
      </c>
      <c r="U585" s="3">
        <f ca="1">VLOOKUP(E585,Vehicles!$A$2:$D$21,3,FALSE)</f>
        <v>22</v>
      </c>
      <c r="V585" s="3" t="str">
        <f ca="1">VLOOKUP(E585,Vehicles!$A$2:$D$21,4,FALSE)</f>
        <v>Diesel</v>
      </c>
      <c r="W585" s="3">
        <f ca="1">VLOOKUP(V585,Fuel_Rates!$A$2:$B$3,2,FALSE)</f>
        <v>95</v>
      </c>
      <c r="X585" s="3">
        <f t="shared" ca="1" si="165"/>
        <v>34.049999999999997</v>
      </c>
      <c r="Y585" s="3">
        <f t="shared" ca="1" si="166"/>
        <v>16535</v>
      </c>
      <c r="Z585" s="3" t="str">
        <f t="shared" ca="1" si="167"/>
        <v>Jan</v>
      </c>
      <c r="AA585" s="3" t="str">
        <f t="shared" ca="1" si="168"/>
        <v>Q1</v>
      </c>
      <c r="AB585" s="4" t="str">
        <f t="shared" ca="1" si="169"/>
        <v>Medium Haul</v>
      </c>
    </row>
    <row r="586" spans="1:28" x14ac:dyDescent="0.3">
      <c r="A586" s="8" t="str">
        <f t="shared" si="164"/>
        <v>S0585</v>
      </c>
      <c r="B586" s="3">
        <f t="shared" ca="1" si="153"/>
        <v>45985</v>
      </c>
      <c r="C586" s="3" t="str">
        <f ca="1">INDEX(Customers!$A$2:$A$21,RANDBETWEEN(1,20))</f>
        <v>C002</v>
      </c>
      <c r="D586" s="3" t="str">
        <f ca="1">INDEX(Routes!$A$2:$A$31,RANDBETWEEN(1,30))</f>
        <v>R014</v>
      </c>
      <c r="E586" s="3" t="str">
        <f ca="1">INDEX(Vehicles!$A$2:$A$21,RANDBETWEEN(1,20))</f>
        <v>V001</v>
      </c>
      <c r="F586" s="3" t="str">
        <f ca="1">INDEX(Drivers!$A$2:$A$31,RANDBETWEEN(1,30))</f>
        <v>D025</v>
      </c>
      <c r="G586" s="3">
        <f t="shared" ca="1" si="154"/>
        <v>9.6</v>
      </c>
      <c r="H586" s="3">
        <f t="shared" ca="1" si="155"/>
        <v>31331</v>
      </c>
      <c r="I586" s="3">
        <f t="shared" ca="1" si="156"/>
        <v>8773</v>
      </c>
      <c r="J586" s="3">
        <f t="shared" ca="1" si="157"/>
        <v>3838</v>
      </c>
      <c r="K586" s="3">
        <f t="shared" ca="1" si="158"/>
        <v>36</v>
      </c>
      <c r="L586" s="3">
        <f t="shared" ca="1" si="159"/>
        <v>39</v>
      </c>
      <c r="M586" s="3">
        <f t="shared" ca="1" si="160"/>
        <v>3</v>
      </c>
      <c r="N586" s="3" t="str">
        <f t="shared" ca="1" si="161"/>
        <v>Delayed</v>
      </c>
      <c r="O586" s="3" t="str">
        <f t="shared" ca="1" si="162"/>
        <v>Medium</v>
      </c>
      <c r="P586" s="3">
        <f t="shared" ca="1" si="163"/>
        <v>32</v>
      </c>
      <c r="Q586" s="1" t="str">
        <f ca="1">VLOOKUP(D586,Routes!$A$2:$D$31,2,FALSE)</f>
        <v>Hyderabad</v>
      </c>
      <c r="R586" s="1" t="str">
        <f ca="1">VLOOKUP(D586,Routes!$A$2:$D$31,3,FALSE)</f>
        <v>Nagpur</v>
      </c>
      <c r="S586" s="3">
        <f ca="1">VLOOKUP(D586,Routes!$A$2:$D$31,4,FALSE)</f>
        <v>500</v>
      </c>
      <c r="T586" s="3" t="str">
        <f ca="1">VLOOKUP(E586,Vehicles!$A$2:$D$21,2,FALSE)</f>
        <v>Truck</v>
      </c>
      <c r="U586" s="3">
        <f ca="1">VLOOKUP(E586,Vehicles!$A$2:$D$21,3,FALSE)</f>
        <v>16</v>
      </c>
      <c r="V586" s="3" t="str">
        <f ca="1">VLOOKUP(E586,Vehicles!$A$2:$D$21,4,FALSE)</f>
        <v>Diesel</v>
      </c>
      <c r="W586" s="3">
        <f ca="1">VLOOKUP(V586,Fuel_Rates!$A$2:$B$3,2,FALSE)</f>
        <v>95</v>
      </c>
      <c r="X586" s="3">
        <f t="shared" ca="1" si="165"/>
        <v>62.66</v>
      </c>
      <c r="Y586" s="3">
        <f t="shared" ca="1" si="166"/>
        <v>43942</v>
      </c>
      <c r="Z586" s="3" t="str">
        <f t="shared" ca="1" si="167"/>
        <v>Nov</v>
      </c>
      <c r="AA586" s="3" t="str">
        <f t="shared" ca="1" si="168"/>
        <v>Q4</v>
      </c>
      <c r="AB586" s="4" t="str">
        <f t="shared" ca="1" si="169"/>
        <v>Medium Haul</v>
      </c>
    </row>
    <row r="587" spans="1:28" x14ac:dyDescent="0.3">
      <c r="A587" s="8" t="str">
        <f t="shared" si="164"/>
        <v>S0586</v>
      </c>
      <c r="B587" s="3">
        <f t="shared" ca="1" si="153"/>
        <v>45701</v>
      </c>
      <c r="C587" s="3" t="str">
        <f ca="1">INDEX(Customers!$A$2:$A$21,RANDBETWEEN(1,20))</f>
        <v>C001</v>
      </c>
      <c r="D587" s="3" t="str">
        <f ca="1">INDEX(Routes!$A$2:$A$31,RANDBETWEEN(1,30))</f>
        <v>R020</v>
      </c>
      <c r="E587" s="3" t="str">
        <f ca="1">INDEX(Vehicles!$A$2:$A$21,RANDBETWEEN(1,20))</f>
        <v>V004</v>
      </c>
      <c r="F587" s="3" t="str">
        <f ca="1">INDEX(Drivers!$A$2:$A$31,RANDBETWEEN(1,30))</f>
        <v>D027</v>
      </c>
      <c r="G587" s="3">
        <f t="shared" ca="1" si="154"/>
        <v>12.7</v>
      </c>
      <c r="H587" s="3">
        <f t="shared" ca="1" si="155"/>
        <v>30536</v>
      </c>
      <c r="I587" s="3">
        <f t="shared" ca="1" si="156"/>
        <v>8550</v>
      </c>
      <c r="J587" s="3">
        <f t="shared" ca="1" si="157"/>
        <v>2298</v>
      </c>
      <c r="K587" s="3">
        <f t="shared" ca="1" si="158"/>
        <v>25</v>
      </c>
      <c r="L587" s="3">
        <f t="shared" ca="1" si="159"/>
        <v>32</v>
      </c>
      <c r="M587" s="3">
        <f t="shared" ca="1" si="160"/>
        <v>7</v>
      </c>
      <c r="N587" s="3" t="str">
        <f t="shared" ca="1" si="161"/>
        <v>Delayed</v>
      </c>
      <c r="O587" s="3" t="str">
        <f t="shared" ca="1" si="162"/>
        <v>Low</v>
      </c>
      <c r="P587" s="3">
        <f t="shared" ca="1" si="163"/>
        <v>42.3</v>
      </c>
      <c r="Q587" s="1" t="str">
        <f ca="1">VLOOKUP(D587,Routes!$A$2:$D$31,2,FALSE)</f>
        <v>Pune</v>
      </c>
      <c r="R587" s="1" t="str">
        <f ca="1">VLOOKUP(D587,Routes!$A$2:$D$31,3,FALSE)</f>
        <v>Nagpur</v>
      </c>
      <c r="S587" s="3">
        <f ca="1">VLOOKUP(D587,Routes!$A$2:$D$31,4,FALSE)</f>
        <v>720</v>
      </c>
      <c r="T587" s="3" t="str">
        <f ca="1">VLOOKUP(E587,Vehicles!$A$2:$D$21,2,FALSE)</f>
        <v>Trailer</v>
      </c>
      <c r="U587" s="3">
        <f ca="1">VLOOKUP(E587,Vehicles!$A$2:$D$21,3,FALSE)</f>
        <v>28</v>
      </c>
      <c r="V587" s="3" t="str">
        <f ca="1">VLOOKUP(E587,Vehicles!$A$2:$D$21,4,FALSE)</f>
        <v>Diesel</v>
      </c>
      <c r="W587" s="3">
        <f ca="1">VLOOKUP(V587,Fuel_Rates!$A$2:$B$3,2,FALSE)</f>
        <v>95</v>
      </c>
      <c r="X587" s="3">
        <f t="shared" ca="1" si="165"/>
        <v>42.41</v>
      </c>
      <c r="Y587" s="3">
        <f t="shared" ca="1" si="166"/>
        <v>41384</v>
      </c>
      <c r="Z587" s="3" t="str">
        <f t="shared" ca="1" si="167"/>
        <v>Feb</v>
      </c>
      <c r="AA587" s="3" t="str">
        <f t="shared" ca="1" si="168"/>
        <v>Q1</v>
      </c>
      <c r="AB587" s="4" t="str">
        <f t="shared" ca="1" si="169"/>
        <v>Medium Haul</v>
      </c>
    </row>
    <row r="588" spans="1:28" x14ac:dyDescent="0.3">
      <c r="A588" s="8" t="str">
        <f t="shared" si="164"/>
        <v>S0587</v>
      </c>
      <c r="B588" s="3">
        <f t="shared" ca="1" si="153"/>
        <v>45721</v>
      </c>
      <c r="C588" s="3" t="str">
        <f ca="1">INDEX(Customers!$A$2:$A$21,RANDBETWEEN(1,20))</f>
        <v>C007</v>
      </c>
      <c r="D588" s="3" t="str">
        <f ca="1">INDEX(Routes!$A$2:$A$31,RANDBETWEEN(1,30))</f>
        <v>R029</v>
      </c>
      <c r="E588" s="3" t="str">
        <f ca="1">INDEX(Vehicles!$A$2:$A$21,RANDBETWEEN(1,20))</f>
        <v>V008</v>
      </c>
      <c r="F588" s="3" t="str">
        <f ca="1">INDEX(Drivers!$A$2:$A$31,RANDBETWEEN(1,30))</f>
        <v>D015</v>
      </c>
      <c r="G588" s="3">
        <f t="shared" ca="1" si="154"/>
        <v>15.6</v>
      </c>
      <c r="H588" s="3">
        <f t="shared" ca="1" si="155"/>
        <v>38307</v>
      </c>
      <c r="I588" s="3">
        <f t="shared" ca="1" si="156"/>
        <v>10726</v>
      </c>
      <c r="J588" s="3">
        <f t="shared" ca="1" si="157"/>
        <v>3039</v>
      </c>
      <c r="K588" s="3">
        <f t="shared" ca="1" si="158"/>
        <v>25</v>
      </c>
      <c r="L588" s="3">
        <f t="shared" ca="1" si="159"/>
        <v>31</v>
      </c>
      <c r="M588" s="3">
        <f t="shared" ca="1" si="160"/>
        <v>6</v>
      </c>
      <c r="N588" s="3" t="str">
        <f t="shared" ca="1" si="161"/>
        <v>Delayed</v>
      </c>
      <c r="O588" s="3" t="str">
        <f t="shared" ca="1" si="162"/>
        <v>Low</v>
      </c>
      <c r="P588" s="3">
        <f t="shared" ca="1" si="163"/>
        <v>52</v>
      </c>
      <c r="Q588" s="1" t="str">
        <f ca="1">VLOOKUP(D588,Routes!$A$2:$D$31,2,FALSE)</f>
        <v>Chandigarh</v>
      </c>
      <c r="R588" s="1" t="str">
        <f ca="1">VLOOKUP(D588,Routes!$A$2:$D$31,3,FALSE)</f>
        <v>Delhi</v>
      </c>
      <c r="S588" s="3">
        <f ca="1">VLOOKUP(D588,Routes!$A$2:$D$31,4,FALSE)</f>
        <v>250</v>
      </c>
      <c r="T588" s="3" t="str">
        <f ca="1">VLOOKUP(E588,Vehicles!$A$2:$D$21,2,FALSE)</f>
        <v>Container</v>
      </c>
      <c r="U588" s="3">
        <f ca="1">VLOOKUP(E588,Vehicles!$A$2:$D$21,3,FALSE)</f>
        <v>25</v>
      </c>
      <c r="V588" s="3" t="str">
        <f ca="1">VLOOKUP(E588,Vehicles!$A$2:$D$21,4,FALSE)</f>
        <v>Diesel</v>
      </c>
      <c r="W588" s="3">
        <f ca="1">VLOOKUP(V588,Fuel_Rates!$A$2:$B$3,2,FALSE)</f>
        <v>95</v>
      </c>
      <c r="X588" s="3">
        <f t="shared" ca="1" si="165"/>
        <v>153.22999999999999</v>
      </c>
      <c r="Y588" s="3">
        <f t="shared" ca="1" si="166"/>
        <v>52072</v>
      </c>
      <c r="Z588" s="3" t="str">
        <f t="shared" ca="1" si="167"/>
        <v>Mar</v>
      </c>
      <c r="AA588" s="3" t="str">
        <f t="shared" ca="1" si="168"/>
        <v>Q1</v>
      </c>
      <c r="AB588" s="4" t="str">
        <f t="shared" ca="1" si="169"/>
        <v>Short Haul</v>
      </c>
    </row>
    <row r="589" spans="1:28" x14ac:dyDescent="0.3">
      <c r="A589" s="8" t="str">
        <f t="shared" si="164"/>
        <v>S0588</v>
      </c>
      <c r="B589" s="3">
        <f t="shared" ca="1" si="153"/>
        <v>45756</v>
      </c>
      <c r="C589" s="3" t="str">
        <f ca="1">INDEX(Customers!$A$2:$A$21,RANDBETWEEN(1,20))</f>
        <v>C017</v>
      </c>
      <c r="D589" s="3" t="str">
        <f ca="1">INDEX(Routes!$A$2:$A$31,RANDBETWEEN(1,30))</f>
        <v>R006</v>
      </c>
      <c r="E589" s="3" t="str">
        <f ca="1">INDEX(Vehicles!$A$2:$A$21,RANDBETWEEN(1,20))</f>
        <v>V001</v>
      </c>
      <c r="F589" s="3" t="str">
        <f ca="1">INDEX(Drivers!$A$2:$A$31,RANDBETWEEN(1,30))</f>
        <v>D016</v>
      </c>
      <c r="G589" s="3">
        <f t="shared" ca="1" si="154"/>
        <v>19.8</v>
      </c>
      <c r="H589" s="3">
        <f t="shared" ca="1" si="155"/>
        <v>40470</v>
      </c>
      <c r="I589" s="3">
        <f t="shared" ca="1" si="156"/>
        <v>11332</v>
      </c>
      <c r="J589" s="3">
        <f t="shared" ca="1" si="157"/>
        <v>2586</v>
      </c>
      <c r="K589" s="3">
        <f t="shared" ca="1" si="158"/>
        <v>39</v>
      </c>
      <c r="L589" s="3">
        <f t="shared" ca="1" si="159"/>
        <v>45</v>
      </c>
      <c r="M589" s="3">
        <f t="shared" ca="1" si="160"/>
        <v>6</v>
      </c>
      <c r="N589" s="3" t="str">
        <f t="shared" ca="1" si="161"/>
        <v>Delayed</v>
      </c>
      <c r="O589" s="3" t="str">
        <f t="shared" ca="1" si="162"/>
        <v>Low</v>
      </c>
      <c r="P589" s="3">
        <f t="shared" ca="1" si="163"/>
        <v>66</v>
      </c>
      <c r="Q589" s="1" t="str">
        <f ca="1">VLOOKUP(D589,Routes!$A$2:$D$31,2,FALSE)</f>
        <v>Delhi</v>
      </c>
      <c r="R589" s="1" t="str">
        <f ca="1">VLOOKUP(D589,Routes!$A$2:$D$31,3,FALSE)</f>
        <v>Lucknow</v>
      </c>
      <c r="S589" s="3">
        <f ca="1">VLOOKUP(D589,Routes!$A$2:$D$31,4,FALSE)</f>
        <v>550</v>
      </c>
      <c r="T589" s="3" t="str">
        <f ca="1">VLOOKUP(E589,Vehicles!$A$2:$D$21,2,FALSE)</f>
        <v>Truck</v>
      </c>
      <c r="U589" s="3">
        <f ca="1">VLOOKUP(E589,Vehicles!$A$2:$D$21,3,FALSE)</f>
        <v>16</v>
      </c>
      <c r="V589" s="3" t="str">
        <f ca="1">VLOOKUP(E589,Vehicles!$A$2:$D$21,4,FALSE)</f>
        <v>Diesel</v>
      </c>
      <c r="W589" s="3">
        <f ca="1">VLOOKUP(V589,Fuel_Rates!$A$2:$B$3,2,FALSE)</f>
        <v>95</v>
      </c>
      <c r="X589" s="3">
        <f t="shared" ca="1" si="165"/>
        <v>73.58</v>
      </c>
      <c r="Y589" s="3">
        <f t="shared" ca="1" si="166"/>
        <v>54388</v>
      </c>
      <c r="Z589" s="3" t="str">
        <f t="shared" ca="1" si="167"/>
        <v>Apr</v>
      </c>
      <c r="AA589" s="3" t="str">
        <f t="shared" ca="1" si="168"/>
        <v>Q2</v>
      </c>
      <c r="AB589" s="4" t="str">
        <f t="shared" ca="1" si="169"/>
        <v>Medium Haul</v>
      </c>
    </row>
    <row r="590" spans="1:28" x14ac:dyDescent="0.3">
      <c r="A590" s="8" t="str">
        <f t="shared" si="164"/>
        <v>S0589</v>
      </c>
      <c r="B590" s="3">
        <f t="shared" ca="1" si="153"/>
        <v>45714</v>
      </c>
      <c r="C590" s="3" t="str">
        <f ca="1">INDEX(Customers!$A$2:$A$21,RANDBETWEEN(1,20))</f>
        <v>C004</v>
      </c>
      <c r="D590" s="3" t="str">
        <f ca="1">INDEX(Routes!$A$2:$A$31,RANDBETWEEN(1,30))</f>
        <v>R027</v>
      </c>
      <c r="E590" s="3" t="str">
        <f ca="1">INDEX(Vehicles!$A$2:$A$21,RANDBETWEEN(1,20))</f>
        <v>V005</v>
      </c>
      <c r="F590" s="3" t="str">
        <f ca="1">INDEX(Drivers!$A$2:$A$31,RANDBETWEEN(1,30))</f>
        <v>D025</v>
      </c>
      <c r="G590" s="3">
        <f t="shared" ca="1" si="154"/>
        <v>26.2</v>
      </c>
      <c r="H590" s="3">
        <f t="shared" ca="1" si="155"/>
        <v>58298</v>
      </c>
      <c r="I590" s="3">
        <f t="shared" ca="1" si="156"/>
        <v>16323</v>
      </c>
      <c r="J590" s="3">
        <f t="shared" ca="1" si="157"/>
        <v>918</v>
      </c>
      <c r="K590" s="3">
        <f t="shared" ca="1" si="158"/>
        <v>18</v>
      </c>
      <c r="L590" s="3">
        <f t="shared" ca="1" si="159"/>
        <v>25</v>
      </c>
      <c r="M590" s="3">
        <f t="shared" ca="1" si="160"/>
        <v>7</v>
      </c>
      <c r="N590" s="3" t="str">
        <f t="shared" ca="1" si="161"/>
        <v>Delayed</v>
      </c>
      <c r="O590" s="3" t="str">
        <f t="shared" ca="1" si="162"/>
        <v>Medium</v>
      </c>
      <c r="P590" s="3">
        <f t="shared" ca="1" si="163"/>
        <v>87.3</v>
      </c>
      <c r="Q590" s="1" t="str">
        <f ca="1">VLOOKUP(D590,Routes!$A$2:$D$31,2,FALSE)</f>
        <v>Patna</v>
      </c>
      <c r="R590" s="1" t="str">
        <f ca="1">VLOOKUP(D590,Routes!$A$2:$D$31,3,FALSE)</f>
        <v>Ranchi</v>
      </c>
      <c r="S590" s="3">
        <f ca="1">VLOOKUP(D590,Routes!$A$2:$D$31,4,FALSE)</f>
        <v>330</v>
      </c>
      <c r="T590" s="3" t="str">
        <f ca="1">VLOOKUP(E590,Vehicles!$A$2:$D$21,2,FALSE)</f>
        <v>Trailer</v>
      </c>
      <c r="U590" s="3">
        <f ca="1">VLOOKUP(E590,Vehicles!$A$2:$D$21,3,FALSE)</f>
        <v>32</v>
      </c>
      <c r="V590" s="3" t="str">
        <f ca="1">VLOOKUP(E590,Vehicles!$A$2:$D$21,4,FALSE)</f>
        <v>Diesel</v>
      </c>
      <c r="W590" s="3">
        <f ca="1">VLOOKUP(V590,Fuel_Rates!$A$2:$B$3,2,FALSE)</f>
        <v>95</v>
      </c>
      <c r="X590" s="3">
        <f t="shared" ca="1" si="165"/>
        <v>176.66</v>
      </c>
      <c r="Y590" s="3">
        <f t="shared" ca="1" si="166"/>
        <v>75539</v>
      </c>
      <c r="Z590" s="3" t="str">
        <f t="shared" ca="1" si="167"/>
        <v>Feb</v>
      </c>
      <c r="AA590" s="3" t="str">
        <f t="shared" ca="1" si="168"/>
        <v>Q1</v>
      </c>
      <c r="AB590" s="4" t="str">
        <f t="shared" ca="1" si="169"/>
        <v>Medium Haul</v>
      </c>
    </row>
    <row r="591" spans="1:28" x14ac:dyDescent="0.3">
      <c r="A591" s="8" t="str">
        <f t="shared" si="164"/>
        <v>S0590</v>
      </c>
      <c r="B591" s="3">
        <f t="shared" ca="1" si="153"/>
        <v>45743</v>
      </c>
      <c r="C591" s="3" t="str">
        <f ca="1">INDEX(Customers!$A$2:$A$21,RANDBETWEEN(1,20))</f>
        <v>C012</v>
      </c>
      <c r="D591" s="3" t="str">
        <f ca="1">INDEX(Routes!$A$2:$A$31,RANDBETWEEN(1,30))</f>
        <v>R030</v>
      </c>
      <c r="E591" s="3" t="str">
        <f ca="1">INDEX(Vehicles!$A$2:$A$21,RANDBETWEEN(1,20))</f>
        <v>V009</v>
      </c>
      <c r="F591" s="3" t="str">
        <f ca="1">INDEX(Drivers!$A$2:$A$31,RANDBETWEEN(1,30))</f>
        <v>D022</v>
      </c>
      <c r="G591" s="3">
        <f t="shared" ca="1" si="154"/>
        <v>28.5</v>
      </c>
      <c r="H591" s="3">
        <f t="shared" ca="1" si="155"/>
        <v>62669</v>
      </c>
      <c r="I591" s="3">
        <f t="shared" ca="1" si="156"/>
        <v>17547</v>
      </c>
      <c r="J591" s="3">
        <f t="shared" ca="1" si="157"/>
        <v>3626</v>
      </c>
      <c r="K591" s="3">
        <f t="shared" ca="1" si="158"/>
        <v>11</v>
      </c>
      <c r="L591" s="3">
        <f t="shared" ca="1" si="159"/>
        <v>18</v>
      </c>
      <c r="M591" s="3">
        <f t="shared" ca="1" si="160"/>
        <v>7</v>
      </c>
      <c r="N591" s="3" t="str">
        <f t="shared" ca="1" si="161"/>
        <v>Delayed</v>
      </c>
      <c r="O591" s="3" t="str">
        <f t="shared" ca="1" si="162"/>
        <v>Medium</v>
      </c>
      <c r="P591" s="3">
        <f t="shared" ca="1" si="163"/>
        <v>95</v>
      </c>
      <c r="Q591" s="1" t="str">
        <f ca="1">VLOOKUP(D591,Routes!$A$2:$D$31,2,FALSE)</f>
        <v>Bhubaneswar</v>
      </c>
      <c r="R591" s="1" t="str">
        <f ca="1">VLOOKUP(D591,Routes!$A$2:$D$31,3,FALSE)</f>
        <v>Kolkata</v>
      </c>
      <c r="S591" s="3">
        <f ca="1">VLOOKUP(D591,Routes!$A$2:$D$31,4,FALSE)</f>
        <v>440</v>
      </c>
      <c r="T591" s="3" t="str">
        <f ca="1">VLOOKUP(E591,Vehicles!$A$2:$D$21,2,FALSE)</f>
        <v>LCV</v>
      </c>
      <c r="U591" s="3">
        <f ca="1">VLOOKUP(E591,Vehicles!$A$2:$D$21,3,FALSE)</f>
        <v>5</v>
      </c>
      <c r="V591" s="3" t="str">
        <f ca="1">VLOOKUP(E591,Vehicles!$A$2:$D$21,4,FALSE)</f>
        <v>Diesel</v>
      </c>
      <c r="W591" s="3">
        <f ca="1">VLOOKUP(V591,Fuel_Rates!$A$2:$B$3,2,FALSE)</f>
        <v>95</v>
      </c>
      <c r="X591" s="3">
        <f t="shared" ca="1" si="165"/>
        <v>142.43</v>
      </c>
      <c r="Y591" s="3">
        <f t="shared" ca="1" si="166"/>
        <v>83842</v>
      </c>
      <c r="Z591" s="3" t="str">
        <f t="shared" ca="1" si="167"/>
        <v>Mar</v>
      </c>
      <c r="AA591" s="3" t="str">
        <f t="shared" ca="1" si="168"/>
        <v>Q1</v>
      </c>
      <c r="AB591" s="4" t="str">
        <f t="shared" ca="1" si="169"/>
        <v>Medium Haul</v>
      </c>
    </row>
    <row r="592" spans="1:28" x14ac:dyDescent="0.3">
      <c r="A592" s="8" t="str">
        <f t="shared" si="164"/>
        <v>S0591</v>
      </c>
      <c r="B592" s="3">
        <f t="shared" ca="1" si="153"/>
        <v>45753</v>
      </c>
      <c r="C592" s="3" t="str">
        <f ca="1">INDEX(Customers!$A$2:$A$21,RANDBETWEEN(1,20))</f>
        <v>C014</v>
      </c>
      <c r="D592" s="3" t="str">
        <f ca="1">INDEX(Routes!$A$2:$A$31,RANDBETWEEN(1,30))</f>
        <v>R008</v>
      </c>
      <c r="E592" s="3" t="str">
        <f ca="1">INDEX(Vehicles!$A$2:$A$21,RANDBETWEEN(1,20))</f>
        <v>V007</v>
      </c>
      <c r="F592" s="3" t="str">
        <f ca="1">INDEX(Drivers!$A$2:$A$31,RANDBETWEEN(1,30))</f>
        <v>D022</v>
      </c>
      <c r="G592" s="3">
        <f t="shared" ca="1" si="154"/>
        <v>3</v>
      </c>
      <c r="H592" s="3">
        <f t="shared" ca="1" si="155"/>
        <v>9098</v>
      </c>
      <c r="I592" s="3">
        <f t="shared" ca="1" si="156"/>
        <v>2547</v>
      </c>
      <c r="J592" s="3">
        <f t="shared" ca="1" si="157"/>
        <v>2978</v>
      </c>
      <c r="K592" s="3">
        <f t="shared" ca="1" si="158"/>
        <v>19</v>
      </c>
      <c r="L592" s="3">
        <f t="shared" ca="1" si="159"/>
        <v>24</v>
      </c>
      <c r="M592" s="3">
        <f t="shared" ca="1" si="160"/>
        <v>5</v>
      </c>
      <c r="N592" s="3" t="str">
        <f t="shared" ca="1" si="161"/>
        <v>Delayed</v>
      </c>
      <c r="O592" s="3" t="str">
        <f t="shared" ca="1" si="162"/>
        <v>Low</v>
      </c>
      <c r="P592" s="3">
        <f t="shared" ca="1" si="163"/>
        <v>10</v>
      </c>
      <c r="Q592" s="1" t="str">
        <f ca="1">VLOOKUP(D592,Routes!$A$2:$D$31,2,FALSE)</f>
        <v>Delhi</v>
      </c>
      <c r="R592" s="1" t="str">
        <f ca="1">VLOOKUP(D592,Routes!$A$2:$D$31,3,FALSE)</f>
        <v>Kolkata</v>
      </c>
      <c r="S592" s="3">
        <f ca="1">VLOOKUP(D592,Routes!$A$2:$D$31,4,FALSE)</f>
        <v>1500</v>
      </c>
      <c r="T592" s="3" t="str">
        <f ca="1">VLOOKUP(E592,Vehicles!$A$2:$D$21,2,FALSE)</f>
        <v>Container</v>
      </c>
      <c r="U592" s="3">
        <f ca="1">VLOOKUP(E592,Vehicles!$A$2:$D$21,3,FALSE)</f>
        <v>20</v>
      </c>
      <c r="V592" s="3" t="str">
        <f ca="1">VLOOKUP(E592,Vehicles!$A$2:$D$21,4,FALSE)</f>
        <v>Diesel</v>
      </c>
      <c r="W592" s="3">
        <f ca="1">VLOOKUP(V592,Fuel_Rates!$A$2:$B$3,2,FALSE)</f>
        <v>95</v>
      </c>
      <c r="X592" s="3">
        <f t="shared" ca="1" si="165"/>
        <v>6.07</v>
      </c>
      <c r="Y592" s="3">
        <f t="shared" ca="1" si="166"/>
        <v>14623</v>
      </c>
      <c r="Z592" s="3" t="str">
        <f t="shared" ca="1" si="167"/>
        <v>Apr</v>
      </c>
      <c r="AA592" s="3" t="str">
        <f t="shared" ca="1" si="168"/>
        <v>Q2</v>
      </c>
      <c r="AB592" s="4" t="str">
        <f t="shared" ca="1" si="169"/>
        <v>Long Haul</v>
      </c>
    </row>
    <row r="593" spans="1:28" x14ac:dyDescent="0.3">
      <c r="A593" s="8" t="str">
        <f t="shared" si="164"/>
        <v>S0592</v>
      </c>
      <c r="B593" s="3">
        <f t="shared" ca="1" si="153"/>
        <v>45893</v>
      </c>
      <c r="C593" s="3" t="str">
        <f ca="1">INDEX(Customers!$A$2:$A$21,RANDBETWEEN(1,20))</f>
        <v>C005</v>
      </c>
      <c r="D593" s="3" t="str">
        <f ca="1">INDEX(Routes!$A$2:$A$31,RANDBETWEEN(1,30))</f>
        <v>R019</v>
      </c>
      <c r="E593" s="3" t="str">
        <f ca="1">INDEX(Vehicles!$A$2:$A$21,RANDBETWEEN(1,20))</f>
        <v>V013</v>
      </c>
      <c r="F593" s="3" t="str">
        <f ca="1">INDEX(Drivers!$A$2:$A$31,RANDBETWEEN(1,30))</f>
        <v>D022</v>
      </c>
      <c r="G593" s="3">
        <f t="shared" ca="1" si="154"/>
        <v>27.2</v>
      </c>
      <c r="H593" s="3">
        <f t="shared" ca="1" si="155"/>
        <v>57830</v>
      </c>
      <c r="I593" s="3">
        <f t="shared" ca="1" si="156"/>
        <v>16192</v>
      </c>
      <c r="J593" s="3">
        <f t="shared" ca="1" si="157"/>
        <v>1667</v>
      </c>
      <c r="K593" s="3">
        <f t="shared" ca="1" si="158"/>
        <v>40</v>
      </c>
      <c r="L593" s="3">
        <f t="shared" ca="1" si="159"/>
        <v>42</v>
      </c>
      <c r="M593" s="3">
        <f t="shared" ca="1" si="160"/>
        <v>2</v>
      </c>
      <c r="N593" s="3" t="str">
        <f t="shared" ca="1" si="161"/>
        <v>On Time</v>
      </c>
      <c r="O593" s="3" t="str">
        <f t="shared" ca="1" si="162"/>
        <v>High</v>
      </c>
      <c r="P593" s="3">
        <f t="shared" ca="1" si="163"/>
        <v>90.7</v>
      </c>
      <c r="Q593" s="1" t="str">
        <f ca="1">VLOOKUP(D593,Routes!$A$2:$D$31,2,FALSE)</f>
        <v>Ahmedabad</v>
      </c>
      <c r="R593" s="1" t="str">
        <f ca="1">VLOOKUP(D593,Routes!$A$2:$D$31,3,FALSE)</f>
        <v>Indore</v>
      </c>
      <c r="S593" s="3">
        <f ca="1">VLOOKUP(D593,Routes!$A$2:$D$31,4,FALSE)</f>
        <v>390</v>
      </c>
      <c r="T593" s="3" t="str">
        <f ca="1">VLOOKUP(E593,Vehicles!$A$2:$D$21,2,FALSE)</f>
        <v>LCV</v>
      </c>
      <c r="U593" s="3">
        <f ca="1">VLOOKUP(E593,Vehicles!$A$2:$D$21,3,FALSE)</f>
        <v>4</v>
      </c>
      <c r="V593" s="3" t="str">
        <f ca="1">VLOOKUP(E593,Vehicles!$A$2:$D$21,4,FALSE)</f>
        <v>CNG</v>
      </c>
      <c r="W593" s="3">
        <f ca="1">VLOOKUP(V593,Fuel_Rates!$A$2:$B$3,2,FALSE)</f>
        <v>78</v>
      </c>
      <c r="X593" s="3">
        <f t="shared" ca="1" si="165"/>
        <v>148.28</v>
      </c>
      <c r="Y593" s="3">
        <f t="shared" ca="1" si="166"/>
        <v>75689</v>
      </c>
      <c r="Z593" s="3" t="str">
        <f t="shared" ca="1" si="167"/>
        <v>Aug</v>
      </c>
      <c r="AA593" s="3" t="str">
        <f t="shared" ca="1" si="168"/>
        <v>Q3</v>
      </c>
      <c r="AB593" s="4" t="str">
        <f t="shared" ca="1" si="169"/>
        <v>Medium Haul</v>
      </c>
    </row>
    <row r="594" spans="1:28" x14ac:dyDescent="0.3">
      <c r="A594" s="8" t="str">
        <f t="shared" si="164"/>
        <v>S0593</v>
      </c>
      <c r="B594" s="3">
        <f t="shared" ca="1" si="153"/>
        <v>45937</v>
      </c>
      <c r="C594" s="3" t="str">
        <f ca="1">INDEX(Customers!$A$2:$A$21,RANDBETWEEN(1,20))</f>
        <v>C009</v>
      </c>
      <c r="D594" s="3" t="str">
        <f ca="1">INDEX(Routes!$A$2:$A$31,RANDBETWEEN(1,30))</f>
        <v>R030</v>
      </c>
      <c r="E594" s="3" t="str">
        <f ca="1">INDEX(Vehicles!$A$2:$A$21,RANDBETWEEN(1,20))</f>
        <v>V004</v>
      </c>
      <c r="F594" s="3" t="str">
        <f ca="1">INDEX(Drivers!$A$2:$A$31,RANDBETWEEN(1,30))</f>
        <v>D002</v>
      </c>
      <c r="G594" s="3">
        <f t="shared" ca="1" si="154"/>
        <v>27.6</v>
      </c>
      <c r="H594" s="3">
        <f t="shared" ca="1" si="155"/>
        <v>58736</v>
      </c>
      <c r="I594" s="3">
        <f t="shared" ca="1" si="156"/>
        <v>16446</v>
      </c>
      <c r="J594" s="3">
        <f t="shared" ca="1" si="157"/>
        <v>3881</v>
      </c>
      <c r="K594" s="3">
        <f t="shared" ca="1" si="158"/>
        <v>24</v>
      </c>
      <c r="L594" s="3">
        <f t="shared" ca="1" si="159"/>
        <v>32</v>
      </c>
      <c r="M594" s="3">
        <f t="shared" ca="1" si="160"/>
        <v>8</v>
      </c>
      <c r="N594" s="3" t="str">
        <f t="shared" ca="1" si="161"/>
        <v>Delayed</v>
      </c>
      <c r="O594" s="3" t="str">
        <f t="shared" ca="1" si="162"/>
        <v>Low</v>
      </c>
      <c r="P594" s="3">
        <f t="shared" ca="1" si="163"/>
        <v>92</v>
      </c>
      <c r="Q594" s="1" t="str">
        <f ca="1">VLOOKUP(D594,Routes!$A$2:$D$31,2,FALSE)</f>
        <v>Bhubaneswar</v>
      </c>
      <c r="R594" s="1" t="str">
        <f ca="1">VLOOKUP(D594,Routes!$A$2:$D$31,3,FALSE)</f>
        <v>Kolkata</v>
      </c>
      <c r="S594" s="3">
        <f ca="1">VLOOKUP(D594,Routes!$A$2:$D$31,4,FALSE)</f>
        <v>440</v>
      </c>
      <c r="T594" s="3" t="str">
        <f ca="1">VLOOKUP(E594,Vehicles!$A$2:$D$21,2,FALSE)</f>
        <v>Trailer</v>
      </c>
      <c r="U594" s="3">
        <f ca="1">VLOOKUP(E594,Vehicles!$A$2:$D$21,3,FALSE)</f>
        <v>28</v>
      </c>
      <c r="V594" s="3" t="str">
        <f ca="1">VLOOKUP(E594,Vehicles!$A$2:$D$21,4,FALSE)</f>
        <v>Diesel</v>
      </c>
      <c r="W594" s="3">
        <f ca="1">VLOOKUP(V594,Fuel_Rates!$A$2:$B$3,2,FALSE)</f>
        <v>95</v>
      </c>
      <c r="X594" s="3">
        <f t="shared" ca="1" si="165"/>
        <v>133.49</v>
      </c>
      <c r="Y594" s="3">
        <f t="shared" ca="1" si="166"/>
        <v>79063</v>
      </c>
      <c r="Z594" s="3" t="str">
        <f t="shared" ca="1" si="167"/>
        <v>Oct</v>
      </c>
      <c r="AA594" s="3" t="str">
        <f t="shared" ca="1" si="168"/>
        <v>Q4</v>
      </c>
      <c r="AB594" s="4" t="str">
        <f t="shared" ca="1" si="169"/>
        <v>Medium Haul</v>
      </c>
    </row>
    <row r="595" spans="1:28" x14ac:dyDescent="0.3">
      <c r="A595" s="8" t="str">
        <f t="shared" si="164"/>
        <v>S0594</v>
      </c>
      <c r="B595" s="3">
        <f t="shared" ca="1" si="153"/>
        <v>45850</v>
      </c>
      <c r="C595" s="3" t="str">
        <f ca="1">INDEX(Customers!$A$2:$A$21,RANDBETWEEN(1,20))</f>
        <v>C008</v>
      </c>
      <c r="D595" s="3" t="str">
        <f ca="1">INDEX(Routes!$A$2:$A$31,RANDBETWEEN(1,30))</f>
        <v>R028</v>
      </c>
      <c r="E595" s="3" t="str">
        <f ca="1">INDEX(Vehicles!$A$2:$A$21,RANDBETWEEN(1,20))</f>
        <v>V008</v>
      </c>
      <c r="F595" s="3" t="str">
        <f ca="1">INDEX(Drivers!$A$2:$A$31,RANDBETWEEN(1,30))</f>
        <v>D018</v>
      </c>
      <c r="G595" s="3">
        <f t="shared" ca="1" si="154"/>
        <v>24.8</v>
      </c>
      <c r="H595" s="3">
        <f t="shared" ca="1" si="155"/>
        <v>53550</v>
      </c>
      <c r="I595" s="3">
        <f t="shared" ca="1" si="156"/>
        <v>14994</v>
      </c>
      <c r="J595" s="3">
        <f t="shared" ca="1" si="157"/>
        <v>1981</v>
      </c>
      <c r="K595" s="3">
        <f t="shared" ca="1" si="158"/>
        <v>31</v>
      </c>
      <c r="L595" s="3">
        <f t="shared" ca="1" si="159"/>
        <v>39</v>
      </c>
      <c r="M595" s="3">
        <f t="shared" ca="1" si="160"/>
        <v>8</v>
      </c>
      <c r="N595" s="3" t="str">
        <f t="shared" ca="1" si="161"/>
        <v>Delayed</v>
      </c>
      <c r="O595" s="3" t="str">
        <f t="shared" ca="1" si="162"/>
        <v>Medium</v>
      </c>
      <c r="P595" s="3">
        <f t="shared" ca="1" si="163"/>
        <v>82.7</v>
      </c>
      <c r="Q595" s="1" t="str">
        <f ca="1">VLOOKUP(D595,Routes!$A$2:$D$31,2,FALSE)</f>
        <v>Indore</v>
      </c>
      <c r="R595" s="1" t="str">
        <f ca="1">VLOOKUP(D595,Routes!$A$2:$D$31,3,FALSE)</f>
        <v>Mumbai</v>
      </c>
      <c r="S595" s="3">
        <f ca="1">VLOOKUP(D595,Routes!$A$2:$D$31,4,FALSE)</f>
        <v>590</v>
      </c>
      <c r="T595" s="3" t="str">
        <f ca="1">VLOOKUP(E595,Vehicles!$A$2:$D$21,2,FALSE)</f>
        <v>Container</v>
      </c>
      <c r="U595" s="3">
        <f ca="1">VLOOKUP(E595,Vehicles!$A$2:$D$21,3,FALSE)</f>
        <v>25</v>
      </c>
      <c r="V595" s="3" t="str">
        <f ca="1">VLOOKUP(E595,Vehicles!$A$2:$D$21,4,FALSE)</f>
        <v>Diesel</v>
      </c>
      <c r="W595" s="3">
        <f ca="1">VLOOKUP(V595,Fuel_Rates!$A$2:$B$3,2,FALSE)</f>
        <v>95</v>
      </c>
      <c r="X595" s="3">
        <f t="shared" ca="1" si="165"/>
        <v>90.76</v>
      </c>
      <c r="Y595" s="3">
        <f t="shared" ca="1" si="166"/>
        <v>70525</v>
      </c>
      <c r="Z595" s="3" t="str">
        <f t="shared" ca="1" si="167"/>
        <v>Jul</v>
      </c>
      <c r="AA595" s="3" t="str">
        <f t="shared" ca="1" si="168"/>
        <v>Q3</v>
      </c>
      <c r="AB595" s="4" t="str">
        <f t="shared" ca="1" si="169"/>
        <v>Medium Haul</v>
      </c>
    </row>
    <row r="596" spans="1:28" x14ac:dyDescent="0.3">
      <c r="A596" s="8" t="str">
        <f t="shared" si="164"/>
        <v>S0595</v>
      </c>
      <c r="B596" s="3">
        <f t="shared" ca="1" si="153"/>
        <v>45713</v>
      </c>
      <c r="C596" s="3" t="str">
        <f ca="1">INDEX(Customers!$A$2:$A$21,RANDBETWEEN(1,20))</f>
        <v>C011</v>
      </c>
      <c r="D596" s="3" t="str">
        <f ca="1">INDEX(Routes!$A$2:$A$31,RANDBETWEEN(1,30))</f>
        <v>R014</v>
      </c>
      <c r="E596" s="3" t="str">
        <f ca="1">INDEX(Vehicles!$A$2:$A$21,RANDBETWEEN(1,20))</f>
        <v>V006</v>
      </c>
      <c r="F596" s="3" t="str">
        <f ca="1">INDEX(Drivers!$A$2:$A$31,RANDBETWEEN(1,30))</f>
        <v>D024</v>
      </c>
      <c r="G596" s="3">
        <f t="shared" ca="1" si="154"/>
        <v>11.5</v>
      </c>
      <c r="H596" s="3">
        <f t="shared" ca="1" si="155"/>
        <v>31467</v>
      </c>
      <c r="I596" s="3">
        <f t="shared" ca="1" si="156"/>
        <v>8811</v>
      </c>
      <c r="J596" s="3">
        <f t="shared" ca="1" si="157"/>
        <v>1300</v>
      </c>
      <c r="K596" s="3">
        <f t="shared" ca="1" si="158"/>
        <v>31</v>
      </c>
      <c r="L596" s="3">
        <f t="shared" ca="1" si="159"/>
        <v>33</v>
      </c>
      <c r="M596" s="3">
        <f t="shared" ca="1" si="160"/>
        <v>2</v>
      </c>
      <c r="N596" s="3" t="str">
        <f t="shared" ca="1" si="161"/>
        <v>On Time</v>
      </c>
      <c r="O596" s="3" t="str">
        <f t="shared" ca="1" si="162"/>
        <v>Low</v>
      </c>
      <c r="P596" s="3">
        <f t="shared" ca="1" si="163"/>
        <v>38.299999999999997</v>
      </c>
      <c r="Q596" s="1" t="str">
        <f ca="1">VLOOKUP(D596,Routes!$A$2:$D$31,2,FALSE)</f>
        <v>Hyderabad</v>
      </c>
      <c r="R596" s="1" t="str">
        <f ca="1">VLOOKUP(D596,Routes!$A$2:$D$31,3,FALSE)</f>
        <v>Nagpur</v>
      </c>
      <c r="S596" s="3">
        <f ca="1">VLOOKUP(D596,Routes!$A$2:$D$31,4,FALSE)</f>
        <v>500</v>
      </c>
      <c r="T596" s="3" t="str">
        <f ca="1">VLOOKUP(E596,Vehicles!$A$2:$D$21,2,FALSE)</f>
        <v>Container</v>
      </c>
      <c r="U596" s="3">
        <f ca="1">VLOOKUP(E596,Vehicles!$A$2:$D$21,3,FALSE)</f>
        <v>18</v>
      </c>
      <c r="V596" s="3" t="str">
        <f ca="1">VLOOKUP(E596,Vehicles!$A$2:$D$21,4,FALSE)</f>
        <v>Diesel</v>
      </c>
      <c r="W596" s="3">
        <f ca="1">VLOOKUP(V596,Fuel_Rates!$A$2:$B$3,2,FALSE)</f>
        <v>95</v>
      </c>
      <c r="X596" s="3">
        <f t="shared" ca="1" si="165"/>
        <v>62.93</v>
      </c>
      <c r="Y596" s="3">
        <f t="shared" ca="1" si="166"/>
        <v>41578</v>
      </c>
      <c r="Z596" s="3" t="str">
        <f t="shared" ca="1" si="167"/>
        <v>Feb</v>
      </c>
      <c r="AA596" s="3" t="str">
        <f t="shared" ca="1" si="168"/>
        <v>Q1</v>
      </c>
      <c r="AB596" s="4" t="str">
        <f t="shared" ca="1" si="169"/>
        <v>Medium Haul</v>
      </c>
    </row>
    <row r="597" spans="1:28" x14ac:dyDescent="0.3">
      <c r="A597" s="8" t="str">
        <f t="shared" si="164"/>
        <v>S0596</v>
      </c>
      <c r="B597" s="3">
        <f t="shared" ca="1" si="153"/>
        <v>45938</v>
      </c>
      <c r="C597" s="3" t="str">
        <f ca="1">INDEX(Customers!$A$2:$A$21,RANDBETWEEN(1,20))</f>
        <v>C010</v>
      </c>
      <c r="D597" s="3" t="str">
        <f ca="1">INDEX(Routes!$A$2:$A$31,RANDBETWEEN(1,30))</f>
        <v>R030</v>
      </c>
      <c r="E597" s="3" t="str">
        <f ca="1">INDEX(Vehicles!$A$2:$A$21,RANDBETWEEN(1,20))</f>
        <v>V012</v>
      </c>
      <c r="F597" s="3" t="str">
        <f ca="1">INDEX(Drivers!$A$2:$A$31,RANDBETWEEN(1,30))</f>
        <v>D027</v>
      </c>
      <c r="G597" s="3">
        <f t="shared" ca="1" si="154"/>
        <v>17.2</v>
      </c>
      <c r="H597" s="3">
        <f t="shared" ca="1" si="155"/>
        <v>34886</v>
      </c>
      <c r="I597" s="3">
        <f t="shared" ca="1" si="156"/>
        <v>9768</v>
      </c>
      <c r="J597" s="3">
        <f t="shared" ca="1" si="157"/>
        <v>693</v>
      </c>
      <c r="K597" s="3">
        <f t="shared" ca="1" si="158"/>
        <v>44</v>
      </c>
      <c r="L597" s="3">
        <f t="shared" ca="1" si="159"/>
        <v>51</v>
      </c>
      <c r="M597" s="3">
        <f t="shared" ca="1" si="160"/>
        <v>7</v>
      </c>
      <c r="N597" s="3" t="str">
        <f t="shared" ca="1" si="161"/>
        <v>Delayed</v>
      </c>
      <c r="O597" s="3" t="str">
        <f t="shared" ca="1" si="162"/>
        <v>High</v>
      </c>
      <c r="P597" s="3">
        <f t="shared" ca="1" si="163"/>
        <v>57.3</v>
      </c>
      <c r="Q597" s="1" t="str">
        <f ca="1">VLOOKUP(D597,Routes!$A$2:$D$31,2,FALSE)</f>
        <v>Bhubaneswar</v>
      </c>
      <c r="R597" s="1" t="str">
        <f ca="1">VLOOKUP(D597,Routes!$A$2:$D$31,3,FALSE)</f>
        <v>Kolkata</v>
      </c>
      <c r="S597" s="3">
        <f ca="1">VLOOKUP(D597,Routes!$A$2:$D$31,4,FALSE)</f>
        <v>440</v>
      </c>
      <c r="T597" s="3" t="str">
        <f ca="1">VLOOKUP(E597,Vehicles!$A$2:$D$21,2,FALSE)</f>
        <v>Truck</v>
      </c>
      <c r="U597" s="3">
        <f ca="1">VLOOKUP(E597,Vehicles!$A$2:$D$21,3,FALSE)</f>
        <v>20</v>
      </c>
      <c r="V597" s="3" t="str">
        <f ca="1">VLOOKUP(E597,Vehicles!$A$2:$D$21,4,FALSE)</f>
        <v>CNG</v>
      </c>
      <c r="W597" s="3">
        <f ca="1">VLOOKUP(V597,Fuel_Rates!$A$2:$B$3,2,FALSE)</f>
        <v>78</v>
      </c>
      <c r="X597" s="3">
        <f t="shared" ca="1" si="165"/>
        <v>79.290000000000006</v>
      </c>
      <c r="Y597" s="3">
        <f t="shared" ca="1" si="166"/>
        <v>45347</v>
      </c>
      <c r="Z597" s="3" t="str">
        <f t="shared" ca="1" si="167"/>
        <v>Oct</v>
      </c>
      <c r="AA597" s="3" t="str">
        <f t="shared" ca="1" si="168"/>
        <v>Q4</v>
      </c>
      <c r="AB597" s="4" t="str">
        <f t="shared" ca="1" si="169"/>
        <v>Medium Haul</v>
      </c>
    </row>
    <row r="598" spans="1:28" x14ac:dyDescent="0.3">
      <c r="A598" s="8" t="str">
        <f t="shared" si="164"/>
        <v>S0597</v>
      </c>
      <c r="B598" s="3">
        <f t="shared" ca="1" si="153"/>
        <v>45779</v>
      </c>
      <c r="C598" s="3" t="str">
        <f ca="1">INDEX(Customers!$A$2:$A$21,RANDBETWEEN(1,20))</f>
        <v>C018</v>
      </c>
      <c r="D598" s="3" t="str">
        <f ca="1">INDEX(Routes!$A$2:$A$31,RANDBETWEEN(1,30))</f>
        <v>R013</v>
      </c>
      <c r="E598" s="3" t="str">
        <f ca="1">INDEX(Vehicles!$A$2:$A$21,RANDBETWEEN(1,20))</f>
        <v>V015</v>
      </c>
      <c r="F598" s="3" t="str">
        <f ca="1">INDEX(Drivers!$A$2:$A$31,RANDBETWEEN(1,30))</f>
        <v>D004</v>
      </c>
      <c r="G598" s="3">
        <f t="shared" ca="1" si="154"/>
        <v>24.5</v>
      </c>
      <c r="H598" s="3">
        <f t="shared" ca="1" si="155"/>
        <v>57825</v>
      </c>
      <c r="I598" s="3">
        <f t="shared" ca="1" si="156"/>
        <v>16191</v>
      </c>
      <c r="J598" s="3">
        <f t="shared" ca="1" si="157"/>
        <v>3411</v>
      </c>
      <c r="K598" s="3">
        <f t="shared" ca="1" si="158"/>
        <v>19</v>
      </c>
      <c r="L598" s="3">
        <f t="shared" ca="1" si="159"/>
        <v>25</v>
      </c>
      <c r="M598" s="3">
        <f t="shared" ca="1" si="160"/>
        <v>6</v>
      </c>
      <c r="N598" s="3" t="str">
        <f t="shared" ca="1" si="161"/>
        <v>Delayed</v>
      </c>
      <c r="O598" s="3" t="str">
        <f t="shared" ca="1" si="162"/>
        <v>High</v>
      </c>
      <c r="P598" s="3">
        <f t="shared" ca="1" si="163"/>
        <v>81.7</v>
      </c>
      <c r="Q598" s="1" t="str">
        <f ca="1">VLOOKUP(D598,Routes!$A$2:$D$31,2,FALSE)</f>
        <v>Chennai</v>
      </c>
      <c r="R598" s="1" t="str">
        <f ca="1">VLOOKUP(D598,Routes!$A$2:$D$31,3,FALSE)</f>
        <v>Hyderabad</v>
      </c>
      <c r="S598" s="3">
        <f ca="1">VLOOKUP(D598,Routes!$A$2:$D$31,4,FALSE)</f>
        <v>630</v>
      </c>
      <c r="T598" s="3" t="str">
        <f ca="1">VLOOKUP(E598,Vehicles!$A$2:$D$21,2,FALSE)</f>
        <v>Trailer</v>
      </c>
      <c r="U598" s="3">
        <f ca="1">VLOOKUP(E598,Vehicles!$A$2:$D$21,3,FALSE)</f>
        <v>30</v>
      </c>
      <c r="V598" s="3" t="str">
        <f ca="1">VLOOKUP(E598,Vehicles!$A$2:$D$21,4,FALSE)</f>
        <v>Diesel</v>
      </c>
      <c r="W598" s="3">
        <f ca="1">VLOOKUP(V598,Fuel_Rates!$A$2:$B$3,2,FALSE)</f>
        <v>95</v>
      </c>
      <c r="X598" s="3">
        <f t="shared" ca="1" si="165"/>
        <v>91.79</v>
      </c>
      <c r="Y598" s="3">
        <f t="shared" ca="1" si="166"/>
        <v>77427</v>
      </c>
      <c r="Z598" s="3" t="str">
        <f t="shared" ca="1" si="167"/>
        <v>May</v>
      </c>
      <c r="AA598" s="3" t="str">
        <f t="shared" ca="1" si="168"/>
        <v>Q2</v>
      </c>
      <c r="AB598" s="4" t="str">
        <f t="shared" ca="1" si="169"/>
        <v>Medium Haul</v>
      </c>
    </row>
    <row r="599" spans="1:28" x14ac:dyDescent="0.3">
      <c r="A599" s="8" t="str">
        <f t="shared" si="164"/>
        <v>S0598</v>
      </c>
      <c r="B599" s="3">
        <f t="shared" ca="1" si="153"/>
        <v>45921</v>
      </c>
      <c r="C599" s="3" t="str">
        <f ca="1">INDEX(Customers!$A$2:$A$21,RANDBETWEEN(1,20))</f>
        <v>C020</v>
      </c>
      <c r="D599" s="3" t="str">
        <f ca="1">INDEX(Routes!$A$2:$A$31,RANDBETWEEN(1,30))</f>
        <v>R018</v>
      </c>
      <c r="E599" s="3" t="str">
        <f ca="1">INDEX(Vehicles!$A$2:$A$21,RANDBETWEEN(1,20))</f>
        <v>V013</v>
      </c>
      <c r="F599" s="3" t="str">
        <f ca="1">INDEX(Drivers!$A$2:$A$31,RANDBETWEEN(1,30))</f>
        <v>D013</v>
      </c>
      <c r="G599" s="3">
        <f t="shared" ca="1" si="154"/>
        <v>12</v>
      </c>
      <c r="H599" s="3">
        <f t="shared" ca="1" si="155"/>
        <v>30118</v>
      </c>
      <c r="I599" s="3">
        <f t="shared" ca="1" si="156"/>
        <v>8433</v>
      </c>
      <c r="J599" s="3">
        <f t="shared" ca="1" si="157"/>
        <v>934</v>
      </c>
      <c r="K599" s="3">
        <f t="shared" ca="1" si="158"/>
        <v>41</v>
      </c>
      <c r="L599" s="3">
        <f t="shared" ca="1" si="159"/>
        <v>46</v>
      </c>
      <c r="M599" s="3">
        <f t="shared" ca="1" si="160"/>
        <v>5</v>
      </c>
      <c r="N599" s="3" t="str">
        <f t="shared" ca="1" si="161"/>
        <v>Delayed</v>
      </c>
      <c r="O599" s="3" t="str">
        <f t="shared" ca="1" si="162"/>
        <v>Low</v>
      </c>
      <c r="P599" s="3">
        <f t="shared" ca="1" si="163"/>
        <v>40</v>
      </c>
      <c r="Q599" s="1" t="str">
        <f ca="1">VLOOKUP(D599,Routes!$A$2:$D$31,2,FALSE)</f>
        <v>Ahmedabad</v>
      </c>
      <c r="R599" s="1" t="str">
        <f ca="1">VLOOKUP(D599,Routes!$A$2:$D$31,3,FALSE)</f>
        <v>Jaipur</v>
      </c>
      <c r="S599" s="3">
        <f ca="1">VLOOKUP(D599,Routes!$A$2:$D$31,4,FALSE)</f>
        <v>670</v>
      </c>
      <c r="T599" s="3" t="str">
        <f ca="1">VLOOKUP(E599,Vehicles!$A$2:$D$21,2,FALSE)</f>
        <v>LCV</v>
      </c>
      <c r="U599" s="3">
        <f ca="1">VLOOKUP(E599,Vehicles!$A$2:$D$21,3,FALSE)</f>
        <v>4</v>
      </c>
      <c r="V599" s="3" t="str">
        <f ca="1">VLOOKUP(E599,Vehicles!$A$2:$D$21,4,FALSE)</f>
        <v>CNG</v>
      </c>
      <c r="W599" s="3">
        <f ca="1">VLOOKUP(V599,Fuel_Rates!$A$2:$B$3,2,FALSE)</f>
        <v>78</v>
      </c>
      <c r="X599" s="3">
        <f t="shared" ca="1" si="165"/>
        <v>44.95</v>
      </c>
      <c r="Y599" s="3">
        <f t="shared" ca="1" si="166"/>
        <v>39485</v>
      </c>
      <c r="Z599" s="3" t="str">
        <f t="shared" ca="1" si="167"/>
        <v>Sep</v>
      </c>
      <c r="AA599" s="3" t="str">
        <f t="shared" ca="1" si="168"/>
        <v>Q3</v>
      </c>
      <c r="AB599" s="4" t="str">
        <f t="shared" ca="1" si="169"/>
        <v>Medium Haul</v>
      </c>
    </row>
    <row r="600" spans="1:28" x14ac:dyDescent="0.3">
      <c r="A600" s="8" t="str">
        <f t="shared" si="164"/>
        <v>S0599</v>
      </c>
      <c r="B600" s="3">
        <f t="shared" ca="1" si="153"/>
        <v>45785</v>
      </c>
      <c r="C600" s="3" t="str">
        <f ca="1">INDEX(Customers!$A$2:$A$21,RANDBETWEEN(1,20))</f>
        <v>C008</v>
      </c>
      <c r="D600" s="3" t="str">
        <f ca="1">INDEX(Routes!$A$2:$A$31,RANDBETWEEN(1,30))</f>
        <v>R007</v>
      </c>
      <c r="E600" s="3" t="str">
        <f ca="1">INDEX(Vehicles!$A$2:$A$21,RANDBETWEEN(1,20))</f>
        <v>V012</v>
      </c>
      <c r="F600" s="3" t="str">
        <f ca="1">INDEX(Drivers!$A$2:$A$31,RANDBETWEEN(1,30))</f>
        <v>D027</v>
      </c>
      <c r="G600" s="3">
        <f t="shared" ca="1" si="154"/>
        <v>5</v>
      </c>
      <c r="H600" s="3">
        <f t="shared" ca="1" si="155"/>
        <v>13552</v>
      </c>
      <c r="I600" s="3">
        <f t="shared" ca="1" si="156"/>
        <v>3795</v>
      </c>
      <c r="J600" s="3">
        <f t="shared" ca="1" si="157"/>
        <v>3275</v>
      </c>
      <c r="K600" s="3">
        <f t="shared" ca="1" si="158"/>
        <v>40</v>
      </c>
      <c r="L600" s="3">
        <f t="shared" ca="1" si="159"/>
        <v>40</v>
      </c>
      <c r="M600" s="3">
        <f t="shared" ca="1" si="160"/>
        <v>0</v>
      </c>
      <c r="N600" s="3" t="str">
        <f t="shared" ca="1" si="161"/>
        <v>On Time</v>
      </c>
      <c r="O600" s="3" t="str">
        <f t="shared" ca="1" si="162"/>
        <v>Medium</v>
      </c>
      <c r="P600" s="3">
        <f t="shared" ca="1" si="163"/>
        <v>16.7</v>
      </c>
      <c r="Q600" s="1" t="str">
        <f ca="1">VLOOKUP(D600,Routes!$A$2:$D$31,2,FALSE)</f>
        <v>Delhi</v>
      </c>
      <c r="R600" s="1" t="str">
        <f ca="1">VLOOKUP(D600,Routes!$A$2:$D$31,3,FALSE)</f>
        <v>Chandigarh</v>
      </c>
      <c r="S600" s="3">
        <f ca="1">VLOOKUP(D600,Routes!$A$2:$D$31,4,FALSE)</f>
        <v>250</v>
      </c>
      <c r="T600" s="3" t="str">
        <f ca="1">VLOOKUP(E600,Vehicles!$A$2:$D$21,2,FALSE)</f>
        <v>Truck</v>
      </c>
      <c r="U600" s="3">
        <f ca="1">VLOOKUP(E600,Vehicles!$A$2:$D$21,3,FALSE)</f>
        <v>20</v>
      </c>
      <c r="V600" s="3" t="str">
        <f ca="1">VLOOKUP(E600,Vehicles!$A$2:$D$21,4,FALSE)</f>
        <v>CNG</v>
      </c>
      <c r="W600" s="3">
        <f ca="1">VLOOKUP(V600,Fuel_Rates!$A$2:$B$3,2,FALSE)</f>
        <v>78</v>
      </c>
      <c r="X600" s="3">
        <f t="shared" ca="1" si="165"/>
        <v>54.21</v>
      </c>
      <c r="Y600" s="3">
        <f t="shared" ca="1" si="166"/>
        <v>20622</v>
      </c>
      <c r="Z600" s="3" t="str">
        <f t="shared" ca="1" si="167"/>
        <v>May</v>
      </c>
      <c r="AA600" s="3" t="str">
        <f t="shared" ca="1" si="168"/>
        <v>Q2</v>
      </c>
      <c r="AB600" s="4" t="str">
        <f t="shared" ca="1" si="169"/>
        <v>Short Haul</v>
      </c>
    </row>
    <row r="601" spans="1:28" x14ac:dyDescent="0.3">
      <c r="A601" s="8" t="str">
        <f t="shared" si="164"/>
        <v>S0600</v>
      </c>
      <c r="B601" s="3">
        <f t="shared" ca="1" si="153"/>
        <v>45756</v>
      </c>
      <c r="C601" s="3" t="str">
        <f ca="1">INDEX(Customers!$A$2:$A$21,RANDBETWEEN(1,20))</f>
        <v>C006</v>
      </c>
      <c r="D601" s="3" t="str">
        <f ca="1">INDEX(Routes!$A$2:$A$31,RANDBETWEEN(1,30))</f>
        <v>R018</v>
      </c>
      <c r="E601" s="3" t="str">
        <f ca="1">INDEX(Vehicles!$A$2:$A$21,RANDBETWEEN(1,20))</f>
        <v>V018</v>
      </c>
      <c r="F601" s="3" t="str">
        <f ca="1">INDEX(Drivers!$A$2:$A$31,RANDBETWEEN(1,30))</f>
        <v>D021</v>
      </c>
      <c r="G601" s="3">
        <f t="shared" ca="1" si="154"/>
        <v>16.600000000000001</v>
      </c>
      <c r="H601" s="3">
        <f t="shared" ca="1" si="155"/>
        <v>39185</v>
      </c>
      <c r="I601" s="3">
        <f t="shared" ca="1" si="156"/>
        <v>10972</v>
      </c>
      <c r="J601" s="3">
        <f t="shared" ca="1" si="157"/>
        <v>2939</v>
      </c>
      <c r="K601" s="3">
        <f t="shared" ca="1" si="158"/>
        <v>42</v>
      </c>
      <c r="L601" s="3">
        <f t="shared" ca="1" si="159"/>
        <v>45</v>
      </c>
      <c r="M601" s="3">
        <f t="shared" ca="1" si="160"/>
        <v>3</v>
      </c>
      <c r="N601" s="3" t="str">
        <f t="shared" ca="1" si="161"/>
        <v>Delayed</v>
      </c>
      <c r="O601" s="3" t="str">
        <f t="shared" ca="1" si="162"/>
        <v>Low</v>
      </c>
      <c r="P601" s="3">
        <f t="shared" ca="1" si="163"/>
        <v>55.3</v>
      </c>
      <c r="Q601" s="1" t="str">
        <f ca="1">VLOOKUP(D601,Routes!$A$2:$D$31,2,FALSE)</f>
        <v>Ahmedabad</v>
      </c>
      <c r="R601" s="1" t="str">
        <f ca="1">VLOOKUP(D601,Routes!$A$2:$D$31,3,FALSE)</f>
        <v>Jaipur</v>
      </c>
      <c r="S601" s="3">
        <f ca="1">VLOOKUP(D601,Routes!$A$2:$D$31,4,FALSE)</f>
        <v>670</v>
      </c>
      <c r="T601" s="3" t="str">
        <f ca="1">VLOOKUP(E601,Vehicles!$A$2:$D$21,2,FALSE)</f>
        <v>Truck</v>
      </c>
      <c r="U601" s="3">
        <f ca="1">VLOOKUP(E601,Vehicles!$A$2:$D$21,3,FALSE)</f>
        <v>26</v>
      </c>
      <c r="V601" s="3" t="str">
        <f ca="1">VLOOKUP(E601,Vehicles!$A$2:$D$21,4,FALSE)</f>
        <v>Diesel</v>
      </c>
      <c r="W601" s="3">
        <f ca="1">VLOOKUP(V601,Fuel_Rates!$A$2:$B$3,2,FALSE)</f>
        <v>95</v>
      </c>
      <c r="X601" s="3">
        <f t="shared" ca="1" si="165"/>
        <v>58.49</v>
      </c>
      <c r="Y601" s="3">
        <f t="shared" ca="1" si="166"/>
        <v>53096</v>
      </c>
      <c r="Z601" s="3" t="str">
        <f t="shared" ca="1" si="167"/>
        <v>Apr</v>
      </c>
      <c r="AA601" s="3" t="str">
        <f t="shared" ca="1" si="168"/>
        <v>Q2</v>
      </c>
      <c r="AB601" s="4" t="str">
        <f t="shared" ca="1" si="169"/>
        <v>Medium Haul</v>
      </c>
    </row>
    <row r="602" spans="1:28" x14ac:dyDescent="0.3">
      <c r="A602" s="8" t="str">
        <f t="shared" si="164"/>
        <v>S0601</v>
      </c>
      <c r="B602" s="3">
        <f t="shared" ca="1" si="153"/>
        <v>45749</v>
      </c>
      <c r="C602" s="3" t="str">
        <f ca="1">INDEX(Customers!$A$2:$A$21,RANDBETWEEN(1,20))</f>
        <v>C003</v>
      </c>
      <c r="D602" s="3" t="str">
        <f ca="1">INDEX(Routes!$A$2:$A$31,RANDBETWEEN(1,30))</f>
        <v>R005</v>
      </c>
      <c r="E602" s="3" t="str">
        <f ca="1">INDEX(Vehicles!$A$2:$A$21,RANDBETWEEN(1,20))</f>
        <v>V002</v>
      </c>
      <c r="F602" s="3" t="str">
        <f ca="1">INDEX(Drivers!$A$2:$A$31,RANDBETWEEN(1,30))</f>
        <v>D023</v>
      </c>
      <c r="G602" s="3">
        <f t="shared" ca="1" si="154"/>
        <v>9.4</v>
      </c>
      <c r="H602" s="3">
        <f t="shared" ca="1" si="155"/>
        <v>20480</v>
      </c>
      <c r="I602" s="3">
        <f t="shared" ca="1" si="156"/>
        <v>5734</v>
      </c>
      <c r="J602" s="3">
        <f t="shared" ca="1" si="157"/>
        <v>1613</v>
      </c>
      <c r="K602" s="3">
        <f t="shared" ca="1" si="158"/>
        <v>8</v>
      </c>
      <c r="L602" s="3">
        <f t="shared" ca="1" si="159"/>
        <v>10</v>
      </c>
      <c r="M602" s="3">
        <f t="shared" ca="1" si="160"/>
        <v>2</v>
      </c>
      <c r="N602" s="3" t="str">
        <f t="shared" ca="1" si="161"/>
        <v>On Time</v>
      </c>
      <c r="O602" s="3" t="str">
        <f t="shared" ca="1" si="162"/>
        <v>Low</v>
      </c>
      <c r="P602" s="3">
        <f t="shared" ca="1" si="163"/>
        <v>31.3</v>
      </c>
      <c r="Q602" s="1" t="str">
        <f ca="1">VLOOKUP(D602,Routes!$A$2:$D$31,2,FALSE)</f>
        <v>Delhi</v>
      </c>
      <c r="R602" s="1" t="str">
        <f ca="1">VLOOKUP(D602,Routes!$A$2:$D$31,3,FALSE)</f>
        <v>Jaipur</v>
      </c>
      <c r="S602" s="3">
        <f ca="1">VLOOKUP(D602,Routes!$A$2:$D$31,4,FALSE)</f>
        <v>280</v>
      </c>
      <c r="T602" s="3" t="str">
        <f ca="1">VLOOKUP(E602,Vehicles!$A$2:$D$21,2,FALSE)</f>
        <v>Truck</v>
      </c>
      <c r="U602" s="3">
        <f ca="1">VLOOKUP(E602,Vehicles!$A$2:$D$21,3,FALSE)</f>
        <v>20</v>
      </c>
      <c r="V602" s="3" t="str">
        <f ca="1">VLOOKUP(E602,Vehicles!$A$2:$D$21,4,FALSE)</f>
        <v>Diesel</v>
      </c>
      <c r="W602" s="3">
        <f ca="1">VLOOKUP(V602,Fuel_Rates!$A$2:$B$3,2,FALSE)</f>
        <v>95</v>
      </c>
      <c r="X602" s="3">
        <f t="shared" ca="1" si="165"/>
        <v>73.14</v>
      </c>
      <c r="Y602" s="3">
        <f t="shared" ca="1" si="166"/>
        <v>27827</v>
      </c>
      <c r="Z602" s="3" t="str">
        <f t="shared" ca="1" si="167"/>
        <v>Apr</v>
      </c>
      <c r="AA602" s="3" t="str">
        <f t="shared" ca="1" si="168"/>
        <v>Q2</v>
      </c>
      <c r="AB602" s="4" t="str">
        <f t="shared" ca="1" si="169"/>
        <v>Short Haul</v>
      </c>
    </row>
    <row r="603" spans="1:28" x14ac:dyDescent="0.3">
      <c r="A603" s="8" t="str">
        <f t="shared" si="164"/>
        <v>S0602</v>
      </c>
      <c r="B603" s="3">
        <f t="shared" ca="1" si="153"/>
        <v>45932</v>
      </c>
      <c r="C603" s="3" t="str">
        <f ca="1">INDEX(Customers!$A$2:$A$21,RANDBETWEEN(1,20))</f>
        <v>C001</v>
      </c>
      <c r="D603" s="3" t="str">
        <f ca="1">INDEX(Routes!$A$2:$A$31,RANDBETWEEN(1,30))</f>
        <v>R019</v>
      </c>
      <c r="E603" s="3" t="str">
        <f ca="1">INDEX(Vehicles!$A$2:$A$21,RANDBETWEEN(1,20))</f>
        <v>V001</v>
      </c>
      <c r="F603" s="3" t="str">
        <f ca="1">INDEX(Drivers!$A$2:$A$31,RANDBETWEEN(1,30))</f>
        <v>D007</v>
      </c>
      <c r="G603" s="3">
        <f t="shared" ca="1" si="154"/>
        <v>2.8</v>
      </c>
      <c r="H603" s="3">
        <f t="shared" ca="1" si="155"/>
        <v>9302</v>
      </c>
      <c r="I603" s="3">
        <f t="shared" ca="1" si="156"/>
        <v>2605</v>
      </c>
      <c r="J603" s="3">
        <f t="shared" ca="1" si="157"/>
        <v>2583</v>
      </c>
      <c r="K603" s="3">
        <f t="shared" ca="1" si="158"/>
        <v>37</v>
      </c>
      <c r="L603" s="3">
        <f t="shared" ca="1" si="159"/>
        <v>39</v>
      </c>
      <c r="M603" s="3">
        <f t="shared" ca="1" si="160"/>
        <v>2</v>
      </c>
      <c r="N603" s="3" t="str">
        <f t="shared" ca="1" si="161"/>
        <v>On Time</v>
      </c>
      <c r="O603" s="3" t="str">
        <f t="shared" ca="1" si="162"/>
        <v>High</v>
      </c>
      <c r="P603" s="3">
        <f t="shared" ca="1" si="163"/>
        <v>9.3000000000000007</v>
      </c>
      <c r="Q603" s="1" t="str">
        <f ca="1">VLOOKUP(D603,Routes!$A$2:$D$31,2,FALSE)</f>
        <v>Ahmedabad</v>
      </c>
      <c r="R603" s="1" t="str">
        <f ca="1">VLOOKUP(D603,Routes!$A$2:$D$31,3,FALSE)</f>
        <v>Indore</v>
      </c>
      <c r="S603" s="3">
        <f ca="1">VLOOKUP(D603,Routes!$A$2:$D$31,4,FALSE)</f>
        <v>390</v>
      </c>
      <c r="T603" s="3" t="str">
        <f ca="1">VLOOKUP(E603,Vehicles!$A$2:$D$21,2,FALSE)</f>
        <v>Truck</v>
      </c>
      <c r="U603" s="3">
        <f ca="1">VLOOKUP(E603,Vehicles!$A$2:$D$21,3,FALSE)</f>
        <v>16</v>
      </c>
      <c r="V603" s="3" t="str">
        <f ca="1">VLOOKUP(E603,Vehicles!$A$2:$D$21,4,FALSE)</f>
        <v>Diesel</v>
      </c>
      <c r="W603" s="3">
        <f ca="1">VLOOKUP(V603,Fuel_Rates!$A$2:$B$3,2,FALSE)</f>
        <v>95</v>
      </c>
      <c r="X603" s="3">
        <f t="shared" ca="1" si="165"/>
        <v>23.85</v>
      </c>
      <c r="Y603" s="3">
        <f t="shared" ca="1" si="166"/>
        <v>14490</v>
      </c>
      <c r="Z603" s="3" t="str">
        <f t="shared" ca="1" si="167"/>
        <v>Oct</v>
      </c>
      <c r="AA603" s="3" t="str">
        <f t="shared" ca="1" si="168"/>
        <v>Q4</v>
      </c>
      <c r="AB603" s="4" t="str">
        <f t="shared" ca="1" si="169"/>
        <v>Medium Haul</v>
      </c>
    </row>
    <row r="604" spans="1:28" x14ac:dyDescent="0.3">
      <c r="A604" s="8" t="str">
        <f t="shared" si="164"/>
        <v>S0603</v>
      </c>
      <c r="B604" s="3">
        <f t="shared" ca="1" si="153"/>
        <v>45699</v>
      </c>
      <c r="C604" s="3" t="str">
        <f ca="1">INDEX(Customers!$A$2:$A$21,RANDBETWEEN(1,20))</f>
        <v>C014</v>
      </c>
      <c r="D604" s="3" t="str">
        <f ca="1">INDEX(Routes!$A$2:$A$31,RANDBETWEEN(1,30))</f>
        <v>R020</v>
      </c>
      <c r="E604" s="3" t="str">
        <f ca="1">INDEX(Vehicles!$A$2:$A$21,RANDBETWEEN(1,20))</f>
        <v>V007</v>
      </c>
      <c r="F604" s="3" t="str">
        <f ca="1">INDEX(Drivers!$A$2:$A$31,RANDBETWEEN(1,30))</f>
        <v>D019</v>
      </c>
      <c r="G604" s="3">
        <f t="shared" ca="1" si="154"/>
        <v>3.7</v>
      </c>
      <c r="H604" s="3">
        <f t="shared" ca="1" si="155"/>
        <v>18126</v>
      </c>
      <c r="I604" s="3">
        <f t="shared" ca="1" si="156"/>
        <v>5075</v>
      </c>
      <c r="J604" s="3">
        <f t="shared" ca="1" si="157"/>
        <v>2068</v>
      </c>
      <c r="K604" s="3">
        <f t="shared" ca="1" si="158"/>
        <v>13</v>
      </c>
      <c r="L604" s="3">
        <f t="shared" ca="1" si="159"/>
        <v>19</v>
      </c>
      <c r="M604" s="3">
        <f t="shared" ca="1" si="160"/>
        <v>6</v>
      </c>
      <c r="N604" s="3" t="str">
        <f t="shared" ca="1" si="161"/>
        <v>Delayed</v>
      </c>
      <c r="O604" s="3" t="str">
        <f t="shared" ca="1" si="162"/>
        <v>Low</v>
      </c>
      <c r="P604" s="3">
        <f t="shared" ca="1" si="163"/>
        <v>12.3</v>
      </c>
      <c r="Q604" s="1" t="str">
        <f ca="1">VLOOKUP(D604,Routes!$A$2:$D$31,2,FALSE)</f>
        <v>Pune</v>
      </c>
      <c r="R604" s="1" t="str">
        <f ca="1">VLOOKUP(D604,Routes!$A$2:$D$31,3,FALSE)</f>
        <v>Nagpur</v>
      </c>
      <c r="S604" s="3">
        <f ca="1">VLOOKUP(D604,Routes!$A$2:$D$31,4,FALSE)</f>
        <v>720</v>
      </c>
      <c r="T604" s="3" t="str">
        <f ca="1">VLOOKUP(E604,Vehicles!$A$2:$D$21,2,FALSE)</f>
        <v>Container</v>
      </c>
      <c r="U604" s="3">
        <f ca="1">VLOOKUP(E604,Vehicles!$A$2:$D$21,3,FALSE)</f>
        <v>20</v>
      </c>
      <c r="V604" s="3" t="str">
        <f ca="1">VLOOKUP(E604,Vehicles!$A$2:$D$21,4,FALSE)</f>
        <v>Diesel</v>
      </c>
      <c r="W604" s="3">
        <f ca="1">VLOOKUP(V604,Fuel_Rates!$A$2:$B$3,2,FALSE)</f>
        <v>95</v>
      </c>
      <c r="X604" s="3">
        <f t="shared" ca="1" si="165"/>
        <v>25.18</v>
      </c>
      <c r="Y604" s="3">
        <f t="shared" ca="1" si="166"/>
        <v>25269</v>
      </c>
      <c r="Z604" s="3" t="str">
        <f t="shared" ca="1" si="167"/>
        <v>Feb</v>
      </c>
      <c r="AA604" s="3" t="str">
        <f t="shared" ca="1" si="168"/>
        <v>Q1</v>
      </c>
      <c r="AB604" s="4" t="str">
        <f t="shared" ca="1" si="169"/>
        <v>Medium Haul</v>
      </c>
    </row>
    <row r="605" spans="1:28" x14ac:dyDescent="0.3">
      <c r="A605" s="8" t="str">
        <f t="shared" si="164"/>
        <v>S0604</v>
      </c>
      <c r="B605" s="3">
        <f t="shared" ca="1" si="153"/>
        <v>45743</v>
      </c>
      <c r="C605" s="3" t="str">
        <f ca="1">INDEX(Customers!$A$2:$A$21,RANDBETWEEN(1,20))</f>
        <v>C007</v>
      </c>
      <c r="D605" s="3" t="str">
        <f ca="1">INDEX(Routes!$A$2:$A$31,RANDBETWEEN(1,30))</f>
        <v>R018</v>
      </c>
      <c r="E605" s="3" t="str">
        <f ca="1">INDEX(Vehicles!$A$2:$A$21,RANDBETWEEN(1,20))</f>
        <v>V011</v>
      </c>
      <c r="F605" s="3" t="str">
        <f ca="1">INDEX(Drivers!$A$2:$A$31,RANDBETWEEN(1,30))</f>
        <v>D011</v>
      </c>
      <c r="G605" s="3">
        <f t="shared" ca="1" si="154"/>
        <v>19.100000000000001</v>
      </c>
      <c r="H605" s="3">
        <f t="shared" ca="1" si="155"/>
        <v>48861</v>
      </c>
      <c r="I605" s="3">
        <f t="shared" ca="1" si="156"/>
        <v>13681</v>
      </c>
      <c r="J605" s="3">
        <f t="shared" ca="1" si="157"/>
        <v>2992</v>
      </c>
      <c r="K605" s="3">
        <f t="shared" ca="1" si="158"/>
        <v>33</v>
      </c>
      <c r="L605" s="3">
        <f t="shared" ca="1" si="159"/>
        <v>34</v>
      </c>
      <c r="M605" s="3">
        <f t="shared" ca="1" si="160"/>
        <v>1</v>
      </c>
      <c r="N605" s="3" t="str">
        <f t="shared" ca="1" si="161"/>
        <v>On Time</v>
      </c>
      <c r="O605" s="3" t="str">
        <f t="shared" ca="1" si="162"/>
        <v>Medium</v>
      </c>
      <c r="P605" s="3">
        <f t="shared" ca="1" si="163"/>
        <v>63.7</v>
      </c>
      <c r="Q605" s="1" t="str">
        <f ca="1">VLOOKUP(D605,Routes!$A$2:$D$31,2,FALSE)</f>
        <v>Ahmedabad</v>
      </c>
      <c r="R605" s="1" t="str">
        <f ca="1">VLOOKUP(D605,Routes!$A$2:$D$31,3,FALSE)</f>
        <v>Jaipur</v>
      </c>
      <c r="S605" s="3">
        <f ca="1">VLOOKUP(D605,Routes!$A$2:$D$31,4,FALSE)</f>
        <v>670</v>
      </c>
      <c r="T605" s="3" t="str">
        <f ca="1">VLOOKUP(E605,Vehicles!$A$2:$D$21,2,FALSE)</f>
        <v>Truck</v>
      </c>
      <c r="U605" s="3">
        <f ca="1">VLOOKUP(E605,Vehicles!$A$2:$D$21,3,FALSE)</f>
        <v>18</v>
      </c>
      <c r="V605" s="3" t="str">
        <f ca="1">VLOOKUP(E605,Vehicles!$A$2:$D$21,4,FALSE)</f>
        <v>CNG</v>
      </c>
      <c r="W605" s="3">
        <f ca="1">VLOOKUP(V605,Fuel_Rates!$A$2:$B$3,2,FALSE)</f>
        <v>78</v>
      </c>
      <c r="X605" s="3">
        <f t="shared" ca="1" si="165"/>
        <v>72.930000000000007</v>
      </c>
      <c r="Y605" s="3">
        <f t="shared" ca="1" si="166"/>
        <v>65534</v>
      </c>
      <c r="Z605" s="3" t="str">
        <f t="shared" ca="1" si="167"/>
        <v>Mar</v>
      </c>
      <c r="AA605" s="3" t="str">
        <f t="shared" ca="1" si="168"/>
        <v>Q1</v>
      </c>
      <c r="AB605" s="4" t="str">
        <f t="shared" ca="1" si="169"/>
        <v>Medium Haul</v>
      </c>
    </row>
    <row r="606" spans="1:28" x14ac:dyDescent="0.3">
      <c r="A606" s="8" t="str">
        <f t="shared" si="164"/>
        <v>S0605</v>
      </c>
      <c r="B606" s="3">
        <f t="shared" ca="1" si="153"/>
        <v>46008</v>
      </c>
      <c r="C606" s="3" t="str">
        <f ca="1">INDEX(Customers!$A$2:$A$21,RANDBETWEEN(1,20))</f>
        <v>C016</v>
      </c>
      <c r="D606" s="3" t="str">
        <f ca="1">INDEX(Routes!$A$2:$A$31,RANDBETWEEN(1,30))</f>
        <v>R010</v>
      </c>
      <c r="E606" s="3" t="str">
        <f ca="1">INDEX(Vehicles!$A$2:$A$21,RANDBETWEEN(1,20))</f>
        <v>V017</v>
      </c>
      <c r="F606" s="3" t="str">
        <f ca="1">INDEX(Drivers!$A$2:$A$31,RANDBETWEEN(1,30))</f>
        <v>D002</v>
      </c>
      <c r="G606" s="3">
        <f t="shared" ca="1" si="154"/>
        <v>11.2</v>
      </c>
      <c r="H606" s="3">
        <f t="shared" ca="1" si="155"/>
        <v>23376</v>
      </c>
      <c r="I606" s="3">
        <f t="shared" ca="1" si="156"/>
        <v>6545</v>
      </c>
      <c r="J606" s="3">
        <f t="shared" ca="1" si="157"/>
        <v>2879</v>
      </c>
      <c r="K606" s="3">
        <f t="shared" ca="1" si="158"/>
        <v>17</v>
      </c>
      <c r="L606" s="3">
        <f t="shared" ca="1" si="159"/>
        <v>23</v>
      </c>
      <c r="M606" s="3">
        <f t="shared" ca="1" si="160"/>
        <v>6</v>
      </c>
      <c r="N606" s="3" t="str">
        <f t="shared" ca="1" si="161"/>
        <v>Delayed</v>
      </c>
      <c r="O606" s="3" t="str">
        <f t="shared" ca="1" si="162"/>
        <v>High</v>
      </c>
      <c r="P606" s="3">
        <f t="shared" ca="1" si="163"/>
        <v>37.299999999999997</v>
      </c>
      <c r="Q606" s="1" t="str">
        <f ca="1">VLOOKUP(D606,Routes!$A$2:$D$31,2,FALSE)</f>
        <v>Bengaluru</v>
      </c>
      <c r="R606" s="1" t="str">
        <f ca="1">VLOOKUP(D606,Routes!$A$2:$D$31,3,FALSE)</f>
        <v>Hyderabad</v>
      </c>
      <c r="S606" s="3">
        <f ca="1">VLOOKUP(D606,Routes!$A$2:$D$31,4,FALSE)</f>
        <v>570</v>
      </c>
      <c r="T606" s="3" t="str">
        <f ca="1">VLOOKUP(E606,Vehicles!$A$2:$D$21,2,FALSE)</f>
        <v>Truck</v>
      </c>
      <c r="U606" s="3">
        <f ca="1">VLOOKUP(E606,Vehicles!$A$2:$D$21,3,FALSE)</f>
        <v>24</v>
      </c>
      <c r="V606" s="3" t="str">
        <f ca="1">VLOOKUP(E606,Vehicles!$A$2:$D$21,4,FALSE)</f>
        <v>Diesel</v>
      </c>
      <c r="W606" s="3">
        <f ca="1">VLOOKUP(V606,Fuel_Rates!$A$2:$B$3,2,FALSE)</f>
        <v>95</v>
      </c>
      <c r="X606" s="3">
        <f t="shared" ca="1" si="165"/>
        <v>41.01</v>
      </c>
      <c r="Y606" s="3">
        <f t="shared" ca="1" si="166"/>
        <v>32800</v>
      </c>
      <c r="Z606" s="3" t="str">
        <f t="shared" ca="1" si="167"/>
        <v>Dec</v>
      </c>
      <c r="AA606" s="3" t="str">
        <f t="shared" ca="1" si="168"/>
        <v>Q4</v>
      </c>
      <c r="AB606" s="4" t="str">
        <f t="shared" ca="1" si="169"/>
        <v>Medium Haul</v>
      </c>
    </row>
    <row r="607" spans="1:28" x14ac:dyDescent="0.3">
      <c r="A607" s="8" t="str">
        <f t="shared" si="164"/>
        <v>S0606</v>
      </c>
      <c r="B607" s="3">
        <f t="shared" ca="1" si="153"/>
        <v>45704</v>
      </c>
      <c r="C607" s="3" t="str">
        <f ca="1">INDEX(Customers!$A$2:$A$21,RANDBETWEEN(1,20))</f>
        <v>C009</v>
      </c>
      <c r="D607" s="3" t="str">
        <f ca="1">INDEX(Routes!$A$2:$A$31,RANDBETWEEN(1,30))</f>
        <v>R006</v>
      </c>
      <c r="E607" s="3" t="str">
        <f ca="1">INDEX(Vehicles!$A$2:$A$21,RANDBETWEEN(1,20))</f>
        <v>V014</v>
      </c>
      <c r="F607" s="3" t="str">
        <f ca="1">INDEX(Drivers!$A$2:$A$31,RANDBETWEEN(1,30))</f>
        <v>D011</v>
      </c>
      <c r="G607" s="3">
        <f t="shared" ca="1" si="154"/>
        <v>18.100000000000001</v>
      </c>
      <c r="H607" s="3">
        <f t="shared" ca="1" si="155"/>
        <v>43305</v>
      </c>
      <c r="I607" s="3">
        <f t="shared" ca="1" si="156"/>
        <v>12125</v>
      </c>
      <c r="J607" s="3">
        <f t="shared" ca="1" si="157"/>
        <v>3111</v>
      </c>
      <c r="K607" s="3">
        <f t="shared" ca="1" si="158"/>
        <v>33</v>
      </c>
      <c r="L607" s="3">
        <f t="shared" ca="1" si="159"/>
        <v>34</v>
      </c>
      <c r="M607" s="3">
        <f t="shared" ca="1" si="160"/>
        <v>1</v>
      </c>
      <c r="N607" s="3" t="str">
        <f t="shared" ca="1" si="161"/>
        <v>On Time</v>
      </c>
      <c r="O607" s="3" t="str">
        <f t="shared" ca="1" si="162"/>
        <v>High</v>
      </c>
      <c r="P607" s="3">
        <f t="shared" ca="1" si="163"/>
        <v>60.3</v>
      </c>
      <c r="Q607" s="1" t="str">
        <f ca="1">VLOOKUP(D607,Routes!$A$2:$D$31,2,FALSE)</f>
        <v>Delhi</v>
      </c>
      <c r="R607" s="1" t="str">
        <f ca="1">VLOOKUP(D607,Routes!$A$2:$D$31,3,FALSE)</f>
        <v>Lucknow</v>
      </c>
      <c r="S607" s="3">
        <f ca="1">VLOOKUP(D607,Routes!$A$2:$D$31,4,FALSE)</f>
        <v>550</v>
      </c>
      <c r="T607" s="3" t="str">
        <f ca="1">VLOOKUP(E607,Vehicles!$A$2:$D$21,2,FALSE)</f>
        <v>LCV</v>
      </c>
      <c r="U607" s="3">
        <f ca="1">VLOOKUP(E607,Vehicles!$A$2:$D$21,3,FALSE)</f>
        <v>6</v>
      </c>
      <c r="V607" s="3" t="str">
        <f ca="1">VLOOKUP(E607,Vehicles!$A$2:$D$21,4,FALSE)</f>
        <v>CNG</v>
      </c>
      <c r="W607" s="3">
        <f ca="1">VLOOKUP(V607,Fuel_Rates!$A$2:$B$3,2,FALSE)</f>
        <v>78</v>
      </c>
      <c r="X607" s="3">
        <f t="shared" ca="1" si="165"/>
        <v>78.739999999999995</v>
      </c>
      <c r="Y607" s="3">
        <f t="shared" ca="1" si="166"/>
        <v>58541</v>
      </c>
      <c r="Z607" s="3" t="str">
        <f t="shared" ca="1" si="167"/>
        <v>Feb</v>
      </c>
      <c r="AA607" s="3" t="str">
        <f t="shared" ca="1" si="168"/>
        <v>Q1</v>
      </c>
      <c r="AB607" s="4" t="str">
        <f t="shared" ca="1" si="169"/>
        <v>Medium Haul</v>
      </c>
    </row>
    <row r="608" spans="1:28" x14ac:dyDescent="0.3">
      <c r="A608" s="8" t="str">
        <f t="shared" si="164"/>
        <v>S0607</v>
      </c>
      <c r="B608" s="3">
        <f t="shared" ca="1" si="153"/>
        <v>45757</v>
      </c>
      <c r="C608" s="3" t="str">
        <f ca="1">INDEX(Customers!$A$2:$A$21,RANDBETWEEN(1,20))</f>
        <v>C015</v>
      </c>
      <c r="D608" s="3" t="str">
        <f ca="1">INDEX(Routes!$A$2:$A$31,RANDBETWEEN(1,30))</f>
        <v>R026</v>
      </c>
      <c r="E608" s="3" t="str">
        <f ca="1">INDEX(Vehicles!$A$2:$A$21,RANDBETWEEN(1,20))</f>
        <v>V001</v>
      </c>
      <c r="F608" s="3" t="str">
        <f ca="1">INDEX(Drivers!$A$2:$A$31,RANDBETWEEN(1,30))</f>
        <v>D020</v>
      </c>
      <c r="G608" s="3">
        <f t="shared" ca="1" si="154"/>
        <v>3.8</v>
      </c>
      <c r="H608" s="3">
        <f t="shared" ca="1" si="155"/>
        <v>20183</v>
      </c>
      <c r="I608" s="3">
        <f t="shared" ca="1" si="156"/>
        <v>5651</v>
      </c>
      <c r="J608" s="3">
        <f t="shared" ca="1" si="157"/>
        <v>2423</v>
      </c>
      <c r="K608" s="3">
        <f t="shared" ca="1" si="158"/>
        <v>10</v>
      </c>
      <c r="L608" s="3">
        <f t="shared" ca="1" si="159"/>
        <v>16</v>
      </c>
      <c r="M608" s="3">
        <f t="shared" ca="1" si="160"/>
        <v>6</v>
      </c>
      <c r="N608" s="3" t="str">
        <f t="shared" ca="1" si="161"/>
        <v>Delayed</v>
      </c>
      <c r="O608" s="3" t="str">
        <f t="shared" ca="1" si="162"/>
        <v>Medium</v>
      </c>
      <c r="P608" s="3">
        <f t="shared" ca="1" si="163"/>
        <v>12.7</v>
      </c>
      <c r="Q608" s="1" t="str">
        <f ca="1">VLOOKUP(D608,Routes!$A$2:$D$31,2,FALSE)</f>
        <v>Nagpur</v>
      </c>
      <c r="R608" s="1" t="str">
        <f ca="1">VLOOKUP(D608,Routes!$A$2:$D$31,3,FALSE)</f>
        <v>Bhopal</v>
      </c>
      <c r="S608" s="3">
        <f ca="1">VLOOKUP(D608,Routes!$A$2:$D$31,4,FALSE)</f>
        <v>350</v>
      </c>
      <c r="T608" s="3" t="str">
        <f ca="1">VLOOKUP(E608,Vehicles!$A$2:$D$21,2,FALSE)</f>
        <v>Truck</v>
      </c>
      <c r="U608" s="3">
        <f ca="1">VLOOKUP(E608,Vehicles!$A$2:$D$21,3,FALSE)</f>
        <v>16</v>
      </c>
      <c r="V608" s="3" t="str">
        <f ca="1">VLOOKUP(E608,Vehicles!$A$2:$D$21,4,FALSE)</f>
        <v>Diesel</v>
      </c>
      <c r="W608" s="3">
        <f ca="1">VLOOKUP(V608,Fuel_Rates!$A$2:$B$3,2,FALSE)</f>
        <v>95</v>
      </c>
      <c r="X608" s="3">
        <f t="shared" ca="1" si="165"/>
        <v>57.67</v>
      </c>
      <c r="Y608" s="3">
        <f t="shared" ca="1" si="166"/>
        <v>28257</v>
      </c>
      <c r="Z608" s="3" t="str">
        <f t="shared" ca="1" si="167"/>
        <v>Apr</v>
      </c>
      <c r="AA608" s="3" t="str">
        <f t="shared" ca="1" si="168"/>
        <v>Q2</v>
      </c>
      <c r="AB608" s="4" t="str">
        <f t="shared" ca="1" si="169"/>
        <v>Medium Haul</v>
      </c>
    </row>
    <row r="609" spans="1:28" x14ac:dyDescent="0.3">
      <c r="A609" s="8" t="str">
        <f t="shared" si="164"/>
        <v>S0608</v>
      </c>
      <c r="B609" s="3">
        <f t="shared" ca="1" si="153"/>
        <v>45792</v>
      </c>
      <c r="C609" s="3" t="str">
        <f ca="1">INDEX(Customers!$A$2:$A$21,RANDBETWEEN(1,20))</f>
        <v>C006</v>
      </c>
      <c r="D609" s="3" t="str">
        <f ca="1">INDEX(Routes!$A$2:$A$31,RANDBETWEEN(1,30))</f>
        <v>R025</v>
      </c>
      <c r="E609" s="3" t="str">
        <f ca="1">INDEX(Vehicles!$A$2:$A$21,RANDBETWEEN(1,20))</f>
        <v>V005</v>
      </c>
      <c r="F609" s="3" t="str">
        <f ca="1">INDEX(Drivers!$A$2:$A$31,RANDBETWEEN(1,30))</f>
        <v>D019</v>
      </c>
      <c r="G609" s="3">
        <f t="shared" ca="1" si="154"/>
        <v>16.600000000000001</v>
      </c>
      <c r="H609" s="3">
        <f t="shared" ca="1" si="155"/>
        <v>40687</v>
      </c>
      <c r="I609" s="3">
        <f t="shared" ca="1" si="156"/>
        <v>11392</v>
      </c>
      <c r="J609" s="3">
        <f t="shared" ca="1" si="157"/>
        <v>2609</v>
      </c>
      <c r="K609" s="3">
        <f t="shared" ca="1" si="158"/>
        <v>47</v>
      </c>
      <c r="L609" s="3">
        <f t="shared" ca="1" si="159"/>
        <v>52</v>
      </c>
      <c r="M609" s="3">
        <f t="shared" ca="1" si="160"/>
        <v>5</v>
      </c>
      <c r="N609" s="3" t="str">
        <f t="shared" ca="1" si="161"/>
        <v>Delayed</v>
      </c>
      <c r="O609" s="3" t="str">
        <f t="shared" ca="1" si="162"/>
        <v>High</v>
      </c>
      <c r="P609" s="3">
        <f t="shared" ca="1" si="163"/>
        <v>55.3</v>
      </c>
      <c r="Q609" s="1" t="str">
        <f ca="1">VLOOKUP(D609,Routes!$A$2:$D$31,2,FALSE)</f>
        <v>Visakhapatnam</v>
      </c>
      <c r="R609" s="1" t="str">
        <f ca="1">VLOOKUP(D609,Routes!$A$2:$D$31,3,FALSE)</f>
        <v>Hyderabad</v>
      </c>
      <c r="S609" s="3">
        <f ca="1">VLOOKUP(D609,Routes!$A$2:$D$31,4,FALSE)</f>
        <v>620</v>
      </c>
      <c r="T609" s="3" t="str">
        <f ca="1">VLOOKUP(E609,Vehicles!$A$2:$D$21,2,FALSE)</f>
        <v>Trailer</v>
      </c>
      <c r="U609" s="3">
        <f ca="1">VLOOKUP(E609,Vehicles!$A$2:$D$21,3,FALSE)</f>
        <v>32</v>
      </c>
      <c r="V609" s="3" t="str">
        <f ca="1">VLOOKUP(E609,Vehicles!$A$2:$D$21,4,FALSE)</f>
        <v>Diesel</v>
      </c>
      <c r="W609" s="3">
        <f ca="1">VLOOKUP(V609,Fuel_Rates!$A$2:$B$3,2,FALSE)</f>
        <v>95</v>
      </c>
      <c r="X609" s="3">
        <f t="shared" ca="1" si="165"/>
        <v>65.62</v>
      </c>
      <c r="Y609" s="3">
        <f t="shared" ca="1" si="166"/>
        <v>54688</v>
      </c>
      <c r="Z609" s="3" t="str">
        <f t="shared" ca="1" si="167"/>
        <v>May</v>
      </c>
      <c r="AA609" s="3" t="str">
        <f t="shared" ca="1" si="168"/>
        <v>Q2</v>
      </c>
      <c r="AB609" s="4" t="str">
        <f t="shared" ca="1" si="169"/>
        <v>Medium Haul</v>
      </c>
    </row>
    <row r="610" spans="1:28" x14ac:dyDescent="0.3">
      <c r="A610" s="8" t="str">
        <f t="shared" si="164"/>
        <v>S0609</v>
      </c>
      <c r="B610" s="3">
        <f t="shared" ca="1" si="153"/>
        <v>45883</v>
      </c>
      <c r="C610" s="3" t="str">
        <f ca="1">INDEX(Customers!$A$2:$A$21,RANDBETWEEN(1,20))</f>
        <v>C001</v>
      </c>
      <c r="D610" s="3" t="str">
        <f ca="1">INDEX(Routes!$A$2:$A$31,RANDBETWEEN(1,30))</f>
        <v>R017</v>
      </c>
      <c r="E610" s="3" t="str">
        <f ca="1">INDEX(Vehicles!$A$2:$A$21,RANDBETWEEN(1,20))</f>
        <v>V016</v>
      </c>
      <c r="F610" s="3" t="str">
        <f ca="1">INDEX(Drivers!$A$2:$A$31,RANDBETWEEN(1,30))</f>
        <v>D009</v>
      </c>
      <c r="G610" s="3">
        <f t="shared" ca="1" si="154"/>
        <v>4.8</v>
      </c>
      <c r="H610" s="3">
        <f t="shared" ca="1" si="155"/>
        <v>21280</v>
      </c>
      <c r="I610" s="3">
        <f t="shared" ca="1" si="156"/>
        <v>5958</v>
      </c>
      <c r="J610" s="3">
        <f t="shared" ca="1" si="157"/>
        <v>965</v>
      </c>
      <c r="K610" s="3">
        <f t="shared" ca="1" si="158"/>
        <v>25</v>
      </c>
      <c r="L610" s="3">
        <f t="shared" ca="1" si="159"/>
        <v>32</v>
      </c>
      <c r="M610" s="3">
        <f t="shared" ca="1" si="160"/>
        <v>7</v>
      </c>
      <c r="N610" s="3" t="str">
        <f t="shared" ca="1" si="161"/>
        <v>Delayed</v>
      </c>
      <c r="O610" s="3" t="str">
        <f t="shared" ca="1" si="162"/>
        <v>Low</v>
      </c>
      <c r="P610" s="3">
        <f t="shared" ca="1" si="163"/>
        <v>16</v>
      </c>
      <c r="Q610" s="1" t="str">
        <f ca="1">VLOOKUP(D610,Routes!$A$2:$D$31,2,FALSE)</f>
        <v>Kolkata</v>
      </c>
      <c r="R610" s="1" t="str">
        <f ca="1">VLOOKUP(D610,Routes!$A$2:$D$31,3,FALSE)</f>
        <v>Patna</v>
      </c>
      <c r="S610" s="3">
        <f ca="1">VLOOKUP(D610,Routes!$A$2:$D$31,4,FALSE)</f>
        <v>620</v>
      </c>
      <c r="T610" s="3" t="str">
        <f ca="1">VLOOKUP(E610,Vehicles!$A$2:$D$21,2,FALSE)</f>
        <v>Container</v>
      </c>
      <c r="U610" s="3">
        <f ca="1">VLOOKUP(E610,Vehicles!$A$2:$D$21,3,FALSE)</f>
        <v>22</v>
      </c>
      <c r="V610" s="3" t="str">
        <f ca="1">VLOOKUP(E610,Vehicles!$A$2:$D$21,4,FALSE)</f>
        <v>Diesel</v>
      </c>
      <c r="W610" s="3">
        <f ca="1">VLOOKUP(V610,Fuel_Rates!$A$2:$B$3,2,FALSE)</f>
        <v>95</v>
      </c>
      <c r="X610" s="3">
        <f t="shared" ca="1" si="165"/>
        <v>34.32</v>
      </c>
      <c r="Y610" s="3">
        <f t="shared" ca="1" si="166"/>
        <v>28203</v>
      </c>
      <c r="Z610" s="3" t="str">
        <f t="shared" ca="1" si="167"/>
        <v>Aug</v>
      </c>
      <c r="AA610" s="3" t="str">
        <f t="shared" ca="1" si="168"/>
        <v>Q3</v>
      </c>
      <c r="AB610" s="4" t="str">
        <f t="shared" ca="1" si="169"/>
        <v>Medium Haul</v>
      </c>
    </row>
    <row r="611" spans="1:28" x14ac:dyDescent="0.3">
      <c r="A611" s="8" t="str">
        <f t="shared" si="164"/>
        <v>S0610</v>
      </c>
      <c r="B611" s="3">
        <f t="shared" ca="1" si="153"/>
        <v>45661</v>
      </c>
      <c r="C611" s="3" t="str">
        <f ca="1">INDEX(Customers!$A$2:$A$21,RANDBETWEEN(1,20))</f>
        <v>C014</v>
      </c>
      <c r="D611" s="3" t="str">
        <f ca="1">INDEX(Routes!$A$2:$A$31,RANDBETWEEN(1,30))</f>
        <v>R004</v>
      </c>
      <c r="E611" s="3" t="str">
        <f ca="1">INDEX(Vehicles!$A$2:$A$21,RANDBETWEEN(1,20))</f>
        <v>V001</v>
      </c>
      <c r="F611" s="3" t="str">
        <f ca="1">INDEX(Drivers!$A$2:$A$31,RANDBETWEEN(1,30))</f>
        <v>D024</v>
      </c>
      <c r="G611" s="3">
        <f t="shared" ca="1" si="154"/>
        <v>10.9</v>
      </c>
      <c r="H611" s="3">
        <f t="shared" ca="1" si="155"/>
        <v>26192</v>
      </c>
      <c r="I611" s="3">
        <f t="shared" ca="1" si="156"/>
        <v>7334</v>
      </c>
      <c r="J611" s="3">
        <f t="shared" ca="1" si="157"/>
        <v>2650</v>
      </c>
      <c r="K611" s="3">
        <f t="shared" ca="1" si="158"/>
        <v>33</v>
      </c>
      <c r="L611" s="3">
        <f t="shared" ca="1" si="159"/>
        <v>37</v>
      </c>
      <c r="M611" s="3">
        <f t="shared" ca="1" si="160"/>
        <v>4</v>
      </c>
      <c r="N611" s="3" t="str">
        <f t="shared" ca="1" si="161"/>
        <v>Delayed</v>
      </c>
      <c r="O611" s="3" t="str">
        <f t="shared" ca="1" si="162"/>
        <v>High</v>
      </c>
      <c r="P611" s="3">
        <f t="shared" ca="1" si="163"/>
        <v>36.299999999999997</v>
      </c>
      <c r="Q611" s="1" t="str">
        <f ca="1">VLOOKUP(D611,Routes!$A$2:$D$31,2,FALSE)</f>
        <v>Mumbai</v>
      </c>
      <c r="R611" s="1" t="str">
        <f ca="1">VLOOKUP(D611,Routes!$A$2:$D$31,3,FALSE)</f>
        <v>Bengaluru</v>
      </c>
      <c r="S611" s="3">
        <f ca="1">VLOOKUP(D611,Routes!$A$2:$D$31,4,FALSE)</f>
        <v>980</v>
      </c>
      <c r="T611" s="3" t="str">
        <f ca="1">VLOOKUP(E611,Vehicles!$A$2:$D$21,2,FALSE)</f>
        <v>Truck</v>
      </c>
      <c r="U611" s="3">
        <f ca="1">VLOOKUP(E611,Vehicles!$A$2:$D$21,3,FALSE)</f>
        <v>16</v>
      </c>
      <c r="V611" s="3" t="str">
        <f ca="1">VLOOKUP(E611,Vehicles!$A$2:$D$21,4,FALSE)</f>
        <v>Diesel</v>
      </c>
      <c r="W611" s="3">
        <f ca="1">VLOOKUP(V611,Fuel_Rates!$A$2:$B$3,2,FALSE)</f>
        <v>95</v>
      </c>
      <c r="X611" s="3">
        <f t="shared" ca="1" si="165"/>
        <v>26.73</v>
      </c>
      <c r="Y611" s="3">
        <f t="shared" ca="1" si="166"/>
        <v>36176</v>
      </c>
      <c r="Z611" s="3" t="str">
        <f t="shared" ca="1" si="167"/>
        <v>Jan</v>
      </c>
      <c r="AA611" s="3" t="str">
        <f t="shared" ca="1" si="168"/>
        <v>Q1</v>
      </c>
      <c r="AB611" s="4" t="str">
        <f t="shared" ca="1" si="169"/>
        <v>Long Haul</v>
      </c>
    </row>
    <row r="612" spans="1:28" x14ac:dyDescent="0.3">
      <c r="A612" s="8" t="str">
        <f t="shared" si="164"/>
        <v>S0611</v>
      </c>
      <c r="B612" s="3">
        <f t="shared" ca="1" si="153"/>
        <v>45661</v>
      </c>
      <c r="C612" s="3" t="str">
        <f ca="1">INDEX(Customers!$A$2:$A$21,RANDBETWEEN(1,20))</f>
        <v>C014</v>
      </c>
      <c r="D612" s="3" t="str">
        <f ca="1">INDEX(Routes!$A$2:$A$31,RANDBETWEEN(1,30))</f>
        <v>R030</v>
      </c>
      <c r="E612" s="3" t="str">
        <f ca="1">INDEX(Vehicles!$A$2:$A$21,RANDBETWEEN(1,20))</f>
        <v>V011</v>
      </c>
      <c r="F612" s="3" t="str">
        <f ca="1">INDEX(Drivers!$A$2:$A$31,RANDBETWEEN(1,30))</f>
        <v>D014</v>
      </c>
      <c r="G612" s="3">
        <f t="shared" ca="1" si="154"/>
        <v>20.9</v>
      </c>
      <c r="H612" s="3">
        <f t="shared" ca="1" si="155"/>
        <v>52203</v>
      </c>
      <c r="I612" s="3">
        <f t="shared" ca="1" si="156"/>
        <v>14617</v>
      </c>
      <c r="J612" s="3">
        <f t="shared" ca="1" si="157"/>
        <v>2066</v>
      </c>
      <c r="K612" s="3">
        <f t="shared" ca="1" si="158"/>
        <v>14</v>
      </c>
      <c r="L612" s="3">
        <f t="shared" ca="1" si="159"/>
        <v>21</v>
      </c>
      <c r="M612" s="3">
        <f t="shared" ca="1" si="160"/>
        <v>7</v>
      </c>
      <c r="N612" s="3" t="str">
        <f t="shared" ca="1" si="161"/>
        <v>Delayed</v>
      </c>
      <c r="O612" s="3" t="str">
        <f t="shared" ca="1" si="162"/>
        <v>High</v>
      </c>
      <c r="P612" s="3">
        <f t="shared" ca="1" si="163"/>
        <v>69.7</v>
      </c>
      <c r="Q612" s="1" t="str">
        <f ca="1">VLOOKUP(D612,Routes!$A$2:$D$31,2,FALSE)</f>
        <v>Bhubaneswar</v>
      </c>
      <c r="R612" s="1" t="str">
        <f ca="1">VLOOKUP(D612,Routes!$A$2:$D$31,3,FALSE)</f>
        <v>Kolkata</v>
      </c>
      <c r="S612" s="3">
        <f ca="1">VLOOKUP(D612,Routes!$A$2:$D$31,4,FALSE)</f>
        <v>440</v>
      </c>
      <c r="T612" s="3" t="str">
        <f ca="1">VLOOKUP(E612,Vehicles!$A$2:$D$21,2,FALSE)</f>
        <v>Truck</v>
      </c>
      <c r="U612" s="3">
        <f ca="1">VLOOKUP(E612,Vehicles!$A$2:$D$21,3,FALSE)</f>
        <v>18</v>
      </c>
      <c r="V612" s="3" t="str">
        <f ca="1">VLOOKUP(E612,Vehicles!$A$2:$D$21,4,FALSE)</f>
        <v>CNG</v>
      </c>
      <c r="W612" s="3">
        <f ca="1">VLOOKUP(V612,Fuel_Rates!$A$2:$B$3,2,FALSE)</f>
        <v>78</v>
      </c>
      <c r="X612" s="3">
        <f t="shared" ca="1" si="165"/>
        <v>118.64</v>
      </c>
      <c r="Y612" s="3">
        <f t="shared" ca="1" si="166"/>
        <v>68886</v>
      </c>
      <c r="Z612" s="3" t="str">
        <f t="shared" ca="1" si="167"/>
        <v>Jan</v>
      </c>
      <c r="AA612" s="3" t="str">
        <f t="shared" ca="1" si="168"/>
        <v>Q1</v>
      </c>
      <c r="AB612" s="4" t="str">
        <f t="shared" ca="1" si="169"/>
        <v>Medium Haul</v>
      </c>
    </row>
    <row r="613" spans="1:28" x14ac:dyDescent="0.3">
      <c r="A613" s="8" t="str">
        <f t="shared" si="164"/>
        <v>S0612</v>
      </c>
      <c r="B613" s="3">
        <f t="shared" ca="1" si="153"/>
        <v>45793</v>
      </c>
      <c r="C613" s="3" t="str">
        <f ca="1">INDEX(Customers!$A$2:$A$21,RANDBETWEEN(1,20))</f>
        <v>C015</v>
      </c>
      <c r="D613" s="3" t="str">
        <f ca="1">INDEX(Routes!$A$2:$A$31,RANDBETWEEN(1,30))</f>
        <v>R006</v>
      </c>
      <c r="E613" s="3" t="str">
        <f ca="1">INDEX(Vehicles!$A$2:$A$21,RANDBETWEEN(1,20))</f>
        <v>V006</v>
      </c>
      <c r="F613" s="3" t="str">
        <f ca="1">INDEX(Drivers!$A$2:$A$31,RANDBETWEEN(1,30))</f>
        <v>D006</v>
      </c>
      <c r="G613" s="3">
        <f t="shared" ca="1" si="154"/>
        <v>2.5</v>
      </c>
      <c r="H613" s="3">
        <f t="shared" ca="1" si="155"/>
        <v>15491</v>
      </c>
      <c r="I613" s="3">
        <f t="shared" ca="1" si="156"/>
        <v>4337</v>
      </c>
      <c r="J613" s="3">
        <f t="shared" ca="1" si="157"/>
        <v>628</v>
      </c>
      <c r="K613" s="3">
        <f t="shared" ca="1" si="158"/>
        <v>30</v>
      </c>
      <c r="L613" s="3">
        <f t="shared" ca="1" si="159"/>
        <v>35</v>
      </c>
      <c r="M613" s="3">
        <f t="shared" ca="1" si="160"/>
        <v>5</v>
      </c>
      <c r="N613" s="3" t="str">
        <f t="shared" ca="1" si="161"/>
        <v>Delayed</v>
      </c>
      <c r="O613" s="3" t="str">
        <f t="shared" ca="1" si="162"/>
        <v>Low</v>
      </c>
      <c r="P613" s="3">
        <f t="shared" ca="1" si="163"/>
        <v>8.3000000000000007</v>
      </c>
      <c r="Q613" s="1" t="str">
        <f ca="1">VLOOKUP(D613,Routes!$A$2:$D$31,2,FALSE)</f>
        <v>Delhi</v>
      </c>
      <c r="R613" s="1" t="str">
        <f ca="1">VLOOKUP(D613,Routes!$A$2:$D$31,3,FALSE)</f>
        <v>Lucknow</v>
      </c>
      <c r="S613" s="3">
        <f ca="1">VLOOKUP(D613,Routes!$A$2:$D$31,4,FALSE)</f>
        <v>550</v>
      </c>
      <c r="T613" s="3" t="str">
        <f ca="1">VLOOKUP(E613,Vehicles!$A$2:$D$21,2,FALSE)</f>
        <v>Container</v>
      </c>
      <c r="U613" s="3">
        <f ca="1">VLOOKUP(E613,Vehicles!$A$2:$D$21,3,FALSE)</f>
        <v>18</v>
      </c>
      <c r="V613" s="3" t="str">
        <f ca="1">VLOOKUP(E613,Vehicles!$A$2:$D$21,4,FALSE)</f>
        <v>Diesel</v>
      </c>
      <c r="W613" s="3">
        <f ca="1">VLOOKUP(V613,Fuel_Rates!$A$2:$B$3,2,FALSE)</f>
        <v>95</v>
      </c>
      <c r="X613" s="3">
        <f t="shared" ca="1" si="165"/>
        <v>28.17</v>
      </c>
      <c r="Y613" s="3">
        <f t="shared" ca="1" si="166"/>
        <v>20456</v>
      </c>
      <c r="Z613" s="3" t="str">
        <f t="shared" ca="1" si="167"/>
        <v>May</v>
      </c>
      <c r="AA613" s="3" t="str">
        <f t="shared" ca="1" si="168"/>
        <v>Q2</v>
      </c>
      <c r="AB613" s="4" t="str">
        <f t="shared" ca="1" si="169"/>
        <v>Medium Haul</v>
      </c>
    </row>
    <row r="614" spans="1:28" x14ac:dyDescent="0.3">
      <c r="A614" s="8" t="str">
        <f t="shared" si="164"/>
        <v>S0613</v>
      </c>
      <c r="B614" s="3">
        <f t="shared" ca="1" si="153"/>
        <v>45799</v>
      </c>
      <c r="C614" s="3" t="str">
        <f ca="1">INDEX(Customers!$A$2:$A$21,RANDBETWEEN(1,20))</f>
        <v>C018</v>
      </c>
      <c r="D614" s="3" t="str">
        <f ca="1">INDEX(Routes!$A$2:$A$31,RANDBETWEEN(1,30))</f>
        <v>R009</v>
      </c>
      <c r="E614" s="3" t="str">
        <f ca="1">INDEX(Vehicles!$A$2:$A$21,RANDBETWEEN(1,20))</f>
        <v>V007</v>
      </c>
      <c r="F614" s="3" t="str">
        <f ca="1">INDEX(Drivers!$A$2:$A$31,RANDBETWEEN(1,30))</f>
        <v>D027</v>
      </c>
      <c r="G614" s="3">
        <f t="shared" ca="1" si="154"/>
        <v>7</v>
      </c>
      <c r="H614" s="3">
        <f t="shared" ca="1" si="155"/>
        <v>17299</v>
      </c>
      <c r="I614" s="3">
        <f t="shared" ca="1" si="156"/>
        <v>4844</v>
      </c>
      <c r="J614" s="3">
        <f t="shared" ca="1" si="157"/>
        <v>1747</v>
      </c>
      <c r="K614" s="3">
        <f t="shared" ca="1" si="158"/>
        <v>21</v>
      </c>
      <c r="L614" s="3">
        <f t="shared" ca="1" si="159"/>
        <v>24</v>
      </c>
      <c r="M614" s="3">
        <f t="shared" ca="1" si="160"/>
        <v>3</v>
      </c>
      <c r="N614" s="3" t="str">
        <f t="shared" ca="1" si="161"/>
        <v>Delayed</v>
      </c>
      <c r="O614" s="3" t="str">
        <f t="shared" ca="1" si="162"/>
        <v>Low</v>
      </c>
      <c r="P614" s="3">
        <f t="shared" ca="1" si="163"/>
        <v>23.3</v>
      </c>
      <c r="Q614" s="1" t="str">
        <f ca="1">VLOOKUP(D614,Routes!$A$2:$D$31,2,FALSE)</f>
        <v>Bengaluru</v>
      </c>
      <c r="R614" s="1" t="str">
        <f ca="1">VLOOKUP(D614,Routes!$A$2:$D$31,3,FALSE)</f>
        <v>Chennai</v>
      </c>
      <c r="S614" s="3">
        <f ca="1">VLOOKUP(D614,Routes!$A$2:$D$31,4,FALSE)</f>
        <v>350</v>
      </c>
      <c r="T614" s="3" t="str">
        <f ca="1">VLOOKUP(E614,Vehicles!$A$2:$D$21,2,FALSE)</f>
        <v>Container</v>
      </c>
      <c r="U614" s="3">
        <f ca="1">VLOOKUP(E614,Vehicles!$A$2:$D$21,3,FALSE)</f>
        <v>20</v>
      </c>
      <c r="V614" s="3" t="str">
        <f ca="1">VLOOKUP(E614,Vehicles!$A$2:$D$21,4,FALSE)</f>
        <v>Diesel</v>
      </c>
      <c r="W614" s="3">
        <f ca="1">VLOOKUP(V614,Fuel_Rates!$A$2:$B$3,2,FALSE)</f>
        <v>95</v>
      </c>
      <c r="X614" s="3">
        <f t="shared" ca="1" si="165"/>
        <v>49.43</v>
      </c>
      <c r="Y614" s="3">
        <f t="shared" ca="1" si="166"/>
        <v>23890</v>
      </c>
      <c r="Z614" s="3" t="str">
        <f t="shared" ca="1" si="167"/>
        <v>May</v>
      </c>
      <c r="AA614" s="3" t="str">
        <f t="shared" ca="1" si="168"/>
        <v>Q2</v>
      </c>
      <c r="AB614" s="4" t="str">
        <f t="shared" ca="1" si="169"/>
        <v>Medium Haul</v>
      </c>
    </row>
    <row r="615" spans="1:28" x14ac:dyDescent="0.3">
      <c r="A615" s="8" t="str">
        <f t="shared" si="164"/>
        <v>S0614</v>
      </c>
      <c r="B615" s="3">
        <f t="shared" ca="1" si="153"/>
        <v>45792</v>
      </c>
      <c r="C615" s="3" t="str">
        <f ca="1">INDEX(Customers!$A$2:$A$21,RANDBETWEEN(1,20))</f>
        <v>C010</v>
      </c>
      <c r="D615" s="3" t="str">
        <f ca="1">INDEX(Routes!$A$2:$A$31,RANDBETWEEN(1,30))</f>
        <v>R010</v>
      </c>
      <c r="E615" s="3" t="str">
        <f ca="1">INDEX(Vehicles!$A$2:$A$21,RANDBETWEEN(1,20))</f>
        <v>V015</v>
      </c>
      <c r="F615" s="3" t="str">
        <f ca="1">INDEX(Drivers!$A$2:$A$31,RANDBETWEEN(1,30))</f>
        <v>D016</v>
      </c>
      <c r="G615" s="3">
        <f t="shared" ca="1" si="154"/>
        <v>21.3</v>
      </c>
      <c r="H615" s="3">
        <f t="shared" ca="1" si="155"/>
        <v>47548</v>
      </c>
      <c r="I615" s="3">
        <f t="shared" ca="1" si="156"/>
        <v>13313</v>
      </c>
      <c r="J615" s="3">
        <f t="shared" ca="1" si="157"/>
        <v>3992</v>
      </c>
      <c r="K615" s="3">
        <f t="shared" ca="1" si="158"/>
        <v>38</v>
      </c>
      <c r="L615" s="3">
        <f t="shared" ca="1" si="159"/>
        <v>38</v>
      </c>
      <c r="M615" s="3">
        <f t="shared" ca="1" si="160"/>
        <v>0</v>
      </c>
      <c r="N615" s="3" t="str">
        <f t="shared" ca="1" si="161"/>
        <v>On Time</v>
      </c>
      <c r="O615" s="3" t="str">
        <f t="shared" ca="1" si="162"/>
        <v>High</v>
      </c>
      <c r="P615" s="3">
        <f t="shared" ca="1" si="163"/>
        <v>71</v>
      </c>
      <c r="Q615" s="1" t="str">
        <f ca="1">VLOOKUP(D615,Routes!$A$2:$D$31,2,FALSE)</f>
        <v>Bengaluru</v>
      </c>
      <c r="R615" s="1" t="str">
        <f ca="1">VLOOKUP(D615,Routes!$A$2:$D$31,3,FALSE)</f>
        <v>Hyderabad</v>
      </c>
      <c r="S615" s="3">
        <f ca="1">VLOOKUP(D615,Routes!$A$2:$D$31,4,FALSE)</f>
        <v>570</v>
      </c>
      <c r="T615" s="3" t="str">
        <f ca="1">VLOOKUP(E615,Vehicles!$A$2:$D$21,2,FALSE)</f>
        <v>Trailer</v>
      </c>
      <c r="U615" s="3">
        <f ca="1">VLOOKUP(E615,Vehicles!$A$2:$D$21,3,FALSE)</f>
        <v>30</v>
      </c>
      <c r="V615" s="3" t="str">
        <f ca="1">VLOOKUP(E615,Vehicles!$A$2:$D$21,4,FALSE)</f>
        <v>Diesel</v>
      </c>
      <c r="W615" s="3">
        <f ca="1">VLOOKUP(V615,Fuel_Rates!$A$2:$B$3,2,FALSE)</f>
        <v>95</v>
      </c>
      <c r="X615" s="3">
        <f t="shared" ca="1" si="165"/>
        <v>83.42</v>
      </c>
      <c r="Y615" s="3">
        <f t="shared" ca="1" si="166"/>
        <v>64853</v>
      </c>
      <c r="Z615" s="3" t="str">
        <f t="shared" ca="1" si="167"/>
        <v>May</v>
      </c>
      <c r="AA615" s="3" t="str">
        <f t="shared" ca="1" si="168"/>
        <v>Q2</v>
      </c>
      <c r="AB615" s="4" t="str">
        <f t="shared" ca="1" si="169"/>
        <v>Medium Haul</v>
      </c>
    </row>
    <row r="616" spans="1:28" x14ac:dyDescent="0.3">
      <c r="A616" s="8" t="str">
        <f t="shared" si="164"/>
        <v>S0615</v>
      </c>
      <c r="B616" s="3">
        <f t="shared" ca="1" si="153"/>
        <v>45963</v>
      </c>
      <c r="C616" s="3" t="str">
        <f ca="1">INDEX(Customers!$A$2:$A$21,RANDBETWEEN(1,20))</f>
        <v>C002</v>
      </c>
      <c r="D616" s="3" t="str">
        <f ca="1">INDEX(Routes!$A$2:$A$31,RANDBETWEEN(1,30))</f>
        <v>R019</v>
      </c>
      <c r="E616" s="3" t="str">
        <f ca="1">INDEX(Vehicles!$A$2:$A$21,RANDBETWEEN(1,20))</f>
        <v>V017</v>
      </c>
      <c r="F616" s="3" t="str">
        <f ca="1">INDEX(Drivers!$A$2:$A$31,RANDBETWEEN(1,30))</f>
        <v>D006</v>
      </c>
      <c r="G616" s="3">
        <f t="shared" ca="1" si="154"/>
        <v>17.5</v>
      </c>
      <c r="H616" s="3">
        <f t="shared" ca="1" si="155"/>
        <v>44468</v>
      </c>
      <c r="I616" s="3">
        <f t="shared" ca="1" si="156"/>
        <v>12451</v>
      </c>
      <c r="J616" s="3">
        <f t="shared" ca="1" si="157"/>
        <v>1190</v>
      </c>
      <c r="K616" s="3">
        <f t="shared" ca="1" si="158"/>
        <v>22</v>
      </c>
      <c r="L616" s="3">
        <f t="shared" ca="1" si="159"/>
        <v>26</v>
      </c>
      <c r="M616" s="3">
        <f t="shared" ca="1" si="160"/>
        <v>4</v>
      </c>
      <c r="N616" s="3" t="str">
        <f t="shared" ca="1" si="161"/>
        <v>Delayed</v>
      </c>
      <c r="O616" s="3" t="str">
        <f t="shared" ca="1" si="162"/>
        <v>Medium</v>
      </c>
      <c r="P616" s="3">
        <f t="shared" ca="1" si="163"/>
        <v>58.3</v>
      </c>
      <c r="Q616" s="1" t="str">
        <f ca="1">VLOOKUP(D616,Routes!$A$2:$D$31,2,FALSE)</f>
        <v>Ahmedabad</v>
      </c>
      <c r="R616" s="1" t="str">
        <f ca="1">VLOOKUP(D616,Routes!$A$2:$D$31,3,FALSE)</f>
        <v>Indore</v>
      </c>
      <c r="S616" s="3">
        <f ca="1">VLOOKUP(D616,Routes!$A$2:$D$31,4,FALSE)</f>
        <v>390</v>
      </c>
      <c r="T616" s="3" t="str">
        <f ca="1">VLOOKUP(E616,Vehicles!$A$2:$D$21,2,FALSE)</f>
        <v>Truck</v>
      </c>
      <c r="U616" s="3">
        <f ca="1">VLOOKUP(E616,Vehicles!$A$2:$D$21,3,FALSE)</f>
        <v>24</v>
      </c>
      <c r="V616" s="3" t="str">
        <f ca="1">VLOOKUP(E616,Vehicles!$A$2:$D$21,4,FALSE)</f>
        <v>Diesel</v>
      </c>
      <c r="W616" s="3">
        <f ca="1">VLOOKUP(V616,Fuel_Rates!$A$2:$B$3,2,FALSE)</f>
        <v>95</v>
      </c>
      <c r="X616" s="3">
        <f t="shared" ca="1" si="165"/>
        <v>114.02</v>
      </c>
      <c r="Y616" s="3">
        <f t="shared" ca="1" si="166"/>
        <v>58109</v>
      </c>
      <c r="Z616" s="3" t="str">
        <f t="shared" ca="1" si="167"/>
        <v>Nov</v>
      </c>
      <c r="AA616" s="3" t="str">
        <f t="shared" ca="1" si="168"/>
        <v>Q4</v>
      </c>
      <c r="AB616" s="4" t="str">
        <f t="shared" ca="1" si="169"/>
        <v>Medium Haul</v>
      </c>
    </row>
    <row r="617" spans="1:28" x14ac:dyDescent="0.3">
      <c r="A617" s="8" t="str">
        <f t="shared" si="164"/>
        <v>S0616</v>
      </c>
      <c r="B617" s="3">
        <f t="shared" ca="1" si="153"/>
        <v>45737</v>
      </c>
      <c r="C617" s="3" t="str">
        <f ca="1">INDEX(Customers!$A$2:$A$21,RANDBETWEEN(1,20))</f>
        <v>C006</v>
      </c>
      <c r="D617" s="3" t="str">
        <f ca="1">INDEX(Routes!$A$2:$A$31,RANDBETWEEN(1,30))</f>
        <v>R019</v>
      </c>
      <c r="E617" s="3" t="str">
        <f ca="1">INDEX(Vehicles!$A$2:$A$21,RANDBETWEEN(1,20))</f>
        <v>V016</v>
      </c>
      <c r="F617" s="3" t="str">
        <f ca="1">INDEX(Drivers!$A$2:$A$31,RANDBETWEEN(1,30))</f>
        <v>D026</v>
      </c>
      <c r="G617" s="3">
        <f t="shared" ca="1" si="154"/>
        <v>5.3</v>
      </c>
      <c r="H617" s="3">
        <f t="shared" ca="1" si="155"/>
        <v>16765</v>
      </c>
      <c r="I617" s="3">
        <f t="shared" ca="1" si="156"/>
        <v>4694</v>
      </c>
      <c r="J617" s="3">
        <f t="shared" ca="1" si="157"/>
        <v>2805</v>
      </c>
      <c r="K617" s="3">
        <f t="shared" ca="1" si="158"/>
        <v>46</v>
      </c>
      <c r="L617" s="3">
        <f t="shared" ca="1" si="159"/>
        <v>48</v>
      </c>
      <c r="M617" s="3">
        <f t="shared" ca="1" si="160"/>
        <v>2</v>
      </c>
      <c r="N617" s="3" t="str">
        <f t="shared" ca="1" si="161"/>
        <v>On Time</v>
      </c>
      <c r="O617" s="3" t="str">
        <f t="shared" ca="1" si="162"/>
        <v>High</v>
      </c>
      <c r="P617" s="3">
        <f t="shared" ca="1" si="163"/>
        <v>17.7</v>
      </c>
      <c r="Q617" s="1" t="str">
        <f ca="1">VLOOKUP(D617,Routes!$A$2:$D$31,2,FALSE)</f>
        <v>Ahmedabad</v>
      </c>
      <c r="R617" s="1" t="str">
        <f ca="1">VLOOKUP(D617,Routes!$A$2:$D$31,3,FALSE)</f>
        <v>Indore</v>
      </c>
      <c r="S617" s="3">
        <f ca="1">VLOOKUP(D617,Routes!$A$2:$D$31,4,FALSE)</f>
        <v>390</v>
      </c>
      <c r="T617" s="3" t="str">
        <f ca="1">VLOOKUP(E617,Vehicles!$A$2:$D$21,2,FALSE)</f>
        <v>Container</v>
      </c>
      <c r="U617" s="3">
        <f ca="1">VLOOKUP(E617,Vehicles!$A$2:$D$21,3,FALSE)</f>
        <v>22</v>
      </c>
      <c r="V617" s="3" t="str">
        <f ca="1">VLOOKUP(E617,Vehicles!$A$2:$D$21,4,FALSE)</f>
        <v>Diesel</v>
      </c>
      <c r="W617" s="3">
        <f ca="1">VLOOKUP(V617,Fuel_Rates!$A$2:$B$3,2,FALSE)</f>
        <v>95</v>
      </c>
      <c r="X617" s="3">
        <f t="shared" ca="1" si="165"/>
        <v>42.99</v>
      </c>
      <c r="Y617" s="3">
        <f t="shared" ca="1" si="166"/>
        <v>24264</v>
      </c>
      <c r="Z617" s="3" t="str">
        <f t="shared" ca="1" si="167"/>
        <v>Mar</v>
      </c>
      <c r="AA617" s="3" t="str">
        <f t="shared" ca="1" si="168"/>
        <v>Q1</v>
      </c>
      <c r="AB617" s="4" t="str">
        <f t="shared" ca="1" si="169"/>
        <v>Medium Haul</v>
      </c>
    </row>
    <row r="618" spans="1:28" x14ac:dyDescent="0.3">
      <c r="A618" s="8" t="str">
        <f t="shared" si="164"/>
        <v>S0617</v>
      </c>
      <c r="B618" s="3">
        <f t="shared" ca="1" si="153"/>
        <v>45663</v>
      </c>
      <c r="C618" s="3" t="str">
        <f ca="1">INDEX(Customers!$A$2:$A$21,RANDBETWEEN(1,20))</f>
        <v>C004</v>
      </c>
      <c r="D618" s="3" t="str">
        <f ca="1">INDEX(Routes!$A$2:$A$31,RANDBETWEEN(1,30))</f>
        <v>R005</v>
      </c>
      <c r="E618" s="3" t="str">
        <f ca="1">INDEX(Vehicles!$A$2:$A$21,RANDBETWEEN(1,20))</f>
        <v>V018</v>
      </c>
      <c r="F618" s="3" t="str">
        <f ca="1">INDEX(Drivers!$A$2:$A$31,RANDBETWEEN(1,30))</f>
        <v>D022</v>
      </c>
      <c r="G618" s="3">
        <f t="shared" ca="1" si="154"/>
        <v>8.6999999999999993</v>
      </c>
      <c r="H618" s="3">
        <f t="shared" ca="1" si="155"/>
        <v>27441</v>
      </c>
      <c r="I618" s="3">
        <f t="shared" ca="1" si="156"/>
        <v>7683</v>
      </c>
      <c r="J618" s="3">
        <f t="shared" ca="1" si="157"/>
        <v>3324</v>
      </c>
      <c r="K618" s="3">
        <f t="shared" ca="1" si="158"/>
        <v>15</v>
      </c>
      <c r="L618" s="3">
        <f t="shared" ca="1" si="159"/>
        <v>20</v>
      </c>
      <c r="M618" s="3">
        <f t="shared" ca="1" si="160"/>
        <v>5</v>
      </c>
      <c r="N618" s="3" t="str">
        <f t="shared" ca="1" si="161"/>
        <v>Delayed</v>
      </c>
      <c r="O618" s="3" t="str">
        <f t="shared" ca="1" si="162"/>
        <v>High</v>
      </c>
      <c r="P618" s="3">
        <f t="shared" ca="1" si="163"/>
        <v>29</v>
      </c>
      <c r="Q618" s="1" t="str">
        <f ca="1">VLOOKUP(D618,Routes!$A$2:$D$31,2,FALSE)</f>
        <v>Delhi</v>
      </c>
      <c r="R618" s="1" t="str">
        <f ca="1">VLOOKUP(D618,Routes!$A$2:$D$31,3,FALSE)</f>
        <v>Jaipur</v>
      </c>
      <c r="S618" s="3">
        <f ca="1">VLOOKUP(D618,Routes!$A$2:$D$31,4,FALSE)</f>
        <v>280</v>
      </c>
      <c r="T618" s="3" t="str">
        <f ca="1">VLOOKUP(E618,Vehicles!$A$2:$D$21,2,FALSE)</f>
        <v>Truck</v>
      </c>
      <c r="U618" s="3">
        <f ca="1">VLOOKUP(E618,Vehicles!$A$2:$D$21,3,FALSE)</f>
        <v>26</v>
      </c>
      <c r="V618" s="3" t="str">
        <f ca="1">VLOOKUP(E618,Vehicles!$A$2:$D$21,4,FALSE)</f>
        <v>Diesel</v>
      </c>
      <c r="W618" s="3">
        <f ca="1">VLOOKUP(V618,Fuel_Rates!$A$2:$B$3,2,FALSE)</f>
        <v>95</v>
      </c>
      <c r="X618" s="3">
        <f t="shared" ca="1" si="165"/>
        <v>98</v>
      </c>
      <c r="Y618" s="3">
        <f t="shared" ca="1" si="166"/>
        <v>38448</v>
      </c>
      <c r="Z618" s="3" t="str">
        <f t="shared" ca="1" si="167"/>
        <v>Jan</v>
      </c>
      <c r="AA618" s="3" t="str">
        <f t="shared" ca="1" si="168"/>
        <v>Q1</v>
      </c>
      <c r="AB618" s="4" t="str">
        <f t="shared" ca="1" si="169"/>
        <v>Short Haul</v>
      </c>
    </row>
    <row r="619" spans="1:28" x14ac:dyDescent="0.3">
      <c r="A619" s="8" t="str">
        <f t="shared" si="164"/>
        <v>S0618</v>
      </c>
      <c r="B619" s="3">
        <f t="shared" ca="1" si="153"/>
        <v>45794</v>
      </c>
      <c r="C619" s="3" t="str">
        <f ca="1">INDEX(Customers!$A$2:$A$21,RANDBETWEEN(1,20))</f>
        <v>C004</v>
      </c>
      <c r="D619" s="3" t="str">
        <f ca="1">INDEX(Routes!$A$2:$A$31,RANDBETWEEN(1,30))</f>
        <v>R005</v>
      </c>
      <c r="E619" s="3" t="str">
        <f ca="1">INDEX(Vehicles!$A$2:$A$21,RANDBETWEEN(1,20))</f>
        <v>V004</v>
      </c>
      <c r="F619" s="3" t="str">
        <f ca="1">INDEX(Drivers!$A$2:$A$31,RANDBETWEEN(1,30))</f>
        <v>D017</v>
      </c>
      <c r="G619" s="3">
        <f t="shared" ca="1" si="154"/>
        <v>19.399999999999999</v>
      </c>
      <c r="H619" s="3">
        <f t="shared" ca="1" si="155"/>
        <v>42579</v>
      </c>
      <c r="I619" s="3">
        <f t="shared" ca="1" si="156"/>
        <v>11922</v>
      </c>
      <c r="J619" s="3">
        <f t="shared" ca="1" si="157"/>
        <v>2035</v>
      </c>
      <c r="K619" s="3">
        <f t="shared" ca="1" si="158"/>
        <v>36</v>
      </c>
      <c r="L619" s="3">
        <f t="shared" ca="1" si="159"/>
        <v>43</v>
      </c>
      <c r="M619" s="3">
        <f t="shared" ca="1" si="160"/>
        <v>7</v>
      </c>
      <c r="N619" s="3" t="str">
        <f t="shared" ca="1" si="161"/>
        <v>Delayed</v>
      </c>
      <c r="O619" s="3" t="str">
        <f t="shared" ca="1" si="162"/>
        <v>Low</v>
      </c>
      <c r="P619" s="3">
        <f t="shared" ca="1" si="163"/>
        <v>64.7</v>
      </c>
      <c r="Q619" s="1" t="str">
        <f ca="1">VLOOKUP(D619,Routes!$A$2:$D$31,2,FALSE)</f>
        <v>Delhi</v>
      </c>
      <c r="R619" s="1" t="str">
        <f ca="1">VLOOKUP(D619,Routes!$A$2:$D$31,3,FALSE)</f>
        <v>Jaipur</v>
      </c>
      <c r="S619" s="3">
        <f ca="1">VLOOKUP(D619,Routes!$A$2:$D$31,4,FALSE)</f>
        <v>280</v>
      </c>
      <c r="T619" s="3" t="str">
        <f ca="1">VLOOKUP(E619,Vehicles!$A$2:$D$21,2,FALSE)</f>
        <v>Trailer</v>
      </c>
      <c r="U619" s="3">
        <f ca="1">VLOOKUP(E619,Vehicles!$A$2:$D$21,3,FALSE)</f>
        <v>28</v>
      </c>
      <c r="V619" s="3" t="str">
        <f ca="1">VLOOKUP(E619,Vehicles!$A$2:$D$21,4,FALSE)</f>
        <v>Diesel</v>
      </c>
      <c r="W619" s="3">
        <f ca="1">VLOOKUP(V619,Fuel_Rates!$A$2:$B$3,2,FALSE)</f>
        <v>95</v>
      </c>
      <c r="X619" s="3">
        <f t="shared" ca="1" si="165"/>
        <v>152.07</v>
      </c>
      <c r="Y619" s="3">
        <f t="shared" ca="1" si="166"/>
        <v>56536</v>
      </c>
      <c r="Z619" s="3" t="str">
        <f t="shared" ca="1" si="167"/>
        <v>May</v>
      </c>
      <c r="AA619" s="3" t="str">
        <f t="shared" ca="1" si="168"/>
        <v>Q2</v>
      </c>
      <c r="AB619" s="4" t="str">
        <f t="shared" ca="1" si="169"/>
        <v>Short Haul</v>
      </c>
    </row>
    <row r="620" spans="1:28" x14ac:dyDescent="0.3">
      <c r="A620" s="8" t="str">
        <f t="shared" si="164"/>
        <v>S0619</v>
      </c>
      <c r="B620" s="3">
        <f t="shared" ca="1" si="153"/>
        <v>45979</v>
      </c>
      <c r="C620" s="3" t="str">
        <f ca="1">INDEX(Customers!$A$2:$A$21,RANDBETWEEN(1,20))</f>
        <v>C008</v>
      </c>
      <c r="D620" s="3" t="str">
        <f ca="1">INDEX(Routes!$A$2:$A$31,RANDBETWEEN(1,30))</f>
        <v>R009</v>
      </c>
      <c r="E620" s="3" t="str">
        <f ca="1">INDEX(Vehicles!$A$2:$A$21,RANDBETWEEN(1,20))</f>
        <v>V018</v>
      </c>
      <c r="F620" s="3" t="str">
        <f ca="1">INDEX(Drivers!$A$2:$A$31,RANDBETWEEN(1,30))</f>
        <v>D021</v>
      </c>
      <c r="G620" s="3">
        <f t="shared" ca="1" si="154"/>
        <v>22.2</v>
      </c>
      <c r="H620" s="3">
        <f t="shared" ca="1" si="155"/>
        <v>53122</v>
      </c>
      <c r="I620" s="3">
        <f t="shared" ca="1" si="156"/>
        <v>14874</v>
      </c>
      <c r="J620" s="3">
        <f t="shared" ca="1" si="157"/>
        <v>3957</v>
      </c>
      <c r="K620" s="3">
        <f t="shared" ca="1" si="158"/>
        <v>23</v>
      </c>
      <c r="L620" s="3">
        <f t="shared" ca="1" si="159"/>
        <v>27</v>
      </c>
      <c r="M620" s="3">
        <f t="shared" ca="1" si="160"/>
        <v>4</v>
      </c>
      <c r="N620" s="3" t="str">
        <f t="shared" ca="1" si="161"/>
        <v>Delayed</v>
      </c>
      <c r="O620" s="3" t="str">
        <f t="shared" ca="1" si="162"/>
        <v>High</v>
      </c>
      <c r="P620" s="3">
        <f t="shared" ca="1" si="163"/>
        <v>74</v>
      </c>
      <c r="Q620" s="1" t="str">
        <f ca="1">VLOOKUP(D620,Routes!$A$2:$D$31,2,FALSE)</f>
        <v>Bengaluru</v>
      </c>
      <c r="R620" s="1" t="str">
        <f ca="1">VLOOKUP(D620,Routes!$A$2:$D$31,3,FALSE)</f>
        <v>Chennai</v>
      </c>
      <c r="S620" s="3">
        <f ca="1">VLOOKUP(D620,Routes!$A$2:$D$31,4,FALSE)</f>
        <v>350</v>
      </c>
      <c r="T620" s="3" t="str">
        <f ca="1">VLOOKUP(E620,Vehicles!$A$2:$D$21,2,FALSE)</f>
        <v>Truck</v>
      </c>
      <c r="U620" s="3">
        <f ca="1">VLOOKUP(E620,Vehicles!$A$2:$D$21,3,FALSE)</f>
        <v>26</v>
      </c>
      <c r="V620" s="3" t="str">
        <f ca="1">VLOOKUP(E620,Vehicles!$A$2:$D$21,4,FALSE)</f>
        <v>Diesel</v>
      </c>
      <c r="W620" s="3">
        <f ca="1">VLOOKUP(V620,Fuel_Rates!$A$2:$B$3,2,FALSE)</f>
        <v>95</v>
      </c>
      <c r="X620" s="3">
        <f t="shared" ca="1" si="165"/>
        <v>151.78</v>
      </c>
      <c r="Y620" s="3">
        <f t="shared" ca="1" si="166"/>
        <v>71953</v>
      </c>
      <c r="Z620" s="3" t="str">
        <f t="shared" ca="1" si="167"/>
        <v>Nov</v>
      </c>
      <c r="AA620" s="3" t="str">
        <f t="shared" ca="1" si="168"/>
        <v>Q4</v>
      </c>
      <c r="AB620" s="4" t="str">
        <f t="shared" ca="1" si="169"/>
        <v>Medium Haul</v>
      </c>
    </row>
    <row r="621" spans="1:28" x14ac:dyDescent="0.3">
      <c r="A621" s="8" t="str">
        <f t="shared" si="164"/>
        <v>S0620</v>
      </c>
      <c r="B621" s="3">
        <f t="shared" ca="1" si="153"/>
        <v>45885</v>
      </c>
      <c r="C621" s="3" t="str">
        <f ca="1">INDEX(Customers!$A$2:$A$21,RANDBETWEEN(1,20))</f>
        <v>C007</v>
      </c>
      <c r="D621" s="3" t="str">
        <f ca="1">INDEX(Routes!$A$2:$A$31,RANDBETWEEN(1,30))</f>
        <v>R003</v>
      </c>
      <c r="E621" s="3" t="str">
        <f ca="1">INDEX(Vehicles!$A$2:$A$21,RANDBETWEEN(1,20))</f>
        <v>V016</v>
      </c>
      <c r="F621" s="3" t="str">
        <f ca="1">INDEX(Drivers!$A$2:$A$31,RANDBETWEEN(1,30))</f>
        <v>D012</v>
      </c>
      <c r="G621" s="3">
        <f t="shared" ca="1" si="154"/>
        <v>4.0999999999999996</v>
      </c>
      <c r="H621" s="3">
        <f t="shared" ca="1" si="155"/>
        <v>20734</v>
      </c>
      <c r="I621" s="3">
        <f t="shared" ca="1" si="156"/>
        <v>5806</v>
      </c>
      <c r="J621" s="3">
        <f t="shared" ca="1" si="157"/>
        <v>1800</v>
      </c>
      <c r="K621" s="3">
        <f t="shared" ca="1" si="158"/>
        <v>16</v>
      </c>
      <c r="L621" s="3">
        <f t="shared" ca="1" si="159"/>
        <v>24</v>
      </c>
      <c r="M621" s="3">
        <f t="shared" ca="1" si="160"/>
        <v>8</v>
      </c>
      <c r="N621" s="3" t="str">
        <f t="shared" ca="1" si="161"/>
        <v>Delayed</v>
      </c>
      <c r="O621" s="3" t="str">
        <f t="shared" ca="1" si="162"/>
        <v>Medium</v>
      </c>
      <c r="P621" s="3">
        <f t="shared" ca="1" si="163"/>
        <v>13.7</v>
      </c>
      <c r="Q621" s="1" t="str">
        <f ca="1">VLOOKUP(D621,Routes!$A$2:$D$31,2,FALSE)</f>
        <v>Mumbai</v>
      </c>
      <c r="R621" s="1" t="str">
        <f ca="1">VLOOKUP(D621,Routes!$A$2:$D$31,3,FALSE)</f>
        <v>Delhi</v>
      </c>
      <c r="S621" s="3">
        <f ca="1">VLOOKUP(D621,Routes!$A$2:$D$31,4,FALSE)</f>
        <v>1450</v>
      </c>
      <c r="T621" s="3" t="str">
        <f ca="1">VLOOKUP(E621,Vehicles!$A$2:$D$21,2,FALSE)</f>
        <v>Container</v>
      </c>
      <c r="U621" s="3">
        <f ca="1">VLOOKUP(E621,Vehicles!$A$2:$D$21,3,FALSE)</f>
        <v>22</v>
      </c>
      <c r="V621" s="3" t="str">
        <f ca="1">VLOOKUP(E621,Vehicles!$A$2:$D$21,4,FALSE)</f>
        <v>Diesel</v>
      </c>
      <c r="W621" s="3">
        <f ca="1">VLOOKUP(V621,Fuel_Rates!$A$2:$B$3,2,FALSE)</f>
        <v>95</v>
      </c>
      <c r="X621" s="3">
        <f t="shared" ca="1" si="165"/>
        <v>14.3</v>
      </c>
      <c r="Y621" s="3">
        <f t="shared" ca="1" si="166"/>
        <v>28340</v>
      </c>
      <c r="Z621" s="3" t="str">
        <f t="shared" ca="1" si="167"/>
        <v>Aug</v>
      </c>
      <c r="AA621" s="3" t="str">
        <f t="shared" ca="1" si="168"/>
        <v>Q3</v>
      </c>
      <c r="AB621" s="4" t="str">
        <f t="shared" ca="1" si="169"/>
        <v>Long Haul</v>
      </c>
    </row>
    <row r="622" spans="1:28" x14ac:dyDescent="0.3">
      <c r="A622" s="8" t="str">
        <f t="shared" si="164"/>
        <v>S0621</v>
      </c>
      <c r="B622" s="3">
        <f t="shared" ca="1" si="153"/>
        <v>45713</v>
      </c>
      <c r="C622" s="3" t="str">
        <f ca="1">INDEX(Customers!$A$2:$A$21,RANDBETWEEN(1,20))</f>
        <v>C018</v>
      </c>
      <c r="D622" s="3" t="str">
        <f ca="1">INDEX(Routes!$A$2:$A$31,RANDBETWEEN(1,30))</f>
        <v>R020</v>
      </c>
      <c r="E622" s="3" t="str">
        <f ca="1">INDEX(Vehicles!$A$2:$A$21,RANDBETWEEN(1,20))</f>
        <v>V006</v>
      </c>
      <c r="F622" s="3" t="str">
        <f ca="1">INDEX(Drivers!$A$2:$A$31,RANDBETWEEN(1,30))</f>
        <v>D012</v>
      </c>
      <c r="G622" s="3">
        <f t="shared" ca="1" si="154"/>
        <v>8.1</v>
      </c>
      <c r="H622" s="3">
        <f t="shared" ca="1" si="155"/>
        <v>28704</v>
      </c>
      <c r="I622" s="3">
        <f t="shared" ca="1" si="156"/>
        <v>8037</v>
      </c>
      <c r="J622" s="3">
        <f t="shared" ca="1" si="157"/>
        <v>2983</v>
      </c>
      <c r="K622" s="3">
        <f t="shared" ca="1" si="158"/>
        <v>39</v>
      </c>
      <c r="L622" s="3">
        <f t="shared" ca="1" si="159"/>
        <v>39</v>
      </c>
      <c r="M622" s="3">
        <f t="shared" ca="1" si="160"/>
        <v>0</v>
      </c>
      <c r="N622" s="3" t="str">
        <f t="shared" ca="1" si="161"/>
        <v>On Time</v>
      </c>
      <c r="O622" s="3" t="str">
        <f t="shared" ca="1" si="162"/>
        <v>Low</v>
      </c>
      <c r="P622" s="3">
        <f t="shared" ca="1" si="163"/>
        <v>27</v>
      </c>
      <c r="Q622" s="1" t="str">
        <f ca="1">VLOOKUP(D622,Routes!$A$2:$D$31,2,FALSE)</f>
        <v>Pune</v>
      </c>
      <c r="R622" s="1" t="str">
        <f ca="1">VLOOKUP(D622,Routes!$A$2:$D$31,3,FALSE)</f>
        <v>Nagpur</v>
      </c>
      <c r="S622" s="3">
        <f ca="1">VLOOKUP(D622,Routes!$A$2:$D$31,4,FALSE)</f>
        <v>720</v>
      </c>
      <c r="T622" s="3" t="str">
        <f ca="1">VLOOKUP(E622,Vehicles!$A$2:$D$21,2,FALSE)</f>
        <v>Container</v>
      </c>
      <c r="U622" s="3">
        <f ca="1">VLOOKUP(E622,Vehicles!$A$2:$D$21,3,FALSE)</f>
        <v>18</v>
      </c>
      <c r="V622" s="3" t="str">
        <f ca="1">VLOOKUP(E622,Vehicles!$A$2:$D$21,4,FALSE)</f>
        <v>Diesel</v>
      </c>
      <c r="W622" s="3">
        <f ca="1">VLOOKUP(V622,Fuel_Rates!$A$2:$B$3,2,FALSE)</f>
        <v>95</v>
      </c>
      <c r="X622" s="3">
        <f t="shared" ca="1" si="165"/>
        <v>39.869999999999997</v>
      </c>
      <c r="Y622" s="3">
        <f t="shared" ca="1" si="166"/>
        <v>39724</v>
      </c>
      <c r="Z622" s="3" t="str">
        <f t="shared" ca="1" si="167"/>
        <v>Feb</v>
      </c>
      <c r="AA622" s="3" t="str">
        <f t="shared" ca="1" si="168"/>
        <v>Q1</v>
      </c>
      <c r="AB622" s="4" t="str">
        <f t="shared" ca="1" si="169"/>
        <v>Medium Haul</v>
      </c>
    </row>
    <row r="623" spans="1:28" x14ac:dyDescent="0.3">
      <c r="A623" s="8" t="str">
        <f t="shared" si="164"/>
        <v>S0622</v>
      </c>
      <c r="B623" s="3">
        <f t="shared" ca="1" si="153"/>
        <v>45706</v>
      </c>
      <c r="C623" s="3" t="str">
        <f ca="1">INDEX(Customers!$A$2:$A$21,RANDBETWEEN(1,20))</f>
        <v>C010</v>
      </c>
      <c r="D623" s="3" t="str">
        <f ca="1">INDEX(Routes!$A$2:$A$31,RANDBETWEEN(1,30))</f>
        <v>R004</v>
      </c>
      <c r="E623" s="3" t="str">
        <f ca="1">INDEX(Vehicles!$A$2:$A$21,RANDBETWEEN(1,20))</f>
        <v>V013</v>
      </c>
      <c r="F623" s="3" t="str">
        <f ca="1">INDEX(Drivers!$A$2:$A$31,RANDBETWEEN(1,30))</f>
        <v>D018</v>
      </c>
      <c r="G623" s="3">
        <f t="shared" ca="1" si="154"/>
        <v>16.2</v>
      </c>
      <c r="H623" s="3">
        <f t="shared" ca="1" si="155"/>
        <v>34096</v>
      </c>
      <c r="I623" s="3">
        <f t="shared" ca="1" si="156"/>
        <v>9547</v>
      </c>
      <c r="J623" s="3">
        <f t="shared" ca="1" si="157"/>
        <v>1758</v>
      </c>
      <c r="K623" s="3">
        <f t="shared" ca="1" si="158"/>
        <v>8</v>
      </c>
      <c r="L623" s="3">
        <f t="shared" ca="1" si="159"/>
        <v>8</v>
      </c>
      <c r="M623" s="3">
        <f t="shared" ca="1" si="160"/>
        <v>0</v>
      </c>
      <c r="N623" s="3" t="str">
        <f t="shared" ca="1" si="161"/>
        <v>On Time</v>
      </c>
      <c r="O623" s="3" t="str">
        <f t="shared" ca="1" si="162"/>
        <v>Low</v>
      </c>
      <c r="P623" s="3">
        <f t="shared" ca="1" si="163"/>
        <v>54</v>
      </c>
      <c r="Q623" s="1" t="str">
        <f ca="1">VLOOKUP(D623,Routes!$A$2:$D$31,2,FALSE)</f>
        <v>Mumbai</v>
      </c>
      <c r="R623" s="1" t="str">
        <f ca="1">VLOOKUP(D623,Routes!$A$2:$D$31,3,FALSE)</f>
        <v>Bengaluru</v>
      </c>
      <c r="S623" s="3">
        <f ca="1">VLOOKUP(D623,Routes!$A$2:$D$31,4,FALSE)</f>
        <v>980</v>
      </c>
      <c r="T623" s="3" t="str">
        <f ca="1">VLOOKUP(E623,Vehicles!$A$2:$D$21,2,FALSE)</f>
        <v>LCV</v>
      </c>
      <c r="U623" s="3">
        <f ca="1">VLOOKUP(E623,Vehicles!$A$2:$D$21,3,FALSE)</f>
        <v>4</v>
      </c>
      <c r="V623" s="3" t="str">
        <f ca="1">VLOOKUP(E623,Vehicles!$A$2:$D$21,4,FALSE)</f>
        <v>CNG</v>
      </c>
      <c r="W623" s="3">
        <f ca="1">VLOOKUP(V623,Fuel_Rates!$A$2:$B$3,2,FALSE)</f>
        <v>78</v>
      </c>
      <c r="X623" s="3">
        <f t="shared" ca="1" si="165"/>
        <v>34.79</v>
      </c>
      <c r="Y623" s="3">
        <f t="shared" ca="1" si="166"/>
        <v>45401</v>
      </c>
      <c r="Z623" s="3" t="str">
        <f t="shared" ca="1" si="167"/>
        <v>Feb</v>
      </c>
      <c r="AA623" s="3" t="str">
        <f t="shared" ca="1" si="168"/>
        <v>Q1</v>
      </c>
      <c r="AB623" s="4" t="str">
        <f t="shared" ca="1" si="169"/>
        <v>Long Haul</v>
      </c>
    </row>
    <row r="624" spans="1:28" x14ac:dyDescent="0.3">
      <c r="A624" s="8" t="str">
        <f t="shared" si="164"/>
        <v>S0623</v>
      </c>
      <c r="B624" s="3">
        <f t="shared" ca="1" si="153"/>
        <v>45911</v>
      </c>
      <c r="C624" s="3" t="str">
        <f ca="1">INDEX(Customers!$A$2:$A$21,RANDBETWEEN(1,20))</f>
        <v>C002</v>
      </c>
      <c r="D624" s="3" t="str">
        <f ca="1">INDEX(Routes!$A$2:$A$31,RANDBETWEEN(1,30))</f>
        <v>R024</v>
      </c>
      <c r="E624" s="3" t="str">
        <f ca="1">INDEX(Vehicles!$A$2:$A$21,RANDBETWEEN(1,20))</f>
        <v>V002</v>
      </c>
      <c r="F624" s="3" t="str">
        <f ca="1">INDEX(Drivers!$A$2:$A$31,RANDBETWEEN(1,30))</f>
        <v>D011</v>
      </c>
      <c r="G624" s="3">
        <f t="shared" ca="1" si="154"/>
        <v>7</v>
      </c>
      <c r="H624" s="3">
        <f t="shared" ca="1" si="155"/>
        <v>19379</v>
      </c>
      <c r="I624" s="3">
        <f t="shared" ca="1" si="156"/>
        <v>5426</v>
      </c>
      <c r="J624" s="3">
        <f t="shared" ca="1" si="157"/>
        <v>3528</v>
      </c>
      <c r="K624" s="3">
        <f t="shared" ca="1" si="158"/>
        <v>43</v>
      </c>
      <c r="L624" s="3">
        <f t="shared" ca="1" si="159"/>
        <v>48</v>
      </c>
      <c r="M624" s="3">
        <f t="shared" ca="1" si="160"/>
        <v>5</v>
      </c>
      <c r="N624" s="3" t="str">
        <f t="shared" ca="1" si="161"/>
        <v>Delayed</v>
      </c>
      <c r="O624" s="3" t="str">
        <f t="shared" ca="1" si="162"/>
        <v>Low</v>
      </c>
      <c r="P624" s="3">
        <f t="shared" ca="1" si="163"/>
        <v>23.3</v>
      </c>
      <c r="Q624" s="1" t="str">
        <f ca="1">VLOOKUP(D624,Routes!$A$2:$D$31,2,FALSE)</f>
        <v>Surat</v>
      </c>
      <c r="R624" s="1" t="str">
        <f ca="1">VLOOKUP(D624,Routes!$A$2:$D$31,3,FALSE)</f>
        <v>Mumbai</v>
      </c>
      <c r="S624" s="3">
        <f ca="1">VLOOKUP(D624,Routes!$A$2:$D$31,4,FALSE)</f>
        <v>280</v>
      </c>
      <c r="T624" s="3" t="str">
        <f ca="1">VLOOKUP(E624,Vehicles!$A$2:$D$21,2,FALSE)</f>
        <v>Truck</v>
      </c>
      <c r="U624" s="3">
        <f ca="1">VLOOKUP(E624,Vehicles!$A$2:$D$21,3,FALSE)</f>
        <v>20</v>
      </c>
      <c r="V624" s="3" t="str">
        <f ca="1">VLOOKUP(E624,Vehicles!$A$2:$D$21,4,FALSE)</f>
        <v>Diesel</v>
      </c>
      <c r="W624" s="3">
        <f ca="1">VLOOKUP(V624,Fuel_Rates!$A$2:$B$3,2,FALSE)</f>
        <v>95</v>
      </c>
      <c r="X624" s="3">
        <f t="shared" ca="1" si="165"/>
        <v>69.209999999999994</v>
      </c>
      <c r="Y624" s="3">
        <f t="shared" ca="1" si="166"/>
        <v>28333</v>
      </c>
      <c r="Z624" s="3" t="str">
        <f t="shared" ca="1" si="167"/>
        <v>Sep</v>
      </c>
      <c r="AA624" s="3" t="str">
        <f t="shared" ca="1" si="168"/>
        <v>Q3</v>
      </c>
      <c r="AB624" s="4" t="str">
        <f t="shared" ca="1" si="169"/>
        <v>Short Haul</v>
      </c>
    </row>
    <row r="625" spans="1:28" x14ac:dyDescent="0.3">
      <c r="A625" s="8" t="str">
        <f t="shared" si="164"/>
        <v>S0624</v>
      </c>
      <c r="B625" s="3">
        <f t="shared" ca="1" si="153"/>
        <v>45771</v>
      </c>
      <c r="C625" s="3" t="str">
        <f ca="1">INDEX(Customers!$A$2:$A$21,RANDBETWEEN(1,20))</f>
        <v>C017</v>
      </c>
      <c r="D625" s="3" t="str">
        <f ca="1">INDEX(Routes!$A$2:$A$31,RANDBETWEEN(1,30))</f>
        <v>R025</v>
      </c>
      <c r="E625" s="3" t="str">
        <f ca="1">INDEX(Vehicles!$A$2:$A$21,RANDBETWEEN(1,20))</f>
        <v>V002</v>
      </c>
      <c r="F625" s="3" t="str">
        <f ca="1">INDEX(Drivers!$A$2:$A$31,RANDBETWEEN(1,30))</f>
        <v>D025</v>
      </c>
      <c r="G625" s="3">
        <f t="shared" ca="1" si="154"/>
        <v>29.3</v>
      </c>
      <c r="H625" s="3">
        <f t="shared" ca="1" si="155"/>
        <v>66042</v>
      </c>
      <c r="I625" s="3">
        <f t="shared" ca="1" si="156"/>
        <v>18492</v>
      </c>
      <c r="J625" s="3">
        <f t="shared" ca="1" si="157"/>
        <v>1530</v>
      </c>
      <c r="K625" s="3">
        <f t="shared" ca="1" si="158"/>
        <v>28</v>
      </c>
      <c r="L625" s="3">
        <f t="shared" ca="1" si="159"/>
        <v>34</v>
      </c>
      <c r="M625" s="3">
        <f t="shared" ca="1" si="160"/>
        <v>6</v>
      </c>
      <c r="N625" s="3" t="str">
        <f t="shared" ca="1" si="161"/>
        <v>Delayed</v>
      </c>
      <c r="O625" s="3" t="str">
        <f t="shared" ca="1" si="162"/>
        <v>High</v>
      </c>
      <c r="P625" s="3">
        <f t="shared" ca="1" si="163"/>
        <v>97.7</v>
      </c>
      <c r="Q625" s="1" t="str">
        <f ca="1">VLOOKUP(D625,Routes!$A$2:$D$31,2,FALSE)</f>
        <v>Visakhapatnam</v>
      </c>
      <c r="R625" s="1" t="str">
        <f ca="1">VLOOKUP(D625,Routes!$A$2:$D$31,3,FALSE)</f>
        <v>Hyderabad</v>
      </c>
      <c r="S625" s="3">
        <f ca="1">VLOOKUP(D625,Routes!$A$2:$D$31,4,FALSE)</f>
        <v>620</v>
      </c>
      <c r="T625" s="3" t="str">
        <f ca="1">VLOOKUP(E625,Vehicles!$A$2:$D$21,2,FALSE)</f>
        <v>Truck</v>
      </c>
      <c r="U625" s="3">
        <f ca="1">VLOOKUP(E625,Vehicles!$A$2:$D$21,3,FALSE)</f>
        <v>20</v>
      </c>
      <c r="V625" s="3" t="str">
        <f ca="1">VLOOKUP(E625,Vehicles!$A$2:$D$21,4,FALSE)</f>
        <v>Diesel</v>
      </c>
      <c r="W625" s="3">
        <f ca="1">VLOOKUP(V625,Fuel_Rates!$A$2:$B$3,2,FALSE)</f>
        <v>95</v>
      </c>
      <c r="X625" s="3">
        <f t="shared" ca="1" si="165"/>
        <v>106.52</v>
      </c>
      <c r="Y625" s="3">
        <f t="shared" ca="1" si="166"/>
        <v>86064</v>
      </c>
      <c r="Z625" s="3" t="str">
        <f t="shared" ca="1" si="167"/>
        <v>Apr</v>
      </c>
      <c r="AA625" s="3" t="str">
        <f t="shared" ca="1" si="168"/>
        <v>Q2</v>
      </c>
      <c r="AB625" s="4" t="str">
        <f t="shared" ca="1" si="169"/>
        <v>Medium Haul</v>
      </c>
    </row>
    <row r="626" spans="1:28" x14ac:dyDescent="0.3">
      <c r="A626" s="8" t="str">
        <f t="shared" si="164"/>
        <v>S0625</v>
      </c>
      <c r="B626" s="3">
        <f t="shared" ca="1" si="153"/>
        <v>45950</v>
      </c>
      <c r="C626" s="3" t="str">
        <f ca="1">INDEX(Customers!$A$2:$A$21,RANDBETWEEN(1,20))</f>
        <v>C006</v>
      </c>
      <c r="D626" s="3" t="str">
        <f ca="1">INDEX(Routes!$A$2:$A$31,RANDBETWEEN(1,30))</f>
        <v>R021</v>
      </c>
      <c r="E626" s="3" t="str">
        <f ca="1">INDEX(Vehicles!$A$2:$A$21,RANDBETWEEN(1,20))</f>
        <v>V003</v>
      </c>
      <c r="F626" s="3" t="str">
        <f ca="1">INDEX(Drivers!$A$2:$A$31,RANDBETWEEN(1,30))</f>
        <v>D028</v>
      </c>
      <c r="G626" s="3">
        <f t="shared" ca="1" si="154"/>
        <v>23.9</v>
      </c>
      <c r="H626" s="3">
        <f t="shared" ca="1" si="155"/>
        <v>48930</v>
      </c>
      <c r="I626" s="3">
        <f t="shared" ca="1" si="156"/>
        <v>13700</v>
      </c>
      <c r="J626" s="3">
        <f t="shared" ca="1" si="157"/>
        <v>1151</v>
      </c>
      <c r="K626" s="3">
        <f t="shared" ca="1" si="158"/>
        <v>21</v>
      </c>
      <c r="L626" s="3">
        <f t="shared" ca="1" si="159"/>
        <v>25</v>
      </c>
      <c r="M626" s="3">
        <f t="shared" ca="1" si="160"/>
        <v>4</v>
      </c>
      <c r="N626" s="3" t="str">
        <f t="shared" ca="1" si="161"/>
        <v>Delayed</v>
      </c>
      <c r="O626" s="3" t="str">
        <f t="shared" ca="1" si="162"/>
        <v>Medium</v>
      </c>
      <c r="P626" s="3">
        <f t="shared" ca="1" si="163"/>
        <v>79.7</v>
      </c>
      <c r="Q626" s="1" t="str">
        <f ca="1">VLOOKUP(D626,Routes!$A$2:$D$31,2,FALSE)</f>
        <v>Lucknow</v>
      </c>
      <c r="R626" s="1" t="str">
        <f ca="1">VLOOKUP(D626,Routes!$A$2:$D$31,3,FALSE)</f>
        <v>Kanpur</v>
      </c>
      <c r="S626" s="3">
        <f ca="1">VLOOKUP(D626,Routes!$A$2:$D$31,4,FALSE)</f>
        <v>90</v>
      </c>
      <c r="T626" s="3" t="str">
        <f ca="1">VLOOKUP(E626,Vehicles!$A$2:$D$21,2,FALSE)</f>
        <v>Truck</v>
      </c>
      <c r="U626" s="3">
        <f ca="1">VLOOKUP(E626,Vehicles!$A$2:$D$21,3,FALSE)</f>
        <v>25</v>
      </c>
      <c r="V626" s="3" t="str">
        <f ca="1">VLOOKUP(E626,Vehicles!$A$2:$D$21,4,FALSE)</f>
        <v>Diesel</v>
      </c>
      <c r="W626" s="3">
        <f ca="1">VLOOKUP(V626,Fuel_Rates!$A$2:$B$3,2,FALSE)</f>
        <v>95</v>
      </c>
      <c r="X626" s="3">
        <f t="shared" ca="1" si="165"/>
        <v>543.66999999999996</v>
      </c>
      <c r="Y626" s="3">
        <f t="shared" ca="1" si="166"/>
        <v>63781</v>
      </c>
      <c r="Z626" s="3" t="str">
        <f t="shared" ca="1" si="167"/>
        <v>Oct</v>
      </c>
      <c r="AA626" s="3" t="str">
        <f t="shared" ca="1" si="168"/>
        <v>Q4</v>
      </c>
      <c r="AB626" s="4" t="str">
        <f t="shared" ca="1" si="169"/>
        <v>Short Haul</v>
      </c>
    </row>
    <row r="627" spans="1:28" x14ac:dyDescent="0.3">
      <c r="A627" s="8" t="str">
        <f t="shared" si="164"/>
        <v>S0626</v>
      </c>
      <c r="B627" s="3">
        <f t="shared" ca="1" si="153"/>
        <v>45791</v>
      </c>
      <c r="C627" s="3" t="str">
        <f ca="1">INDEX(Customers!$A$2:$A$21,RANDBETWEEN(1,20))</f>
        <v>C019</v>
      </c>
      <c r="D627" s="3" t="str">
        <f ca="1">INDEX(Routes!$A$2:$A$31,RANDBETWEEN(1,30))</f>
        <v>R026</v>
      </c>
      <c r="E627" s="3" t="str">
        <f ca="1">INDEX(Vehicles!$A$2:$A$21,RANDBETWEEN(1,20))</f>
        <v>V014</v>
      </c>
      <c r="F627" s="3" t="str">
        <f ca="1">INDEX(Drivers!$A$2:$A$31,RANDBETWEEN(1,30))</f>
        <v>D020</v>
      </c>
      <c r="G627" s="3">
        <f t="shared" ca="1" si="154"/>
        <v>18.2</v>
      </c>
      <c r="H627" s="3">
        <f t="shared" ca="1" si="155"/>
        <v>39449</v>
      </c>
      <c r="I627" s="3">
        <f t="shared" ca="1" si="156"/>
        <v>11046</v>
      </c>
      <c r="J627" s="3">
        <f t="shared" ca="1" si="157"/>
        <v>2825</v>
      </c>
      <c r="K627" s="3">
        <f t="shared" ca="1" si="158"/>
        <v>8</v>
      </c>
      <c r="L627" s="3">
        <f t="shared" ca="1" si="159"/>
        <v>11</v>
      </c>
      <c r="M627" s="3">
        <f t="shared" ca="1" si="160"/>
        <v>3</v>
      </c>
      <c r="N627" s="3" t="str">
        <f t="shared" ca="1" si="161"/>
        <v>Delayed</v>
      </c>
      <c r="O627" s="3" t="str">
        <f t="shared" ca="1" si="162"/>
        <v>Medium</v>
      </c>
      <c r="P627" s="3">
        <f t="shared" ca="1" si="163"/>
        <v>60.7</v>
      </c>
      <c r="Q627" s="1" t="str">
        <f ca="1">VLOOKUP(D627,Routes!$A$2:$D$31,2,FALSE)</f>
        <v>Nagpur</v>
      </c>
      <c r="R627" s="1" t="str">
        <f ca="1">VLOOKUP(D627,Routes!$A$2:$D$31,3,FALSE)</f>
        <v>Bhopal</v>
      </c>
      <c r="S627" s="3">
        <f ca="1">VLOOKUP(D627,Routes!$A$2:$D$31,4,FALSE)</f>
        <v>350</v>
      </c>
      <c r="T627" s="3" t="str">
        <f ca="1">VLOOKUP(E627,Vehicles!$A$2:$D$21,2,FALSE)</f>
        <v>LCV</v>
      </c>
      <c r="U627" s="3">
        <f ca="1">VLOOKUP(E627,Vehicles!$A$2:$D$21,3,FALSE)</f>
        <v>6</v>
      </c>
      <c r="V627" s="3" t="str">
        <f ca="1">VLOOKUP(E627,Vehicles!$A$2:$D$21,4,FALSE)</f>
        <v>CNG</v>
      </c>
      <c r="W627" s="3">
        <f ca="1">VLOOKUP(V627,Fuel_Rates!$A$2:$B$3,2,FALSE)</f>
        <v>78</v>
      </c>
      <c r="X627" s="3">
        <f t="shared" ca="1" si="165"/>
        <v>112.71</v>
      </c>
      <c r="Y627" s="3">
        <f t="shared" ca="1" si="166"/>
        <v>53320</v>
      </c>
      <c r="Z627" s="3" t="str">
        <f t="shared" ca="1" si="167"/>
        <v>May</v>
      </c>
      <c r="AA627" s="3" t="str">
        <f t="shared" ca="1" si="168"/>
        <v>Q2</v>
      </c>
      <c r="AB627" s="4" t="str">
        <f t="shared" ca="1" si="169"/>
        <v>Medium Haul</v>
      </c>
    </row>
    <row r="628" spans="1:28" x14ac:dyDescent="0.3">
      <c r="A628" s="8" t="str">
        <f t="shared" si="164"/>
        <v>S0627</v>
      </c>
      <c r="B628" s="3">
        <f t="shared" ca="1" si="153"/>
        <v>45798</v>
      </c>
      <c r="C628" s="3" t="str">
        <f ca="1">INDEX(Customers!$A$2:$A$21,RANDBETWEEN(1,20))</f>
        <v>C007</v>
      </c>
      <c r="D628" s="3" t="str">
        <f ca="1">INDEX(Routes!$A$2:$A$31,RANDBETWEEN(1,30))</f>
        <v>R022</v>
      </c>
      <c r="E628" s="3" t="str">
        <f ca="1">INDEX(Vehicles!$A$2:$A$21,RANDBETWEEN(1,20))</f>
        <v>V005</v>
      </c>
      <c r="F628" s="3" t="str">
        <f ca="1">INDEX(Drivers!$A$2:$A$31,RANDBETWEEN(1,30))</f>
        <v>D027</v>
      </c>
      <c r="G628" s="3">
        <f t="shared" ca="1" si="154"/>
        <v>11.2</v>
      </c>
      <c r="H628" s="3">
        <f t="shared" ca="1" si="155"/>
        <v>24397</v>
      </c>
      <c r="I628" s="3">
        <f t="shared" ca="1" si="156"/>
        <v>6831</v>
      </c>
      <c r="J628" s="3">
        <f t="shared" ca="1" si="157"/>
        <v>1753</v>
      </c>
      <c r="K628" s="3">
        <f t="shared" ca="1" si="158"/>
        <v>43</v>
      </c>
      <c r="L628" s="3">
        <f t="shared" ca="1" si="159"/>
        <v>47</v>
      </c>
      <c r="M628" s="3">
        <f t="shared" ca="1" si="160"/>
        <v>4</v>
      </c>
      <c r="N628" s="3" t="str">
        <f t="shared" ca="1" si="161"/>
        <v>Delayed</v>
      </c>
      <c r="O628" s="3" t="str">
        <f t="shared" ca="1" si="162"/>
        <v>Low</v>
      </c>
      <c r="P628" s="3">
        <f t="shared" ca="1" si="163"/>
        <v>37.299999999999997</v>
      </c>
      <c r="Q628" s="1" t="str">
        <f ca="1">VLOOKUP(D628,Routes!$A$2:$D$31,2,FALSE)</f>
        <v>Jaipur</v>
      </c>
      <c r="R628" s="1" t="str">
        <f ca="1">VLOOKUP(D628,Routes!$A$2:$D$31,3,FALSE)</f>
        <v>Indore</v>
      </c>
      <c r="S628" s="3">
        <f ca="1">VLOOKUP(D628,Routes!$A$2:$D$31,4,FALSE)</f>
        <v>600</v>
      </c>
      <c r="T628" s="3" t="str">
        <f ca="1">VLOOKUP(E628,Vehicles!$A$2:$D$21,2,FALSE)</f>
        <v>Trailer</v>
      </c>
      <c r="U628" s="3">
        <f ca="1">VLOOKUP(E628,Vehicles!$A$2:$D$21,3,FALSE)</f>
        <v>32</v>
      </c>
      <c r="V628" s="3" t="str">
        <f ca="1">VLOOKUP(E628,Vehicles!$A$2:$D$21,4,FALSE)</f>
        <v>Diesel</v>
      </c>
      <c r="W628" s="3">
        <f ca="1">VLOOKUP(V628,Fuel_Rates!$A$2:$B$3,2,FALSE)</f>
        <v>95</v>
      </c>
      <c r="X628" s="3">
        <f t="shared" ca="1" si="165"/>
        <v>40.659999999999997</v>
      </c>
      <c r="Y628" s="3">
        <f t="shared" ca="1" si="166"/>
        <v>32981</v>
      </c>
      <c r="Z628" s="3" t="str">
        <f t="shared" ca="1" si="167"/>
        <v>May</v>
      </c>
      <c r="AA628" s="3" t="str">
        <f t="shared" ca="1" si="168"/>
        <v>Q2</v>
      </c>
      <c r="AB628" s="4" t="str">
        <f t="shared" ca="1" si="169"/>
        <v>Medium Haul</v>
      </c>
    </row>
    <row r="629" spans="1:28" x14ac:dyDescent="0.3">
      <c r="A629" s="8" t="str">
        <f t="shared" si="164"/>
        <v>S0628</v>
      </c>
      <c r="B629" s="3">
        <f t="shared" ca="1" si="153"/>
        <v>46012</v>
      </c>
      <c r="C629" s="3" t="str">
        <f ca="1">INDEX(Customers!$A$2:$A$21,RANDBETWEEN(1,20))</f>
        <v>C013</v>
      </c>
      <c r="D629" s="3" t="str">
        <f ca="1">INDEX(Routes!$A$2:$A$31,RANDBETWEEN(1,30))</f>
        <v>R029</v>
      </c>
      <c r="E629" s="3" t="str">
        <f ca="1">INDEX(Vehicles!$A$2:$A$21,RANDBETWEEN(1,20))</f>
        <v>V020</v>
      </c>
      <c r="F629" s="3" t="str">
        <f ca="1">INDEX(Drivers!$A$2:$A$31,RANDBETWEEN(1,30))</f>
        <v>D009</v>
      </c>
      <c r="G629" s="3">
        <f t="shared" ca="1" si="154"/>
        <v>15.6</v>
      </c>
      <c r="H629" s="3">
        <f t="shared" ca="1" si="155"/>
        <v>39167</v>
      </c>
      <c r="I629" s="3">
        <f t="shared" ca="1" si="156"/>
        <v>10967</v>
      </c>
      <c r="J629" s="3">
        <f t="shared" ca="1" si="157"/>
        <v>1821</v>
      </c>
      <c r="K629" s="3">
        <f t="shared" ca="1" si="158"/>
        <v>27</v>
      </c>
      <c r="L629" s="3">
        <f t="shared" ca="1" si="159"/>
        <v>30</v>
      </c>
      <c r="M629" s="3">
        <f t="shared" ca="1" si="160"/>
        <v>3</v>
      </c>
      <c r="N629" s="3" t="str">
        <f t="shared" ca="1" si="161"/>
        <v>Delayed</v>
      </c>
      <c r="O629" s="3" t="str">
        <f t="shared" ca="1" si="162"/>
        <v>Medium</v>
      </c>
      <c r="P629" s="3">
        <f t="shared" ca="1" si="163"/>
        <v>52</v>
      </c>
      <c r="Q629" s="1" t="str">
        <f ca="1">VLOOKUP(D629,Routes!$A$2:$D$31,2,FALSE)</f>
        <v>Chandigarh</v>
      </c>
      <c r="R629" s="1" t="str">
        <f ca="1">VLOOKUP(D629,Routes!$A$2:$D$31,3,FALSE)</f>
        <v>Delhi</v>
      </c>
      <c r="S629" s="3">
        <f ca="1">VLOOKUP(D629,Routes!$A$2:$D$31,4,FALSE)</f>
        <v>250</v>
      </c>
      <c r="T629" s="3" t="str">
        <f ca="1">VLOOKUP(E629,Vehicles!$A$2:$D$21,2,FALSE)</f>
        <v>Container</v>
      </c>
      <c r="U629" s="3">
        <f ca="1">VLOOKUP(E629,Vehicles!$A$2:$D$21,3,FALSE)</f>
        <v>28</v>
      </c>
      <c r="V629" s="3" t="str">
        <f ca="1">VLOOKUP(E629,Vehicles!$A$2:$D$21,4,FALSE)</f>
        <v>Diesel</v>
      </c>
      <c r="W629" s="3">
        <f ca="1">VLOOKUP(V629,Fuel_Rates!$A$2:$B$3,2,FALSE)</f>
        <v>95</v>
      </c>
      <c r="X629" s="3">
        <f t="shared" ca="1" si="165"/>
        <v>156.66999999999999</v>
      </c>
      <c r="Y629" s="3">
        <f t="shared" ca="1" si="166"/>
        <v>51955</v>
      </c>
      <c r="Z629" s="3" t="str">
        <f t="shared" ca="1" si="167"/>
        <v>Dec</v>
      </c>
      <c r="AA629" s="3" t="str">
        <f t="shared" ca="1" si="168"/>
        <v>Q4</v>
      </c>
      <c r="AB629" s="4" t="str">
        <f t="shared" ca="1" si="169"/>
        <v>Short Haul</v>
      </c>
    </row>
    <row r="630" spans="1:28" x14ac:dyDescent="0.3">
      <c r="A630" s="8" t="str">
        <f t="shared" si="164"/>
        <v>S0629</v>
      </c>
      <c r="B630" s="3">
        <f t="shared" ca="1" si="153"/>
        <v>45877</v>
      </c>
      <c r="C630" s="3" t="str">
        <f ca="1">INDEX(Customers!$A$2:$A$21,RANDBETWEEN(1,20))</f>
        <v>C013</v>
      </c>
      <c r="D630" s="3" t="str">
        <f ca="1">INDEX(Routes!$A$2:$A$31,RANDBETWEEN(1,30))</f>
        <v>R015</v>
      </c>
      <c r="E630" s="3" t="str">
        <f ca="1">INDEX(Vehicles!$A$2:$A$21,RANDBETWEEN(1,20))</f>
        <v>V017</v>
      </c>
      <c r="F630" s="3" t="str">
        <f ca="1">INDEX(Drivers!$A$2:$A$31,RANDBETWEEN(1,30))</f>
        <v>D005</v>
      </c>
      <c r="G630" s="3">
        <f t="shared" ca="1" si="154"/>
        <v>10.9</v>
      </c>
      <c r="H630" s="3">
        <f t="shared" ca="1" si="155"/>
        <v>28201</v>
      </c>
      <c r="I630" s="3">
        <f t="shared" ca="1" si="156"/>
        <v>7896</v>
      </c>
      <c r="J630" s="3">
        <f t="shared" ca="1" si="157"/>
        <v>1695</v>
      </c>
      <c r="K630" s="3">
        <f t="shared" ca="1" si="158"/>
        <v>48</v>
      </c>
      <c r="L630" s="3">
        <f t="shared" ca="1" si="159"/>
        <v>55</v>
      </c>
      <c r="M630" s="3">
        <f t="shared" ca="1" si="160"/>
        <v>7</v>
      </c>
      <c r="N630" s="3" t="str">
        <f t="shared" ca="1" si="161"/>
        <v>Delayed</v>
      </c>
      <c r="O630" s="3" t="str">
        <f t="shared" ca="1" si="162"/>
        <v>High</v>
      </c>
      <c r="P630" s="3">
        <f t="shared" ca="1" si="163"/>
        <v>36.299999999999997</v>
      </c>
      <c r="Q630" s="1" t="str">
        <f ca="1">VLOOKUP(D630,Routes!$A$2:$D$31,2,FALSE)</f>
        <v>Hyderabad</v>
      </c>
      <c r="R630" s="1" t="str">
        <f ca="1">VLOOKUP(D630,Routes!$A$2:$D$31,3,FALSE)</f>
        <v>Pune</v>
      </c>
      <c r="S630" s="3">
        <f ca="1">VLOOKUP(D630,Routes!$A$2:$D$31,4,FALSE)</f>
        <v>560</v>
      </c>
      <c r="T630" s="3" t="str">
        <f ca="1">VLOOKUP(E630,Vehicles!$A$2:$D$21,2,FALSE)</f>
        <v>Truck</v>
      </c>
      <c r="U630" s="3">
        <f ca="1">VLOOKUP(E630,Vehicles!$A$2:$D$21,3,FALSE)</f>
        <v>24</v>
      </c>
      <c r="V630" s="3" t="str">
        <f ca="1">VLOOKUP(E630,Vehicles!$A$2:$D$21,4,FALSE)</f>
        <v>Diesel</v>
      </c>
      <c r="W630" s="3">
        <f ca="1">VLOOKUP(V630,Fuel_Rates!$A$2:$B$3,2,FALSE)</f>
        <v>95</v>
      </c>
      <c r="X630" s="3">
        <f t="shared" ca="1" si="165"/>
        <v>50.36</v>
      </c>
      <c r="Y630" s="3">
        <f t="shared" ca="1" si="166"/>
        <v>37792</v>
      </c>
      <c r="Z630" s="3" t="str">
        <f t="shared" ca="1" si="167"/>
        <v>Aug</v>
      </c>
      <c r="AA630" s="3" t="str">
        <f t="shared" ca="1" si="168"/>
        <v>Q3</v>
      </c>
      <c r="AB630" s="4" t="str">
        <f t="shared" ca="1" si="169"/>
        <v>Medium Haul</v>
      </c>
    </row>
    <row r="631" spans="1:28" x14ac:dyDescent="0.3">
      <c r="A631" s="8" t="str">
        <f t="shared" si="164"/>
        <v>S0630</v>
      </c>
      <c r="B631" s="3">
        <f t="shared" ca="1" si="153"/>
        <v>45957</v>
      </c>
      <c r="C631" s="3" t="str">
        <f ca="1">INDEX(Customers!$A$2:$A$21,RANDBETWEEN(1,20))</f>
        <v>C006</v>
      </c>
      <c r="D631" s="3" t="str">
        <f ca="1">INDEX(Routes!$A$2:$A$31,RANDBETWEEN(1,30))</f>
        <v>R023</v>
      </c>
      <c r="E631" s="3" t="str">
        <f ca="1">INDEX(Vehicles!$A$2:$A$21,RANDBETWEEN(1,20))</f>
        <v>V013</v>
      </c>
      <c r="F631" s="3" t="str">
        <f ca="1">INDEX(Drivers!$A$2:$A$31,RANDBETWEEN(1,30))</f>
        <v>D023</v>
      </c>
      <c r="G631" s="3">
        <f t="shared" ca="1" si="154"/>
        <v>6.3</v>
      </c>
      <c r="H631" s="3">
        <f t="shared" ca="1" si="155"/>
        <v>14496</v>
      </c>
      <c r="I631" s="3">
        <f t="shared" ca="1" si="156"/>
        <v>4059</v>
      </c>
      <c r="J631" s="3">
        <f t="shared" ca="1" si="157"/>
        <v>768</v>
      </c>
      <c r="K631" s="3">
        <f t="shared" ca="1" si="158"/>
        <v>20</v>
      </c>
      <c r="L631" s="3">
        <f t="shared" ca="1" si="159"/>
        <v>27</v>
      </c>
      <c r="M631" s="3">
        <f t="shared" ca="1" si="160"/>
        <v>7</v>
      </c>
      <c r="N631" s="3" t="str">
        <f t="shared" ca="1" si="161"/>
        <v>Delayed</v>
      </c>
      <c r="O631" s="3" t="str">
        <f t="shared" ca="1" si="162"/>
        <v>Medium</v>
      </c>
      <c r="P631" s="3">
        <f t="shared" ca="1" si="163"/>
        <v>21</v>
      </c>
      <c r="Q631" s="1" t="str">
        <f ca="1">VLOOKUP(D631,Routes!$A$2:$D$31,2,FALSE)</f>
        <v>Kochi</v>
      </c>
      <c r="R631" s="1" t="str">
        <f ca="1">VLOOKUP(D631,Routes!$A$2:$D$31,3,FALSE)</f>
        <v>Bengaluru</v>
      </c>
      <c r="S631" s="3">
        <f ca="1">VLOOKUP(D631,Routes!$A$2:$D$31,4,FALSE)</f>
        <v>550</v>
      </c>
      <c r="T631" s="3" t="str">
        <f ca="1">VLOOKUP(E631,Vehicles!$A$2:$D$21,2,FALSE)</f>
        <v>LCV</v>
      </c>
      <c r="U631" s="3">
        <f ca="1">VLOOKUP(E631,Vehicles!$A$2:$D$21,3,FALSE)</f>
        <v>4</v>
      </c>
      <c r="V631" s="3" t="str">
        <f ca="1">VLOOKUP(E631,Vehicles!$A$2:$D$21,4,FALSE)</f>
        <v>CNG</v>
      </c>
      <c r="W631" s="3">
        <f ca="1">VLOOKUP(V631,Fuel_Rates!$A$2:$B$3,2,FALSE)</f>
        <v>78</v>
      </c>
      <c r="X631" s="3">
        <f t="shared" ca="1" si="165"/>
        <v>26.36</v>
      </c>
      <c r="Y631" s="3">
        <f t="shared" ca="1" si="166"/>
        <v>19323</v>
      </c>
      <c r="Z631" s="3" t="str">
        <f t="shared" ca="1" si="167"/>
        <v>Oct</v>
      </c>
      <c r="AA631" s="3" t="str">
        <f t="shared" ca="1" si="168"/>
        <v>Q4</v>
      </c>
      <c r="AB631" s="4" t="str">
        <f t="shared" ca="1" si="169"/>
        <v>Medium Haul</v>
      </c>
    </row>
    <row r="632" spans="1:28" x14ac:dyDescent="0.3">
      <c r="A632" s="8" t="str">
        <f t="shared" si="164"/>
        <v>S0631</v>
      </c>
      <c r="B632" s="3">
        <f t="shared" ca="1" si="153"/>
        <v>46018</v>
      </c>
      <c r="C632" s="3" t="str">
        <f ca="1">INDEX(Customers!$A$2:$A$21,RANDBETWEEN(1,20))</f>
        <v>C006</v>
      </c>
      <c r="D632" s="3" t="str">
        <f ca="1">INDEX(Routes!$A$2:$A$31,RANDBETWEEN(1,30))</f>
        <v>R016</v>
      </c>
      <c r="E632" s="3" t="str">
        <f ca="1">INDEX(Vehicles!$A$2:$A$21,RANDBETWEEN(1,20))</f>
        <v>V004</v>
      </c>
      <c r="F632" s="3" t="str">
        <f ca="1">INDEX(Drivers!$A$2:$A$31,RANDBETWEEN(1,30))</f>
        <v>D007</v>
      </c>
      <c r="G632" s="3">
        <f t="shared" ca="1" si="154"/>
        <v>12.4</v>
      </c>
      <c r="H632" s="3">
        <f t="shared" ca="1" si="155"/>
        <v>36086</v>
      </c>
      <c r="I632" s="3">
        <f t="shared" ca="1" si="156"/>
        <v>10104</v>
      </c>
      <c r="J632" s="3">
        <f t="shared" ca="1" si="157"/>
        <v>500</v>
      </c>
      <c r="K632" s="3">
        <f t="shared" ca="1" si="158"/>
        <v>19</v>
      </c>
      <c r="L632" s="3">
        <f t="shared" ca="1" si="159"/>
        <v>22</v>
      </c>
      <c r="M632" s="3">
        <f t="shared" ca="1" si="160"/>
        <v>3</v>
      </c>
      <c r="N632" s="3" t="str">
        <f t="shared" ca="1" si="161"/>
        <v>Delayed</v>
      </c>
      <c r="O632" s="3" t="str">
        <f t="shared" ca="1" si="162"/>
        <v>High</v>
      </c>
      <c r="P632" s="3">
        <f t="shared" ca="1" si="163"/>
        <v>41.3</v>
      </c>
      <c r="Q632" s="1" t="str">
        <f ca="1">VLOOKUP(D632,Routes!$A$2:$D$31,2,FALSE)</f>
        <v>Kolkata</v>
      </c>
      <c r="R632" s="1" t="str">
        <f ca="1">VLOOKUP(D632,Routes!$A$2:$D$31,3,FALSE)</f>
        <v>Bhubaneswar</v>
      </c>
      <c r="S632" s="3">
        <f ca="1">VLOOKUP(D632,Routes!$A$2:$D$31,4,FALSE)</f>
        <v>440</v>
      </c>
      <c r="T632" s="3" t="str">
        <f ca="1">VLOOKUP(E632,Vehicles!$A$2:$D$21,2,FALSE)</f>
        <v>Trailer</v>
      </c>
      <c r="U632" s="3">
        <f ca="1">VLOOKUP(E632,Vehicles!$A$2:$D$21,3,FALSE)</f>
        <v>28</v>
      </c>
      <c r="V632" s="3" t="str">
        <f ca="1">VLOOKUP(E632,Vehicles!$A$2:$D$21,4,FALSE)</f>
        <v>Diesel</v>
      </c>
      <c r="W632" s="3">
        <f ca="1">VLOOKUP(V632,Fuel_Rates!$A$2:$B$3,2,FALSE)</f>
        <v>95</v>
      </c>
      <c r="X632" s="3">
        <f t="shared" ca="1" si="165"/>
        <v>82.01</v>
      </c>
      <c r="Y632" s="3">
        <f t="shared" ca="1" si="166"/>
        <v>46690</v>
      </c>
      <c r="Z632" s="3" t="str">
        <f t="shared" ca="1" si="167"/>
        <v>Dec</v>
      </c>
      <c r="AA632" s="3" t="str">
        <f t="shared" ca="1" si="168"/>
        <v>Q4</v>
      </c>
      <c r="AB632" s="4" t="str">
        <f t="shared" ca="1" si="169"/>
        <v>Medium Haul</v>
      </c>
    </row>
    <row r="633" spans="1:28" x14ac:dyDescent="0.3">
      <c r="A633" s="8" t="str">
        <f t="shared" si="164"/>
        <v>S0632</v>
      </c>
      <c r="B633" s="3">
        <f t="shared" ca="1" si="153"/>
        <v>45933</v>
      </c>
      <c r="C633" s="3" t="str">
        <f ca="1">INDEX(Customers!$A$2:$A$21,RANDBETWEEN(1,20))</f>
        <v>C020</v>
      </c>
      <c r="D633" s="3" t="str">
        <f ca="1">INDEX(Routes!$A$2:$A$31,RANDBETWEEN(1,30))</f>
        <v>R002</v>
      </c>
      <c r="E633" s="3" t="str">
        <f ca="1">INDEX(Vehicles!$A$2:$A$21,RANDBETWEEN(1,20))</f>
        <v>V014</v>
      </c>
      <c r="F633" s="3" t="str">
        <f ca="1">INDEX(Drivers!$A$2:$A$31,RANDBETWEEN(1,30))</f>
        <v>D004</v>
      </c>
      <c r="G633" s="3">
        <f t="shared" ca="1" si="154"/>
        <v>7.2</v>
      </c>
      <c r="H633" s="3">
        <f t="shared" ca="1" si="155"/>
        <v>23039</v>
      </c>
      <c r="I633" s="3">
        <f t="shared" ca="1" si="156"/>
        <v>6451</v>
      </c>
      <c r="J633" s="3">
        <f t="shared" ca="1" si="157"/>
        <v>935</v>
      </c>
      <c r="K633" s="3">
        <f t="shared" ca="1" si="158"/>
        <v>35</v>
      </c>
      <c r="L633" s="3">
        <f t="shared" ca="1" si="159"/>
        <v>40</v>
      </c>
      <c r="M633" s="3">
        <f t="shared" ca="1" si="160"/>
        <v>5</v>
      </c>
      <c r="N633" s="3" t="str">
        <f t="shared" ca="1" si="161"/>
        <v>Delayed</v>
      </c>
      <c r="O633" s="3" t="str">
        <f t="shared" ca="1" si="162"/>
        <v>Medium</v>
      </c>
      <c r="P633" s="3">
        <f t="shared" ca="1" si="163"/>
        <v>24</v>
      </c>
      <c r="Q633" s="1" t="str">
        <f ca="1">VLOOKUP(D633,Routes!$A$2:$D$31,2,FALSE)</f>
        <v>Mumbai</v>
      </c>
      <c r="R633" s="1" t="str">
        <f ca="1">VLOOKUP(D633,Routes!$A$2:$D$31,3,FALSE)</f>
        <v>Ahmedabad</v>
      </c>
      <c r="S633" s="3">
        <f ca="1">VLOOKUP(D633,Routes!$A$2:$D$31,4,FALSE)</f>
        <v>530</v>
      </c>
      <c r="T633" s="3" t="str">
        <f ca="1">VLOOKUP(E633,Vehicles!$A$2:$D$21,2,FALSE)</f>
        <v>LCV</v>
      </c>
      <c r="U633" s="3">
        <f ca="1">VLOOKUP(E633,Vehicles!$A$2:$D$21,3,FALSE)</f>
        <v>6</v>
      </c>
      <c r="V633" s="3" t="str">
        <f ca="1">VLOOKUP(E633,Vehicles!$A$2:$D$21,4,FALSE)</f>
        <v>CNG</v>
      </c>
      <c r="W633" s="3">
        <f ca="1">VLOOKUP(V633,Fuel_Rates!$A$2:$B$3,2,FALSE)</f>
        <v>78</v>
      </c>
      <c r="X633" s="3">
        <f t="shared" ca="1" si="165"/>
        <v>43.47</v>
      </c>
      <c r="Y633" s="3">
        <f t="shared" ca="1" si="166"/>
        <v>30425</v>
      </c>
      <c r="Z633" s="3" t="str">
        <f t="shared" ca="1" si="167"/>
        <v>Oct</v>
      </c>
      <c r="AA633" s="3" t="str">
        <f t="shared" ca="1" si="168"/>
        <v>Q4</v>
      </c>
      <c r="AB633" s="4" t="str">
        <f t="shared" ca="1" si="169"/>
        <v>Medium Haul</v>
      </c>
    </row>
    <row r="634" spans="1:28" x14ac:dyDescent="0.3">
      <c r="A634" s="8" t="str">
        <f t="shared" si="164"/>
        <v>S0633</v>
      </c>
      <c r="B634" s="3">
        <f t="shared" ca="1" si="153"/>
        <v>45770</v>
      </c>
      <c r="C634" s="3" t="str">
        <f ca="1">INDEX(Customers!$A$2:$A$21,RANDBETWEEN(1,20))</f>
        <v>C017</v>
      </c>
      <c r="D634" s="3" t="str">
        <f ca="1">INDEX(Routes!$A$2:$A$31,RANDBETWEEN(1,30))</f>
        <v>R022</v>
      </c>
      <c r="E634" s="3" t="str">
        <f ca="1">INDEX(Vehicles!$A$2:$A$21,RANDBETWEEN(1,20))</f>
        <v>V009</v>
      </c>
      <c r="F634" s="3" t="str">
        <f ca="1">INDEX(Drivers!$A$2:$A$31,RANDBETWEEN(1,30))</f>
        <v>D028</v>
      </c>
      <c r="G634" s="3">
        <f t="shared" ca="1" si="154"/>
        <v>30</v>
      </c>
      <c r="H634" s="3">
        <f t="shared" ca="1" si="155"/>
        <v>58402</v>
      </c>
      <c r="I634" s="3">
        <f t="shared" ca="1" si="156"/>
        <v>16353</v>
      </c>
      <c r="J634" s="3">
        <f t="shared" ca="1" si="157"/>
        <v>1596</v>
      </c>
      <c r="K634" s="3">
        <f t="shared" ca="1" si="158"/>
        <v>35</v>
      </c>
      <c r="L634" s="3">
        <f t="shared" ca="1" si="159"/>
        <v>35</v>
      </c>
      <c r="M634" s="3">
        <f t="shared" ca="1" si="160"/>
        <v>0</v>
      </c>
      <c r="N634" s="3" t="str">
        <f t="shared" ca="1" si="161"/>
        <v>On Time</v>
      </c>
      <c r="O634" s="3" t="str">
        <f t="shared" ca="1" si="162"/>
        <v>Medium</v>
      </c>
      <c r="P634" s="3">
        <f t="shared" ca="1" si="163"/>
        <v>100</v>
      </c>
      <c r="Q634" s="1" t="str">
        <f ca="1">VLOOKUP(D634,Routes!$A$2:$D$31,2,FALSE)</f>
        <v>Jaipur</v>
      </c>
      <c r="R634" s="1" t="str">
        <f ca="1">VLOOKUP(D634,Routes!$A$2:$D$31,3,FALSE)</f>
        <v>Indore</v>
      </c>
      <c r="S634" s="3">
        <f ca="1">VLOOKUP(D634,Routes!$A$2:$D$31,4,FALSE)</f>
        <v>600</v>
      </c>
      <c r="T634" s="3" t="str">
        <f ca="1">VLOOKUP(E634,Vehicles!$A$2:$D$21,2,FALSE)</f>
        <v>LCV</v>
      </c>
      <c r="U634" s="3">
        <f ca="1">VLOOKUP(E634,Vehicles!$A$2:$D$21,3,FALSE)</f>
        <v>5</v>
      </c>
      <c r="V634" s="3" t="str">
        <f ca="1">VLOOKUP(E634,Vehicles!$A$2:$D$21,4,FALSE)</f>
        <v>Diesel</v>
      </c>
      <c r="W634" s="3">
        <f ca="1">VLOOKUP(V634,Fuel_Rates!$A$2:$B$3,2,FALSE)</f>
        <v>95</v>
      </c>
      <c r="X634" s="3">
        <f t="shared" ca="1" si="165"/>
        <v>97.34</v>
      </c>
      <c r="Y634" s="3">
        <f t="shared" ca="1" si="166"/>
        <v>76351</v>
      </c>
      <c r="Z634" s="3" t="str">
        <f t="shared" ca="1" si="167"/>
        <v>Apr</v>
      </c>
      <c r="AA634" s="3" t="str">
        <f t="shared" ca="1" si="168"/>
        <v>Q2</v>
      </c>
      <c r="AB634" s="4" t="str">
        <f t="shared" ca="1" si="169"/>
        <v>Medium Haul</v>
      </c>
    </row>
    <row r="635" spans="1:28" x14ac:dyDescent="0.3">
      <c r="A635" s="8" t="str">
        <f t="shared" si="164"/>
        <v>S0634</v>
      </c>
      <c r="B635" s="3">
        <f t="shared" ca="1" si="153"/>
        <v>45713</v>
      </c>
      <c r="C635" s="3" t="str">
        <f ca="1">INDEX(Customers!$A$2:$A$21,RANDBETWEEN(1,20))</f>
        <v>C006</v>
      </c>
      <c r="D635" s="3" t="str">
        <f ca="1">INDEX(Routes!$A$2:$A$31,RANDBETWEEN(1,30))</f>
        <v>R008</v>
      </c>
      <c r="E635" s="3" t="str">
        <f ca="1">INDEX(Vehicles!$A$2:$A$21,RANDBETWEEN(1,20))</f>
        <v>V011</v>
      </c>
      <c r="F635" s="3" t="str">
        <f ca="1">INDEX(Drivers!$A$2:$A$31,RANDBETWEEN(1,30))</f>
        <v>D026</v>
      </c>
      <c r="G635" s="3">
        <f t="shared" ca="1" si="154"/>
        <v>16.3</v>
      </c>
      <c r="H635" s="3">
        <f t="shared" ca="1" si="155"/>
        <v>41418</v>
      </c>
      <c r="I635" s="3">
        <f t="shared" ca="1" si="156"/>
        <v>11597</v>
      </c>
      <c r="J635" s="3">
        <f t="shared" ca="1" si="157"/>
        <v>889</v>
      </c>
      <c r="K635" s="3">
        <f t="shared" ca="1" si="158"/>
        <v>37</v>
      </c>
      <c r="L635" s="3">
        <f t="shared" ca="1" si="159"/>
        <v>42</v>
      </c>
      <c r="M635" s="3">
        <f t="shared" ca="1" si="160"/>
        <v>5</v>
      </c>
      <c r="N635" s="3" t="str">
        <f t="shared" ca="1" si="161"/>
        <v>Delayed</v>
      </c>
      <c r="O635" s="3" t="str">
        <f t="shared" ca="1" si="162"/>
        <v>Low</v>
      </c>
      <c r="P635" s="3">
        <f t="shared" ca="1" si="163"/>
        <v>54.3</v>
      </c>
      <c r="Q635" s="1" t="str">
        <f ca="1">VLOOKUP(D635,Routes!$A$2:$D$31,2,FALSE)</f>
        <v>Delhi</v>
      </c>
      <c r="R635" s="1" t="str">
        <f ca="1">VLOOKUP(D635,Routes!$A$2:$D$31,3,FALSE)</f>
        <v>Kolkata</v>
      </c>
      <c r="S635" s="3">
        <f ca="1">VLOOKUP(D635,Routes!$A$2:$D$31,4,FALSE)</f>
        <v>1500</v>
      </c>
      <c r="T635" s="3" t="str">
        <f ca="1">VLOOKUP(E635,Vehicles!$A$2:$D$21,2,FALSE)</f>
        <v>Truck</v>
      </c>
      <c r="U635" s="3">
        <f ca="1">VLOOKUP(E635,Vehicles!$A$2:$D$21,3,FALSE)</f>
        <v>18</v>
      </c>
      <c r="V635" s="3" t="str">
        <f ca="1">VLOOKUP(E635,Vehicles!$A$2:$D$21,4,FALSE)</f>
        <v>CNG</v>
      </c>
      <c r="W635" s="3">
        <f ca="1">VLOOKUP(V635,Fuel_Rates!$A$2:$B$3,2,FALSE)</f>
        <v>78</v>
      </c>
      <c r="X635" s="3">
        <f t="shared" ca="1" si="165"/>
        <v>27.61</v>
      </c>
      <c r="Y635" s="3">
        <f t="shared" ca="1" si="166"/>
        <v>53904</v>
      </c>
      <c r="Z635" s="3" t="str">
        <f t="shared" ca="1" si="167"/>
        <v>Feb</v>
      </c>
      <c r="AA635" s="3" t="str">
        <f t="shared" ca="1" si="168"/>
        <v>Q1</v>
      </c>
      <c r="AB635" s="4" t="str">
        <f t="shared" ca="1" si="169"/>
        <v>Long Haul</v>
      </c>
    </row>
    <row r="636" spans="1:28" x14ac:dyDescent="0.3">
      <c r="A636" s="8" t="str">
        <f t="shared" si="164"/>
        <v>S0635</v>
      </c>
      <c r="B636" s="3">
        <f t="shared" ca="1" si="153"/>
        <v>45663</v>
      </c>
      <c r="C636" s="3" t="str">
        <f ca="1">INDEX(Customers!$A$2:$A$21,RANDBETWEEN(1,20))</f>
        <v>C007</v>
      </c>
      <c r="D636" s="3" t="str">
        <f ca="1">INDEX(Routes!$A$2:$A$31,RANDBETWEEN(1,30))</f>
        <v>R006</v>
      </c>
      <c r="E636" s="3" t="str">
        <f ca="1">INDEX(Vehicles!$A$2:$A$21,RANDBETWEEN(1,20))</f>
        <v>V010</v>
      </c>
      <c r="F636" s="3" t="str">
        <f ca="1">INDEX(Drivers!$A$2:$A$31,RANDBETWEEN(1,30))</f>
        <v>D029</v>
      </c>
      <c r="G636" s="3">
        <f t="shared" ca="1" si="154"/>
        <v>2.4</v>
      </c>
      <c r="H636" s="3">
        <f t="shared" ca="1" si="155"/>
        <v>7796</v>
      </c>
      <c r="I636" s="3">
        <f t="shared" ca="1" si="156"/>
        <v>2183</v>
      </c>
      <c r="J636" s="3">
        <f t="shared" ca="1" si="157"/>
        <v>3091</v>
      </c>
      <c r="K636" s="3">
        <f t="shared" ca="1" si="158"/>
        <v>20</v>
      </c>
      <c r="L636" s="3">
        <f t="shared" ca="1" si="159"/>
        <v>24</v>
      </c>
      <c r="M636" s="3">
        <f t="shared" ca="1" si="160"/>
        <v>4</v>
      </c>
      <c r="N636" s="3" t="str">
        <f t="shared" ca="1" si="161"/>
        <v>Delayed</v>
      </c>
      <c r="O636" s="3" t="str">
        <f t="shared" ca="1" si="162"/>
        <v>Low</v>
      </c>
      <c r="P636" s="3">
        <f t="shared" ca="1" si="163"/>
        <v>8</v>
      </c>
      <c r="Q636" s="1" t="str">
        <f ca="1">VLOOKUP(D636,Routes!$A$2:$D$31,2,FALSE)</f>
        <v>Delhi</v>
      </c>
      <c r="R636" s="1" t="str">
        <f ca="1">VLOOKUP(D636,Routes!$A$2:$D$31,3,FALSE)</f>
        <v>Lucknow</v>
      </c>
      <c r="S636" s="3">
        <f ca="1">VLOOKUP(D636,Routes!$A$2:$D$31,4,FALSE)</f>
        <v>550</v>
      </c>
      <c r="T636" s="3" t="str">
        <f ca="1">VLOOKUP(E636,Vehicles!$A$2:$D$21,2,FALSE)</f>
        <v>LCV</v>
      </c>
      <c r="U636" s="3">
        <f ca="1">VLOOKUP(E636,Vehicles!$A$2:$D$21,3,FALSE)</f>
        <v>7</v>
      </c>
      <c r="V636" s="3" t="str">
        <f ca="1">VLOOKUP(E636,Vehicles!$A$2:$D$21,4,FALSE)</f>
        <v>Diesel</v>
      </c>
      <c r="W636" s="3">
        <f ca="1">VLOOKUP(V636,Fuel_Rates!$A$2:$B$3,2,FALSE)</f>
        <v>95</v>
      </c>
      <c r="X636" s="3">
        <f t="shared" ca="1" si="165"/>
        <v>14.17</v>
      </c>
      <c r="Y636" s="3">
        <f t="shared" ca="1" si="166"/>
        <v>13070</v>
      </c>
      <c r="Z636" s="3" t="str">
        <f t="shared" ca="1" si="167"/>
        <v>Jan</v>
      </c>
      <c r="AA636" s="3" t="str">
        <f t="shared" ca="1" si="168"/>
        <v>Q1</v>
      </c>
      <c r="AB636" s="4" t="str">
        <f t="shared" ca="1" si="169"/>
        <v>Medium Haul</v>
      </c>
    </row>
    <row r="637" spans="1:28" x14ac:dyDescent="0.3">
      <c r="A637" s="8" t="str">
        <f t="shared" si="164"/>
        <v>S0636</v>
      </c>
      <c r="B637" s="3">
        <f t="shared" ca="1" si="153"/>
        <v>45823</v>
      </c>
      <c r="C637" s="3" t="str">
        <f ca="1">INDEX(Customers!$A$2:$A$21,RANDBETWEEN(1,20))</f>
        <v>C011</v>
      </c>
      <c r="D637" s="3" t="str">
        <f ca="1">INDEX(Routes!$A$2:$A$31,RANDBETWEEN(1,30))</f>
        <v>R014</v>
      </c>
      <c r="E637" s="3" t="str">
        <f ca="1">INDEX(Vehicles!$A$2:$A$21,RANDBETWEEN(1,20))</f>
        <v>V018</v>
      </c>
      <c r="F637" s="3" t="str">
        <f ca="1">INDEX(Drivers!$A$2:$A$31,RANDBETWEEN(1,30))</f>
        <v>D008</v>
      </c>
      <c r="G637" s="3">
        <f t="shared" ca="1" si="154"/>
        <v>5.2</v>
      </c>
      <c r="H637" s="3">
        <f t="shared" ca="1" si="155"/>
        <v>22741</v>
      </c>
      <c r="I637" s="3">
        <f t="shared" ca="1" si="156"/>
        <v>6367</v>
      </c>
      <c r="J637" s="3">
        <f t="shared" ca="1" si="157"/>
        <v>3505</v>
      </c>
      <c r="K637" s="3">
        <f t="shared" ca="1" si="158"/>
        <v>16</v>
      </c>
      <c r="L637" s="3">
        <f t="shared" ca="1" si="159"/>
        <v>17</v>
      </c>
      <c r="M637" s="3">
        <f t="shared" ca="1" si="160"/>
        <v>1</v>
      </c>
      <c r="N637" s="3" t="str">
        <f t="shared" ca="1" si="161"/>
        <v>On Time</v>
      </c>
      <c r="O637" s="3" t="str">
        <f t="shared" ca="1" si="162"/>
        <v>High</v>
      </c>
      <c r="P637" s="3">
        <f t="shared" ca="1" si="163"/>
        <v>17.3</v>
      </c>
      <c r="Q637" s="1" t="str">
        <f ca="1">VLOOKUP(D637,Routes!$A$2:$D$31,2,FALSE)</f>
        <v>Hyderabad</v>
      </c>
      <c r="R637" s="1" t="str">
        <f ca="1">VLOOKUP(D637,Routes!$A$2:$D$31,3,FALSE)</f>
        <v>Nagpur</v>
      </c>
      <c r="S637" s="3">
        <f ca="1">VLOOKUP(D637,Routes!$A$2:$D$31,4,FALSE)</f>
        <v>500</v>
      </c>
      <c r="T637" s="3" t="str">
        <f ca="1">VLOOKUP(E637,Vehicles!$A$2:$D$21,2,FALSE)</f>
        <v>Truck</v>
      </c>
      <c r="U637" s="3">
        <f ca="1">VLOOKUP(E637,Vehicles!$A$2:$D$21,3,FALSE)</f>
        <v>26</v>
      </c>
      <c r="V637" s="3" t="str">
        <f ca="1">VLOOKUP(E637,Vehicles!$A$2:$D$21,4,FALSE)</f>
        <v>Diesel</v>
      </c>
      <c r="W637" s="3">
        <f ca="1">VLOOKUP(V637,Fuel_Rates!$A$2:$B$3,2,FALSE)</f>
        <v>95</v>
      </c>
      <c r="X637" s="3">
        <f t="shared" ca="1" si="165"/>
        <v>45.48</v>
      </c>
      <c r="Y637" s="3">
        <f t="shared" ca="1" si="166"/>
        <v>32613</v>
      </c>
      <c r="Z637" s="3" t="str">
        <f t="shared" ca="1" si="167"/>
        <v>Jun</v>
      </c>
      <c r="AA637" s="3" t="str">
        <f t="shared" ca="1" si="168"/>
        <v>Q2</v>
      </c>
      <c r="AB637" s="4" t="str">
        <f t="shared" ca="1" si="169"/>
        <v>Medium Haul</v>
      </c>
    </row>
    <row r="638" spans="1:28" x14ac:dyDescent="0.3">
      <c r="A638" s="8" t="str">
        <f t="shared" si="164"/>
        <v>S0637</v>
      </c>
      <c r="B638" s="3">
        <f t="shared" ca="1" si="153"/>
        <v>45702</v>
      </c>
      <c r="C638" s="3" t="str">
        <f ca="1">INDEX(Customers!$A$2:$A$21,RANDBETWEEN(1,20))</f>
        <v>C017</v>
      </c>
      <c r="D638" s="3" t="str">
        <f ca="1">INDEX(Routes!$A$2:$A$31,RANDBETWEEN(1,30))</f>
        <v>R001</v>
      </c>
      <c r="E638" s="3" t="str">
        <f ca="1">INDEX(Vehicles!$A$2:$A$21,RANDBETWEEN(1,20))</f>
        <v>V009</v>
      </c>
      <c r="F638" s="3" t="str">
        <f ca="1">INDEX(Drivers!$A$2:$A$31,RANDBETWEEN(1,30))</f>
        <v>D017</v>
      </c>
      <c r="G638" s="3">
        <f t="shared" ca="1" si="154"/>
        <v>3.4</v>
      </c>
      <c r="H638" s="3">
        <f t="shared" ca="1" si="155"/>
        <v>12208</v>
      </c>
      <c r="I638" s="3">
        <f t="shared" ca="1" si="156"/>
        <v>3418</v>
      </c>
      <c r="J638" s="3">
        <f t="shared" ca="1" si="157"/>
        <v>2394</v>
      </c>
      <c r="K638" s="3">
        <f t="shared" ca="1" si="158"/>
        <v>25</v>
      </c>
      <c r="L638" s="3">
        <f t="shared" ca="1" si="159"/>
        <v>33</v>
      </c>
      <c r="M638" s="3">
        <f t="shared" ca="1" si="160"/>
        <v>8</v>
      </c>
      <c r="N638" s="3" t="str">
        <f t="shared" ca="1" si="161"/>
        <v>Delayed</v>
      </c>
      <c r="O638" s="3" t="str">
        <f t="shared" ca="1" si="162"/>
        <v>Medium</v>
      </c>
      <c r="P638" s="3">
        <f t="shared" ca="1" si="163"/>
        <v>11.3</v>
      </c>
      <c r="Q638" s="1" t="str">
        <f ca="1">VLOOKUP(D638,Routes!$A$2:$D$31,2,FALSE)</f>
        <v>Mumbai</v>
      </c>
      <c r="R638" s="1" t="str">
        <f ca="1">VLOOKUP(D638,Routes!$A$2:$D$31,3,FALSE)</f>
        <v>Pune</v>
      </c>
      <c r="S638" s="3">
        <f ca="1">VLOOKUP(D638,Routes!$A$2:$D$31,4,FALSE)</f>
        <v>150</v>
      </c>
      <c r="T638" s="3" t="str">
        <f ca="1">VLOOKUP(E638,Vehicles!$A$2:$D$21,2,FALSE)</f>
        <v>LCV</v>
      </c>
      <c r="U638" s="3">
        <f ca="1">VLOOKUP(E638,Vehicles!$A$2:$D$21,3,FALSE)</f>
        <v>5</v>
      </c>
      <c r="V638" s="3" t="str">
        <f ca="1">VLOOKUP(E638,Vehicles!$A$2:$D$21,4,FALSE)</f>
        <v>Diesel</v>
      </c>
      <c r="W638" s="3">
        <f ca="1">VLOOKUP(V638,Fuel_Rates!$A$2:$B$3,2,FALSE)</f>
        <v>95</v>
      </c>
      <c r="X638" s="3">
        <f t="shared" ca="1" si="165"/>
        <v>81.39</v>
      </c>
      <c r="Y638" s="3">
        <f t="shared" ca="1" si="166"/>
        <v>18020</v>
      </c>
      <c r="Z638" s="3" t="str">
        <f t="shared" ca="1" si="167"/>
        <v>Feb</v>
      </c>
      <c r="AA638" s="3" t="str">
        <f t="shared" ca="1" si="168"/>
        <v>Q1</v>
      </c>
      <c r="AB638" s="4" t="str">
        <f t="shared" ca="1" si="169"/>
        <v>Short Haul</v>
      </c>
    </row>
    <row r="639" spans="1:28" x14ac:dyDescent="0.3">
      <c r="A639" s="8" t="str">
        <f t="shared" si="164"/>
        <v>S0638</v>
      </c>
      <c r="B639" s="3">
        <f t="shared" ca="1" si="153"/>
        <v>45801</v>
      </c>
      <c r="C639" s="3" t="str">
        <f ca="1">INDEX(Customers!$A$2:$A$21,RANDBETWEEN(1,20))</f>
        <v>C004</v>
      </c>
      <c r="D639" s="3" t="str">
        <f ca="1">INDEX(Routes!$A$2:$A$31,RANDBETWEEN(1,30))</f>
        <v>R003</v>
      </c>
      <c r="E639" s="3" t="str">
        <f ca="1">INDEX(Vehicles!$A$2:$A$21,RANDBETWEEN(1,20))</f>
        <v>V016</v>
      </c>
      <c r="F639" s="3" t="str">
        <f ca="1">INDEX(Drivers!$A$2:$A$31,RANDBETWEEN(1,30))</f>
        <v>D010</v>
      </c>
      <c r="G639" s="3">
        <f t="shared" ca="1" si="154"/>
        <v>26.8</v>
      </c>
      <c r="H639" s="3">
        <f t="shared" ca="1" si="155"/>
        <v>57384</v>
      </c>
      <c r="I639" s="3">
        <f t="shared" ca="1" si="156"/>
        <v>16068</v>
      </c>
      <c r="J639" s="3">
        <f t="shared" ca="1" si="157"/>
        <v>667</v>
      </c>
      <c r="K639" s="3">
        <f t="shared" ca="1" si="158"/>
        <v>33</v>
      </c>
      <c r="L639" s="3">
        <f t="shared" ca="1" si="159"/>
        <v>39</v>
      </c>
      <c r="M639" s="3">
        <f t="shared" ca="1" si="160"/>
        <v>6</v>
      </c>
      <c r="N639" s="3" t="str">
        <f t="shared" ca="1" si="161"/>
        <v>Delayed</v>
      </c>
      <c r="O639" s="3" t="str">
        <f t="shared" ca="1" si="162"/>
        <v>Low</v>
      </c>
      <c r="P639" s="3">
        <f t="shared" ca="1" si="163"/>
        <v>89.3</v>
      </c>
      <c r="Q639" s="1" t="str">
        <f ca="1">VLOOKUP(D639,Routes!$A$2:$D$31,2,FALSE)</f>
        <v>Mumbai</v>
      </c>
      <c r="R639" s="1" t="str">
        <f ca="1">VLOOKUP(D639,Routes!$A$2:$D$31,3,FALSE)</f>
        <v>Delhi</v>
      </c>
      <c r="S639" s="3">
        <f ca="1">VLOOKUP(D639,Routes!$A$2:$D$31,4,FALSE)</f>
        <v>1450</v>
      </c>
      <c r="T639" s="3" t="str">
        <f ca="1">VLOOKUP(E639,Vehicles!$A$2:$D$21,2,FALSE)</f>
        <v>Container</v>
      </c>
      <c r="U639" s="3">
        <f ca="1">VLOOKUP(E639,Vehicles!$A$2:$D$21,3,FALSE)</f>
        <v>22</v>
      </c>
      <c r="V639" s="3" t="str">
        <f ca="1">VLOOKUP(E639,Vehicles!$A$2:$D$21,4,FALSE)</f>
        <v>Diesel</v>
      </c>
      <c r="W639" s="3">
        <f ca="1">VLOOKUP(V639,Fuel_Rates!$A$2:$B$3,2,FALSE)</f>
        <v>95</v>
      </c>
      <c r="X639" s="3">
        <f t="shared" ca="1" si="165"/>
        <v>39.58</v>
      </c>
      <c r="Y639" s="3">
        <f t="shared" ca="1" si="166"/>
        <v>74119</v>
      </c>
      <c r="Z639" s="3" t="str">
        <f t="shared" ca="1" si="167"/>
        <v>May</v>
      </c>
      <c r="AA639" s="3" t="str">
        <f t="shared" ca="1" si="168"/>
        <v>Q2</v>
      </c>
      <c r="AB639" s="4" t="str">
        <f t="shared" ca="1" si="169"/>
        <v>Long Haul</v>
      </c>
    </row>
    <row r="640" spans="1:28" x14ac:dyDescent="0.3">
      <c r="A640" s="8" t="str">
        <f t="shared" si="164"/>
        <v>S0639</v>
      </c>
      <c r="B640" s="3">
        <f t="shared" ca="1" si="153"/>
        <v>45879</v>
      </c>
      <c r="C640" s="3" t="str">
        <f ca="1">INDEX(Customers!$A$2:$A$21,RANDBETWEEN(1,20))</f>
        <v>C012</v>
      </c>
      <c r="D640" s="3" t="str">
        <f ca="1">INDEX(Routes!$A$2:$A$31,RANDBETWEEN(1,30))</f>
        <v>R015</v>
      </c>
      <c r="E640" s="3" t="str">
        <f ca="1">INDEX(Vehicles!$A$2:$A$21,RANDBETWEEN(1,20))</f>
        <v>V008</v>
      </c>
      <c r="F640" s="3" t="str">
        <f ca="1">INDEX(Drivers!$A$2:$A$31,RANDBETWEEN(1,30))</f>
        <v>D022</v>
      </c>
      <c r="G640" s="3">
        <f t="shared" ca="1" si="154"/>
        <v>27.3</v>
      </c>
      <c r="H640" s="3">
        <f t="shared" ca="1" si="155"/>
        <v>58323</v>
      </c>
      <c r="I640" s="3">
        <f t="shared" ca="1" si="156"/>
        <v>16330</v>
      </c>
      <c r="J640" s="3">
        <f t="shared" ca="1" si="157"/>
        <v>2807</v>
      </c>
      <c r="K640" s="3">
        <f t="shared" ca="1" si="158"/>
        <v>33</v>
      </c>
      <c r="L640" s="3">
        <f t="shared" ca="1" si="159"/>
        <v>40</v>
      </c>
      <c r="M640" s="3">
        <f t="shared" ca="1" si="160"/>
        <v>7</v>
      </c>
      <c r="N640" s="3" t="str">
        <f t="shared" ca="1" si="161"/>
        <v>Delayed</v>
      </c>
      <c r="O640" s="3" t="str">
        <f t="shared" ca="1" si="162"/>
        <v>Medium</v>
      </c>
      <c r="P640" s="3">
        <f t="shared" ca="1" si="163"/>
        <v>91</v>
      </c>
      <c r="Q640" s="1" t="str">
        <f ca="1">VLOOKUP(D640,Routes!$A$2:$D$31,2,FALSE)</f>
        <v>Hyderabad</v>
      </c>
      <c r="R640" s="1" t="str">
        <f ca="1">VLOOKUP(D640,Routes!$A$2:$D$31,3,FALSE)</f>
        <v>Pune</v>
      </c>
      <c r="S640" s="3">
        <f ca="1">VLOOKUP(D640,Routes!$A$2:$D$31,4,FALSE)</f>
        <v>560</v>
      </c>
      <c r="T640" s="3" t="str">
        <f ca="1">VLOOKUP(E640,Vehicles!$A$2:$D$21,2,FALSE)</f>
        <v>Container</v>
      </c>
      <c r="U640" s="3">
        <f ca="1">VLOOKUP(E640,Vehicles!$A$2:$D$21,3,FALSE)</f>
        <v>25</v>
      </c>
      <c r="V640" s="3" t="str">
        <f ca="1">VLOOKUP(E640,Vehicles!$A$2:$D$21,4,FALSE)</f>
        <v>Diesel</v>
      </c>
      <c r="W640" s="3">
        <f ca="1">VLOOKUP(V640,Fuel_Rates!$A$2:$B$3,2,FALSE)</f>
        <v>95</v>
      </c>
      <c r="X640" s="3">
        <f t="shared" ca="1" si="165"/>
        <v>104.15</v>
      </c>
      <c r="Y640" s="3">
        <f t="shared" ca="1" si="166"/>
        <v>77460</v>
      </c>
      <c r="Z640" s="3" t="str">
        <f t="shared" ca="1" si="167"/>
        <v>Aug</v>
      </c>
      <c r="AA640" s="3" t="str">
        <f t="shared" ca="1" si="168"/>
        <v>Q3</v>
      </c>
      <c r="AB640" s="4" t="str">
        <f t="shared" ca="1" si="169"/>
        <v>Medium Haul</v>
      </c>
    </row>
    <row r="641" spans="1:28" x14ac:dyDescent="0.3">
      <c r="A641" s="8" t="str">
        <f t="shared" si="164"/>
        <v>S0640</v>
      </c>
      <c r="B641" s="3">
        <f t="shared" ca="1" si="153"/>
        <v>46000</v>
      </c>
      <c r="C641" s="3" t="str">
        <f ca="1">INDEX(Customers!$A$2:$A$21,RANDBETWEEN(1,20))</f>
        <v>C020</v>
      </c>
      <c r="D641" s="3" t="str">
        <f ca="1">INDEX(Routes!$A$2:$A$31,RANDBETWEEN(1,30))</f>
        <v>R016</v>
      </c>
      <c r="E641" s="3" t="str">
        <f ca="1">INDEX(Vehicles!$A$2:$A$21,RANDBETWEEN(1,20))</f>
        <v>V018</v>
      </c>
      <c r="F641" s="3" t="str">
        <f ca="1">INDEX(Drivers!$A$2:$A$31,RANDBETWEEN(1,30))</f>
        <v>D001</v>
      </c>
      <c r="G641" s="3">
        <f t="shared" ca="1" si="154"/>
        <v>4.0999999999999996</v>
      </c>
      <c r="H641" s="3">
        <f t="shared" ca="1" si="155"/>
        <v>14960</v>
      </c>
      <c r="I641" s="3">
        <f t="shared" ca="1" si="156"/>
        <v>4189</v>
      </c>
      <c r="J641" s="3">
        <f t="shared" ca="1" si="157"/>
        <v>1288</v>
      </c>
      <c r="K641" s="3">
        <f t="shared" ca="1" si="158"/>
        <v>48</v>
      </c>
      <c r="L641" s="3">
        <f t="shared" ca="1" si="159"/>
        <v>50</v>
      </c>
      <c r="M641" s="3">
        <f t="shared" ca="1" si="160"/>
        <v>2</v>
      </c>
      <c r="N641" s="3" t="str">
        <f t="shared" ca="1" si="161"/>
        <v>On Time</v>
      </c>
      <c r="O641" s="3" t="str">
        <f t="shared" ca="1" si="162"/>
        <v>Medium</v>
      </c>
      <c r="P641" s="3">
        <f t="shared" ca="1" si="163"/>
        <v>13.7</v>
      </c>
      <c r="Q641" s="1" t="str">
        <f ca="1">VLOOKUP(D641,Routes!$A$2:$D$31,2,FALSE)</f>
        <v>Kolkata</v>
      </c>
      <c r="R641" s="1" t="str">
        <f ca="1">VLOOKUP(D641,Routes!$A$2:$D$31,3,FALSE)</f>
        <v>Bhubaneswar</v>
      </c>
      <c r="S641" s="3">
        <f ca="1">VLOOKUP(D641,Routes!$A$2:$D$31,4,FALSE)</f>
        <v>440</v>
      </c>
      <c r="T641" s="3" t="str">
        <f ca="1">VLOOKUP(E641,Vehicles!$A$2:$D$21,2,FALSE)</f>
        <v>Truck</v>
      </c>
      <c r="U641" s="3">
        <f ca="1">VLOOKUP(E641,Vehicles!$A$2:$D$21,3,FALSE)</f>
        <v>26</v>
      </c>
      <c r="V641" s="3" t="str">
        <f ca="1">VLOOKUP(E641,Vehicles!$A$2:$D$21,4,FALSE)</f>
        <v>Diesel</v>
      </c>
      <c r="W641" s="3">
        <f ca="1">VLOOKUP(V641,Fuel_Rates!$A$2:$B$3,2,FALSE)</f>
        <v>95</v>
      </c>
      <c r="X641" s="3">
        <f t="shared" ca="1" si="165"/>
        <v>34</v>
      </c>
      <c r="Y641" s="3">
        <f t="shared" ca="1" si="166"/>
        <v>20437</v>
      </c>
      <c r="Z641" s="3" t="str">
        <f t="shared" ca="1" si="167"/>
        <v>Dec</v>
      </c>
      <c r="AA641" s="3" t="str">
        <f t="shared" ca="1" si="168"/>
        <v>Q4</v>
      </c>
      <c r="AB641" s="4" t="str">
        <f t="shared" ca="1" si="169"/>
        <v>Medium Haul</v>
      </c>
    </row>
    <row r="642" spans="1:28" x14ac:dyDescent="0.3">
      <c r="A642" s="8" t="str">
        <f t="shared" si="164"/>
        <v>S0641</v>
      </c>
      <c r="B642" s="3">
        <f t="shared" ref="B642:B705" ca="1" si="170">DATE(2025,RANDBETWEEN(1,12),RANDBETWEEN(1,28))</f>
        <v>45752</v>
      </c>
      <c r="C642" s="3" t="str">
        <f ca="1">INDEX(Customers!$A$2:$A$21,RANDBETWEEN(1,20))</f>
        <v>C019</v>
      </c>
      <c r="D642" s="3" t="str">
        <f ca="1">INDEX(Routes!$A$2:$A$31,RANDBETWEEN(1,30))</f>
        <v>R025</v>
      </c>
      <c r="E642" s="3" t="str">
        <f ca="1">INDEX(Vehicles!$A$2:$A$21,RANDBETWEEN(1,20))</f>
        <v>V011</v>
      </c>
      <c r="F642" s="3" t="str">
        <f ca="1">INDEX(Drivers!$A$2:$A$31,RANDBETWEEN(1,30))</f>
        <v>D029</v>
      </c>
      <c r="G642" s="3">
        <f t="shared" ref="G642:G705" ca="1" si="171">ROUND(RANDBETWEEN(20,300)/10,1)</f>
        <v>18.899999999999999</v>
      </c>
      <c r="H642" s="3">
        <f t="shared" ref="H642:H705" ca="1" si="172">ROUND((G642*1800)+RANDBETWEEN(3000,15000),0)</f>
        <v>39286</v>
      </c>
      <c r="I642" s="3">
        <f t="shared" ref="I642:I705" ca="1" si="173">ROUND(H642*0.28,0)</f>
        <v>11000</v>
      </c>
      <c r="J642" s="3">
        <f t="shared" ref="J642:J705" ca="1" si="174">RANDBETWEEN(500,4000)</f>
        <v>3935</v>
      </c>
      <c r="K642" s="3">
        <f t="shared" ref="K642:K705" ca="1" si="175">RANDBETWEEN(4,48)</f>
        <v>16</v>
      </c>
      <c r="L642" s="3">
        <f t="shared" ref="L642:L705" ca="1" si="176">K642+RANDBETWEEN(0,8)</f>
        <v>19</v>
      </c>
      <c r="M642" s="3">
        <f t="shared" ref="M642:M705" ca="1" si="177">L642-K642</f>
        <v>3</v>
      </c>
      <c r="N642" s="3" t="str">
        <f t="shared" ref="N642:N705" ca="1" si="178">IF(M642&lt;=2,"On Time","Delayed")</f>
        <v>Delayed</v>
      </c>
      <c r="O642" s="3" t="str">
        <f t="shared" ref="O642:O705" ca="1" si="179">CHOOSE(RANDBETWEEN(1,3),"High","Medium","Low")</f>
        <v>Low</v>
      </c>
      <c r="P642" s="3">
        <f t="shared" ref="P642:P705" ca="1" si="180">ROUND((G642/30)*100,1)</f>
        <v>63</v>
      </c>
      <c r="Q642" s="1" t="str">
        <f ca="1">VLOOKUP(D642,Routes!$A$2:$D$31,2,FALSE)</f>
        <v>Visakhapatnam</v>
      </c>
      <c r="R642" s="1" t="str">
        <f ca="1">VLOOKUP(D642,Routes!$A$2:$D$31,3,FALSE)</f>
        <v>Hyderabad</v>
      </c>
      <c r="S642" s="3">
        <f ca="1">VLOOKUP(D642,Routes!$A$2:$D$31,4,FALSE)</f>
        <v>620</v>
      </c>
      <c r="T642" s="3" t="str">
        <f ca="1">VLOOKUP(E642,Vehicles!$A$2:$D$21,2,FALSE)</f>
        <v>Truck</v>
      </c>
      <c r="U642" s="3">
        <f ca="1">VLOOKUP(E642,Vehicles!$A$2:$D$21,3,FALSE)</f>
        <v>18</v>
      </c>
      <c r="V642" s="3" t="str">
        <f ca="1">VLOOKUP(E642,Vehicles!$A$2:$D$21,4,FALSE)</f>
        <v>CNG</v>
      </c>
      <c r="W642" s="3">
        <f ca="1">VLOOKUP(V642,Fuel_Rates!$A$2:$B$3,2,FALSE)</f>
        <v>78</v>
      </c>
      <c r="X642" s="3">
        <f t="shared" ca="1" si="165"/>
        <v>63.36</v>
      </c>
      <c r="Y642" s="3">
        <f t="shared" ca="1" si="166"/>
        <v>54221</v>
      </c>
      <c r="Z642" s="3" t="str">
        <f t="shared" ca="1" si="167"/>
        <v>Apr</v>
      </c>
      <c r="AA642" s="3" t="str">
        <f t="shared" ca="1" si="168"/>
        <v>Q2</v>
      </c>
      <c r="AB642" s="4" t="str">
        <f t="shared" ca="1" si="169"/>
        <v>Medium Haul</v>
      </c>
    </row>
    <row r="643" spans="1:28" x14ac:dyDescent="0.3">
      <c r="A643" s="8" t="str">
        <f t="shared" ref="A643:A706" si="181">"S"&amp;TEXT(ROW()-1,"0000")</f>
        <v>S0642</v>
      </c>
      <c r="B643" s="3">
        <f t="shared" ca="1" si="170"/>
        <v>45970</v>
      </c>
      <c r="C643" s="3" t="str">
        <f ca="1">INDEX(Customers!$A$2:$A$21,RANDBETWEEN(1,20))</f>
        <v>C015</v>
      </c>
      <c r="D643" s="3" t="str">
        <f ca="1">INDEX(Routes!$A$2:$A$31,RANDBETWEEN(1,30))</f>
        <v>R029</v>
      </c>
      <c r="E643" s="3" t="str">
        <f ca="1">INDEX(Vehicles!$A$2:$A$21,RANDBETWEEN(1,20))</f>
        <v>V019</v>
      </c>
      <c r="F643" s="3" t="str">
        <f ca="1">INDEX(Drivers!$A$2:$A$31,RANDBETWEEN(1,30))</f>
        <v>D016</v>
      </c>
      <c r="G643" s="3">
        <f t="shared" ca="1" si="171"/>
        <v>9.9</v>
      </c>
      <c r="H643" s="3">
        <f t="shared" ca="1" si="172"/>
        <v>27405</v>
      </c>
      <c r="I643" s="3">
        <f t="shared" ca="1" si="173"/>
        <v>7673</v>
      </c>
      <c r="J643" s="3">
        <f t="shared" ca="1" si="174"/>
        <v>944</v>
      </c>
      <c r="K643" s="3">
        <f t="shared" ca="1" si="175"/>
        <v>8</v>
      </c>
      <c r="L643" s="3">
        <f t="shared" ca="1" si="176"/>
        <v>8</v>
      </c>
      <c r="M643" s="3">
        <f t="shared" ca="1" si="177"/>
        <v>0</v>
      </c>
      <c r="N643" s="3" t="str">
        <f t="shared" ca="1" si="178"/>
        <v>On Time</v>
      </c>
      <c r="O643" s="3" t="str">
        <f t="shared" ca="1" si="179"/>
        <v>Low</v>
      </c>
      <c r="P643" s="3">
        <f t="shared" ca="1" si="180"/>
        <v>33</v>
      </c>
      <c r="Q643" s="1" t="str">
        <f ca="1">VLOOKUP(D643,Routes!$A$2:$D$31,2,FALSE)</f>
        <v>Chandigarh</v>
      </c>
      <c r="R643" s="1" t="str">
        <f ca="1">VLOOKUP(D643,Routes!$A$2:$D$31,3,FALSE)</f>
        <v>Delhi</v>
      </c>
      <c r="S643" s="3">
        <f ca="1">VLOOKUP(D643,Routes!$A$2:$D$31,4,FALSE)</f>
        <v>250</v>
      </c>
      <c r="T643" s="3" t="str">
        <f ca="1">VLOOKUP(E643,Vehicles!$A$2:$D$21,2,FALSE)</f>
        <v>Trailer</v>
      </c>
      <c r="U643" s="3">
        <f ca="1">VLOOKUP(E643,Vehicles!$A$2:$D$21,3,FALSE)</f>
        <v>35</v>
      </c>
      <c r="V643" s="3" t="str">
        <f ca="1">VLOOKUP(E643,Vehicles!$A$2:$D$21,4,FALSE)</f>
        <v>Diesel</v>
      </c>
      <c r="W643" s="3">
        <f ca="1">VLOOKUP(V643,Fuel_Rates!$A$2:$B$3,2,FALSE)</f>
        <v>95</v>
      </c>
      <c r="X643" s="3">
        <f t="shared" ref="X643:X706" ca="1" si="182">ROUND(H643/S643,2)</f>
        <v>109.62</v>
      </c>
      <c r="Y643" s="3">
        <f t="shared" ref="Y643:Y706" ca="1" si="183">H643+I643+J643</f>
        <v>36022</v>
      </c>
      <c r="Z643" s="3" t="str">
        <f t="shared" ref="Z643:Z706" ca="1" si="184">TEXT(B643,"mmm")</f>
        <v>Nov</v>
      </c>
      <c r="AA643" s="3" t="str">
        <f t="shared" ref="AA643:AA706" ca="1" si="185">"Q"&amp;ROUNDUP(MONTH(B643)/3,0)</f>
        <v>Q4</v>
      </c>
      <c r="AB643" s="4" t="str">
        <f t="shared" ref="AB643:AB706" ca="1" si="186">IF(S643&lt;300,"Short Haul",IF(S643&lt;800,"Medium Haul","Long Haul"))</f>
        <v>Short Haul</v>
      </c>
    </row>
    <row r="644" spans="1:28" x14ac:dyDescent="0.3">
      <c r="A644" s="8" t="str">
        <f t="shared" si="181"/>
        <v>S0643</v>
      </c>
      <c r="B644" s="3">
        <f t="shared" ca="1" si="170"/>
        <v>45731</v>
      </c>
      <c r="C644" s="3" t="str">
        <f ca="1">INDEX(Customers!$A$2:$A$21,RANDBETWEEN(1,20))</f>
        <v>C016</v>
      </c>
      <c r="D644" s="3" t="str">
        <f ca="1">INDEX(Routes!$A$2:$A$31,RANDBETWEEN(1,30))</f>
        <v>R022</v>
      </c>
      <c r="E644" s="3" t="str">
        <f ca="1">INDEX(Vehicles!$A$2:$A$21,RANDBETWEEN(1,20))</f>
        <v>V015</v>
      </c>
      <c r="F644" s="3" t="str">
        <f ca="1">INDEX(Drivers!$A$2:$A$31,RANDBETWEEN(1,30))</f>
        <v>D021</v>
      </c>
      <c r="G644" s="3">
        <f t="shared" ca="1" si="171"/>
        <v>11.6</v>
      </c>
      <c r="H644" s="3">
        <f t="shared" ca="1" si="172"/>
        <v>24206</v>
      </c>
      <c r="I644" s="3">
        <f t="shared" ca="1" si="173"/>
        <v>6778</v>
      </c>
      <c r="J644" s="3">
        <f t="shared" ca="1" si="174"/>
        <v>3749</v>
      </c>
      <c r="K644" s="3">
        <f t="shared" ca="1" si="175"/>
        <v>26</v>
      </c>
      <c r="L644" s="3">
        <f t="shared" ca="1" si="176"/>
        <v>33</v>
      </c>
      <c r="M644" s="3">
        <f t="shared" ca="1" si="177"/>
        <v>7</v>
      </c>
      <c r="N644" s="3" t="str">
        <f t="shared" ca="1" si="178"/>
        <v>Delayed</v>
      </c>
      <c r="O644" s="3" t="str">
        <f t="shared" ca="1" si="179"/>
        <v>High</v>
      </c>
      <c r="P644" s="3">
        <f t="shared" ca="1" si="180"/>
        <v>38.700000000000003</v>
      </c>
      <c r="Q644" s="1" t="str">
        <f ca="1">VLOOKUP(D644,Routes!$A$2:$D$31,2,FALSE)</f>
        <v>Jaipur</v>
      </c>
      <c r="R644" s="1" t="str">
        <f ca="1">VLOOKUP(D644,Routes!$A$2:$D$31,3,FALSE)</f>
        <v>Indore</v>
      </c>
      <c r="S644" s="3">
        <f ca="1">VLOOKUP(D644,Routes!$A$2:$D$31,4,FALSE)</f>
        <v>600</v>
      </c>
      <c r="T644" s="3" t="str">
        <f ca="1">VLOOKUP(E644,Vehicles!$A$2:$D$21,2,FALSE)</f>
        <v>Trailer</v>
      </c>
      <c r="U644" s="3">
        <f ca="1">VLOOKUP(E644,Vehicles!$A$2:$D$21,3,FALSE)</f>
        <v>30</v>
      </c>
      <c r="V644" s="3" t="str">
        <f ca="1">VLOOKUP(E644,Vehicles!$A$2:$D$21,4,FALSE)</f>
        <v>Diesel</v>
      </c>
      <c r="W644" s="3">
        <f ca="1">VLOOKUP(V644,Fuel_Rates!$A$2:$B$3,2,FALSE)</f>
        <v>95</v>
      </c>
      <c r="X644" s="3">
        <f t="shared" ca="1" si="182"/>
        <v>40.340000000000003</v>
      </c>
      <c r="Y644" s="3">
        <f t="shared" ca="1" si="183"/>
        <v>34733</v>
      </c>
      <c r="Z644" s="3" t="str">
        <f t="shared" ca="1" si="184"/>
        <v>Mar</v>
      </c>
      <c r="AA644" s="3" t="str">
        <f t="shared" ca="1" si="185"/>
        <v>Q1</v>
      </c>
      <c r="AB644" s="4" t="str">
        <f t="shared" ca="1" si="186"/>
        <v>Medium Haul</v>
      </c>
    </row>
    <row r="645" spans="1:28" x14ac:dyDescent="0.3">
      <c r="A645" s="8" t="str">
        <f t="shared" si="181"/>
        <v>S0644</v>
      </c>
      <c r="B645" s="3">
        <f t="shared" ca="1" si="170"/>
        <v>45825</v>
      </c>
      <c r="C645" s="3" t="str">
        <f ca="1">INDEX(Customers!$A$2:$A$21,RANDBETWEEN(1,20))</f>
        <v>C014</v>
      </c>
      <c r="D645" s="3" t="str">
        <f ca="1">INDEX(Routes!$A$2:$A$31,RANDBETWEEN(1,30))</f>
        <v>R028</v>
      </c>
      <c r="E645" s="3" t="str">
        <f ca="1">INDEX(Vehicles!$A$2:$A$21,RANDBETWEEN(1,20))</f>
        <v>V003</v>
      </c>
      <c r="F645" s="3" t="str">
        <f ca="1">INDEX(Drivers!$A$2:$A$31,RANDBETWEEN(1,30))</f>
        <v>D021</v>
      </c>
      <c r="G645" s="3">
        <f t="shared" ca="1" si="171"/>
        <v>4.2</v>
      </c>
      <c r="H645" s="3">
        <f t="shared" ca="1" si="172"/>
        <v>14444</v>
      </c>
      <c r="I645" s="3">
        <f t="shared" ca="1" si="173"/>
        <v>4044</v>
      </c>
      <c r="J645" s="3">
        <f t="shared" ca="1" si="174"/>
        <v>1418</v>
      </c>
      <c r="K645" s="3">
        <f t="shared" ca="1" si="175"/>
        <v>19</v>
      </c>
      <c r="L645" s="3">
        <f t="shared" ca="1" si="176"/>
        <v>26</v>
      </c>
      <c r="M645" s="3">
        <f t="shared" ca="1" si="177"/>
        <v>7</v>
      </c>
      <c r="N645" s="3" t="str">
        <f t="shared" ca="1" si="178"/>
        <v>Delayed</v>
      </c>
      <c r="O645" s="3" t="str">
        <f t="shared" ca="1" si="179"/>
        <v>Low</v>
      </c>
      <c r="P645" s="3">
        <f t="shared" ca="1" si="180"/>
        <v>14</v>
      </c>
      <c r="Q645" s="1" t="str">
        <f ca="1">VLOOKUP(D645,Routes!$A$2:$D$31,2,FALSE)</f>
        <v>Indore</v>
      </c>
      <c r="R645" s="1" t="str">
        <f ca="1">VLOOKUP(D645,Routes!$A$2:$D$31,3,FALSE)</f>
        <v>Mumbai</v>
      </c>
      <c r="S645" s="3">
        <f ca="1">VLOOKUP(D645,Routes!$A$2:$D$31,4,FALSE)</f>
        <v>590</v>
      </c>
      <c r="T645" s="3" t="str">
        <f ca="1">VLOOKUP(E645,Vehicles!$A$2:$D$21,2,FALSE)</f>
        <v>Truck</v>
      </c>
      <c r="U645" s="3">
        <f ca="1">VLOOKUP(E645,Vehicles!$A$2:$D$21,3,FALSE)</f>
        <v>25</v>
      </c>
      <c r="V645" s="3" t="str">
        <f ca="1">VLOOKUP(E645,Vehicles!$A$2:$D$21,4,FALSE)</f>
        <v>Diesel</v>
      </c>
      <c r="W645" s="3">
        <f ca="1">VLOOKUP(V645,Fuel_Rates!$A$2:$B$3,2,FALSE)</f>
        <v>95</v>
      </c>
      <c r="X645" s="3">
        <f t="shared" ca="1" si="182"/>
        <v>24.48</v>
      </c>
      <c r="Y645" s="3">
        <f t="shared" ca="1" si="183"/>
        <v>19906</v>
      </c>
      <c r="Z645" s="3" t="str">
        <f t="shared" ca="1" si="184"/>
        <v>Jun</v>
      </c>
      <c r="AA645" s="3" t="str">
        <f t="shared" ca="1" si="185"/>
        <v>Q2</v>
      </c>
      <c r="AB645" s="4" t="str">
        <f t="shared" ca="1" si="186"/>
        <v>Medium Haul</v>
      </c>
    </row>
    <row r="646" spans="1:28" x14ac:dyDescent="0.3">
      <c r="A646" s="8" t="str">
        <f t="shared" si="181"/>
        <v>S0645</v>
      </c>
      <c r="B646" s="3">
        <f t="shared" ca="1" si="170"/>
        <v>45965</v>
      </c>
      <c r="C646" s="3" t="str">
        <f ca="1">INDEX(Customers!$A$2:$A$21,RANDBETWEEN(1,20))</f>
        <v>C007</v>
      </c>
      <c r="D646" s="3" t="str">
        <f ca="1">INDEX(Routes!$A$2:$A$31,RANDBETWEEN(1,30))</f>
        <v>R023</v>
      </c>
      <c r="E646" s="3" t="str">
        <f ca="1">INDEX(Vehicles!$A$2:$A$21,RANDBETWEEN(1,20))</f>
        <v>V001</v>
      </c>
      <c r="F646" s="3" t="str">
        <f ca="1">INDEX(Drivers!$A$2:$A$31,RANDBETWEEN(1,30))</f>
        <v>D024</v>
      </c>
      <c r="G646" s="3">
        <f t="shared" ca="1" si="171"/>
        <v>28.3</v>
      </c>
      <c r="H646" s="3">
        <f t="shared" ca="1" si="172"/>
        <v>56617</v>
      </c>
      <c r="I646" s="3">
        <f t="shared" ca="1" si="173"/>
        <v>15853</v>
      </c>
      <c r="J646" s="3">
        <f t="shared" ca="1" si="174"/>
        <v>1576</v>
      </c>
      <c r="K646" s="3">
        <f t="shared" ca="1" si="175"/>
        <v>38</v>
      </c>
      <c r="L646" s="3">
        <f t="shared" ca="1" si="176"/>
        <v>44</v>
      </c>
      <c r="M646" s="3">
        <f t="shared" ca="1" si="177"/>
        <v>6</v>
      </c>
      <c r="N646" s="3" t="str">
        <f t="shared" ca="1" si="178"/>
        <v>Delayed</v>
      </c>
      <c r="O646" s="3" t="str">
        <f t="shared" ca="1" si="179"/>
        <v>High</v>
      </c>
      <c r="P646" s="3">
        <f t="shared" ca="1" si="180"/>
        <v>94.3</v>
      </c>
      <c r="Q646" s="1" t="str">
        <f ca="1">VLOOKUP(D646,Routes!$A$2:$D$31,2,FALSE)</f>
        <v>Kochi</v>
      </c>
      <c r="R646" s="1" t="str">
        <f ca="1">VLOOKUP(D646,Routes!$A$2:$D$31,3,FALSE)</f>
        <v>Bengaluru</v>
      </c>
      <c r="S646" s="3">
        <f ca="1">VLOOKUP(D646,Routes!$A$2:$D$31,4,FALSE)</f>
        <v>550</v>
      </c>
      <c r="T646" s="3" t="str">
        <f ca="1">VLOOKUP(E646,Vehicles!$A$2:$D$21,2,FALSE)</f>
        <v>Truck</v>
      </c>
      <c r="U646" s="3">
        <f ca="1">VLOOKUP(E646,Vehicles!$A$2:$D$21,3,FALSE)</f>
        <v>16</v>
      </c>
      <c r="V646" s="3" t="str">
        <f ca="1">VLOOKUP(E646,Vehicles!$A$2:$D$21,4,FALSE)</f>
        <v>Diesel</v>
      </c>
      <c r="W646" s="3">
        <f ca="1">VLOOKUP(V646,Fuel_Rates!$A$2:$B$3,2,FALSE)</f>
        <v>95</v>
      </c>
      <c r="X646" s="3">
        <f t="shared" ca="1" si="182"/>
        <v>102.94</v>
      </c>
      <c r="Y646" s="3">
        <f t="shared" ca="1" si="183"/>
        <v>74046</v>
      </c>
      <c r="Z646" s="3" t="str">
        <f t="shared" ca="1" si="184"/>
        <v>Nov</v>
      </c>
      <c r="AA646" s="3" t="str">
        <f t="shared" ca="1" si="185"/>
        <v>Q4</v>
      </c>
      <c r="AB646" s="4" t="str">
        <f t="shared" ca="1" si="186"/>
        <v>Medium Haul</v>
      </c>
    </row>
    <row r="647" spans="1:28" x14ac:dyDescent="0.3">
      <c r="A647" s="8" t="str">
        <f t="shared" si="181"/>
        <v>S0646</v>
      </c>
      <c r="B647" s="3">
        <f t="shared" ca="1" si="170"/>
        <v>46006</v>
      </c>
      <c r="C647" s="3" t="str">
        <f ca="1">INDEX(Customers!$A$2:$A$21,RANDBETWEEN(1,20))</f>
        <v>C020</v>
      </c>
      <c r="D647" s="3" t="str">
        <f ca="1">INDEX(Routes!$A$2:$A$31,RANDBETWEEN(1,30))</f>
        <v>R029</v>
      </c>
      <c r="E647" s="3" t="str">
        <f ca="1">INDEX(Vehicles!$A$2:$A$21,RANDBETWEEN(1,20))</f>
        <v>V012</v>
      </c>
      <c r="F647" s="3" t="str">
        <f ca="1">INDEX(Drivers!$A$2:$A$31,RANDBETWEEN(1,30))</f>
        <v>D020</v>
      </c>
      <c r="G647" s="3">
        <f t="shared" ca="1" si="171"/>
        <v>4.5</v>
      </c>
      <c r="H647" s="3">
        <f t="shared" ca="1" si="172"/>
        <v>16359</v>
      </c>
      <c r="I647" s="3">
        <f t="shared" ca="1" si="173"/>
        <v>4581</v>
      </c>
      <c r="J647" s="3">
        <f t="shared" ca="1" si="174"/>
        <v>2796</v>
      </c>
      <c r="K647" s="3">
        <f t="shared" ca="1" si="175"/>
        <v>15</v>
      </c>
      <c r="L647" s="3">
        <f t="shared" ca="1" si="176"/>
        <v>20</v>
      </c>
      <c r="M647" s="3">
        <f t="shared" ca="1" si="177"/>
        <v>5</v>
      </c>
      <c r="N647" s="3" t="str">
        <f t="shared" ca="1" si="178"/>
        <v>Delayed</v>
      </c>
      <c r="O647" s="3" t="str">
        <f t="shared" ca="1" si="179"/>
        <v>Medium</v>
      </c>
      <c r="P647" s="3">
        <f t="shared" ca="1" si="180"/>
        <v>15</v>
      </c>
      <c r="Q647" s="1" t="str">
        <f ca="1">VLOOKUP(D647,Routes!$A$2:$D$31,2,FALSE)</f>
        <v>Chandigarh</v>
      </c>
      <c r="R647" s="1" t="str">
        <f ca="1">VLOOKUP(D647,Routes!$A$2:$D$31,3,FALSE)</f>
        <v>Delhi</v>
      </c>
      <c r="S647" s="3">
        <f ca="1">VLOOKUP(D647,Routes!$A$2:$D$31,4,FALSE)</f>
        <v>250</v>
      </c>
      <c r="T647" s="3" t="str">
        <f ca="1">VLOOKUP(E647,Vehicles!$A$2:$D$21,2,FALSE)</f>
        <v>Truck</v>
      </c>
      <c r="U647" s="3">
        <f ca="1">VLOOKUP(E647,Vehicles!$A$2:$D$21,3,FALSE)</f>
        <v>20</v>
      </c>
      <c r="V647" s="3" t="str">
        <f ca="1">VLOOKUP(E647,Vehicles!$A$2:$D$21,4,FALSE)</f>
        <v>CNG</v>
      </c>
      <c r="W647" s="3">
        <f ca="1">VLOOKUP(V647,Fuel_Rates!$A$2:$B$3,2,FALSE)</f>
        <v>78</v>
      </c>
      <c r="X647" s="3">
        <f t="shared" ca="1" si="182"/>
        <v>65.44</v>
      </c>
      <c r="Y647" s="3">
        <f t="shared" ca="1" si="183"/>
        <v>23736</v>
      </c>
      <c r="Z647" s="3" t="str">
        <f t="shared" ca="1" si="184"/>
        <v>Dec</v>
      </c>
      <c r="AA647" s="3" t="str">
        <f t="shared" ca="1" si="185"/>
        <v>Q4</v>
      </c>
      <c r="AB647" s="4" t="str">
        <f t="shared" ca="1" si="186"/>
        <v>Short Haul</v>
      </c>
    </row>
    <row r="648" spans="1:28" x14ac:dyDescent="0.3">
      <c r="A648" s="8" t="str">
        <f t="shared" si="181"/>
        <v>S0647</v>
      </c>
      <c r="B648" s="3">
        <f t="shared" ca="1" si="170"/>
        <v>45857</v>
      </c>
      <c r="C648" s="3" t="str">
        <f ca="1">INDEX(Customers!$A$2:$A$21,RANDBETWEEN(1,20))</f>
        <v>C012</v>
      </c>
      <c r="D648" s="3" t="str">
        <f ca="1">INDEX(Routes!$A$2:$A$31,RANDBETWEEN(1,30))</f>
        <v>R011</v>
      </c>
      <c r="E648" s="3" t="str">
        <f ca="1">INDEX(Vehicles!$A$2:$A$21,RANDBETWEEN(1,20))</f>
        <v>V001</v>
      </c>
      <c r="F648" s="3" t="str">
        <f ca="1">INDEX(Drivers!$A$2:$A$31,RANDBETWEEN(1,30))</f>
        <v>D006</v>
      </c>
      <c r="G648" s="3">
        <f t="shared" ca="1" si="171"/>
        <v>5.8</v>
      </c>
      <c r="H648" s="3">
        <f t="shared" ca="1" si="172"/>
        <v>18144</v>
      </c>
      <c r="I648" s="3">
        <f t="shared" ca="1" si="173"/>
        <v>5080</v>
      </c>
      <c r="J648" s="3">
        <f t="shared" ca="1" si="174"/>
        <v>3190</v>
      </c>
      <c r="K648" s="3">
        <f t="shared" ca="1" si="175"/>
        <v>31</v>
      </c>
      <c r="L648" s="3">
        <f t="shared" ca="1" si="176"/>
        <v>39</v>
      </c>
      <c r="M648" s="3">
        <f t="shared" ca="1" si="177"/>
        <v>8</v>
      </c>
      <c r="N648" s="3" t="str">
        <f t="shared" ca="1" si="178"/>
        <v>Delayed</v>
      </c>
      <c r="O648" s="3" t="str">
        <f t="shared" ca="1" si="179"/>
        <v>High</v>
      </c>
      <c r="P648" s="3">
        <f t="shared" ca="1" si="180"/>
        <v>19.3</v>
      </c>
      <c r="Q648" s="1" t="str">
        <f ca="1">VLOOKUP(D648,Routes!$A$2:$D$31,2,FALSE)</f>
        <v>Bengaluru</v>
      </c>
      <c r="R648" s="1" t="str">
        <f ca="1">VLOOKUP(D648,Routes!$A$2:$D$31,3,FALSE)</f>
        <v>Kochi</v>
      </c>
      <c r="S648" s="3">
        <f ca="1">VLOOKUP(D648,Routes!$A$2:$D$31,4,FALSE)</f>
        <v>550</v>
      </c>
      <c r="T648" s="3" t="str">
        <f ca="1">VLOOKUP(E648,Vehicles!$A$2:$D$21,2,FALSE)</f>
        <v>Truck</v>
      </c>
      <c r="U648" s="3">
        <f ca="1">VLOOKUP(E648,Vehicles!$A$2:$D$21,3,FALSE)</f>
        <v>16</v>
      </c>
      <c r="V648" s="3" t="str">
        <f ca="1">VLOOKUP(E648,Vehicles!$A$2:$D$21,4,FALSE)</f>
        <v>Diesel</v>
      </c>
      <c r="W648" s="3">
        <f ca="1">VLOOKUP(V648,Fuel_Rates!$A$2:$B$3,2,FALSE)</f>
        <v>95</v>
      </c>
      <c r="X648" s="3">
        <f t="shared" ca="1" si="182"/>
        <v>32.99</v>
      </c>
      <c r="Y648" s="3">
        <f t="shared" ca="1" si="183"/>
        <v>26414</v>
      </c>
      <c r="Z648" s="3" t="str">
        <f t="shared" ca="1" si="184"/>
        <v>Jul</v>
      </c>
      <c r="AA648" s="3" t="str">
        <f t="shared" ca="1" si="185"/>
        <v>Q3</v>
      </c>
      <c r="AB648" s="4" t="str">
        <f t="shared" ca="1" si="186"/>
        <v>Medium Haul</v>
      </c>
    </row>
    <row r="649" spans="1:28" x14ac:dyDescent="0.3">
      <c r="A649" s="8" t="str">
        <f t="shared" si="181"/>
        <v>S0648</v>
      </c>
      <c r="B649" s="3">
        <f t="shared" ca="1" si="170"/>
        <v>45926</v>
      </c>
      <c r="C649" s="3" t="str">
        <f ca="1">INDEX(Customers!$A$2:$A$21,RANDBETWEEN(1,20))</f>
        <v>C016</v>
      </c>
      <c r="D649" s="3" t="str">
        <f ca="1">INDEX(Routes!$A$2:$A$31,RANDBETWEEN(1,30))</f>
        <v>R017</v>
      </c>
      <c r="E649" s="3" t="str">
        <f ca="1">INDEX(Vehicles!$A$2:$A$21,RANDBETWEEN(1,20))</f>
        <v>V005</v>
      </c>
      <c r="F649" s="3" t="str">
        <f ca="1">INDEX(Drivers!$A$2:$A$31,RANDBETWEEN(1,30))</f>
        <v>D014</v>
      </c>
      <c r="G649" s="3">
        <f t="shared" ca="1" si="171"/>
        <v>22.3</v>
      </c>
      <c r="H649" s="3">
        <f t="shared" ca="1" si="172"/>
        <v>46133</v>
      </c>
      <c r="I649" s="3">
        <f t="shared" ca="1" si="173"/>
        <v>12917</v>
      </c>
      <c r="J649" s="3">
        <f t="shared" ca="1" si="174"/>
        <v>1096</v>
      </c>
      <c r="K649" s="3">
        <f t="shared" ca="1" si="175"/>
        <v>7</v>
      </c>
      <c r="L649" s="3">
        <f t="shared" ca="1" si="176"/>
        <v>13</v>
      </c>
      <c r="M649" s="3">
        <f t="shared" ca="1" si="177"/>
        <v>6</v>
      </c>
      <c r="N649" s="3" t="str">
        <f t="shared" ca="1" si="178"/>
        <v>Delayed</v>
      </c>
      <c r="O649" s="3" t="str">
        <f t="shared" ca="1" si="179"/>
        <v>High</v>
      </c>
      <c r="P649" s="3">
        <f t="shared" ca="1" si="180"/>
        <v>74.3</v>
      </c>
      <c r="Q649" s="1" t="str">
        <f ca="1">VLOOKUP(D649,Routes!$A$2:$D$31,2,FALSE)</f>
        <v>Kolkata</v>
      </c>
      <c r="R649" s="1" t="str">
        <f ca="1">VLOOKUP(D649,Routes!$A$2:$D$31,3,FALSE)</f>
        <v>Patna</v>
      </c>
      <c r="S649" s="3">
        <f ca="1">VLOOKUP(D649,Routes!$A$2:$D$31,4,FALSE)</f>
        <v>620</v>
      </c>
      <c r="T649" s="3" t="str">
        <f ca="1">VLOOKUP(E649,Vehicles!$A$2:$D$21,2,FALSE)</f>
        <v>Trailer</v>
      </c>
      <c r="U649" s="3">
        <f ca="1">VLOOKUP(E649,Vehicles!$A$2:$D$21,3,FALSE)</f>
        <v>32</v>
      </c>
      <c r="V649" s="3" t="str">
        <f ca="1">VLOOKUP(E649,Vehicles!$A$2:$D$21,4,FALSE)</f>
        <v>Diesel</v>
      </c>
      <c r="W649" s="3">
        <f ca="1">VLOOKUP(V649,Fuel_Rates!$A$2:$B$3,2,FALSE)</f>
        <v>95</v>
      </c>
      <c r="X649" s="3">
        <f t="shared" ca="1" si="182"/>
        <v>74.41</v>
      </c>
      <c r="Y649" s="3">
        <f t="shared" ca="1" si="183"/>
        <v>60146</v>
      </c>
      <c r="Z649" s="3" t="str">
        <f t="shared" ca="1" si="184"/>
        <v>Sep</v>
      </c>
      <c r="AA649" s="3" t="str">
        <f t="shared" ca="1" si="185"/>
        <v>Q3</v>
      </c>
      <c r="AB649" s="4" t="str">
        <f t="shared" ca="1" si="186"/>
        <v>Medium Haul</v>
      </c>
    </row>
    <row r="650" spans="1:28" x14ac:dyDescent="0.3">
      <c r="A650" s="8" t="str">
        <f t="shared" si="181"/>
        <v>S0649</v>
      </c>
      <c r="B650" s="3">
        <f t="shared" ca="1" si="170"/>
        <v>45766</v>
      </c>
      <c r="C650" s="3" t="str">
        <f ca="1">INDEX(Customers!$A$2:$A$21,RANDBETWEEN(1,20))</f>
        <v>C010</v>
      </c>
      <c r="D650" s="3" t="str">
        <f ca="1">INDEX(Routes!$A$2:$A$31,RANDBETWEEN(1,30))</f>
        <v>R020</v>
      </c>
      <c r="E650" s="3" t="str">
        <f ca="1">INDEX(Vehicles!$A$2:$A$21,RANDBETWEEN(1,20))</f>
        <v>V005</v>
      </c>
      <c r="F650" s="3" t="str">
        <f ca="1">INDEX(Drivers!$A$2:$A$31,RANDBETWEEN(1,30))</f>
        <v>D011</v>
      </c>
      <c r="G650" s="3">
        <f t="shared" ca="1" si="171"/>
        <v>18.600000000000001</v>
      </c>
      <c r="H650" s="3">
        <f t="shared" ca="1" si="172"/>
        <v>41315</v>
      </c>
      <c r="I650" s="3">
        <f t="shared" ca="1" si="173"/>
        <v>11568</v>
      </c>
      <c r="J650" s="3">
        <f t="shared" ca="1" si="174"/>
        <v>3347</v>
      </c>
      <c r="K650" s="3">
        <f t="shared" ca="1" si="175"/>
        <v>5</v>
      </c>
      <c r="L650" s="3">
        <f t="shared" ca="1" si="176"/>
        <v>5</v>
      </c>
      <c r="M650" s="3">
        <f t="shared" ca="1" si="177"/>
        <v>0</v>
      </c>
      <c r="N650" s="3" t="str">
        <f t="shared" ca="1" si="178"/>
        <v>On Time</v>
      </c>
      <c r="O650" s="3" t="str">
        <f t="shared" ca="1" si="179"/>
        <v>High</v>
      </c>
      <c r="P650" s="3">
        <f t="shared" ca="1" si="180"/>
        <v>62</v>
      </c>
      <c r="Q650" s="1" t="str">
        <f ca="1">VLOOKUP(D650,Routes!$A$2:$D$31,2,FALSE)</f>
        <v>Pune</v>
      </c>
      <c r="R650" s="1" t="str">
        <f ca="1">VLOOKUP(D650,Routes!$A$2:$D$31,3,FALSE)</f>
        <v>Nagpur</v>
      </c>
      <c r="S650" s="3">
        <f ca="1">VLOOKUP(D650,Routes!$A$2:$D$31,4,FALSE)</f>
        <v>720</v>
      </c>
      <c r="T650" s="3" t="str">
        <f ca="1">VLOOKUP(E650,Vehicles!$A$2:$D$21,2,FALSE)</f>
        <v>Trailer</v>
      </c>
      <c r="U650" s="3">
        <f ca="1">VLOOKUP(E650,Vehicles!$A$2:$D$21,3,FALSE)</f>
        <v>32</v>
      </c>
      <c r="V650" s="3" t="str">
        <f ca="1">VLOOKUP(E650,Vehicles!$A$2:$D$21,4,FALSE)</f>
        <v>Diesel</v>
      </c>
      <c r="W650" s="3">
        <f ca="1">VLOOKUP(V650,Fuel_Rates!$A$2:$B$3,2,FALSE)</f>
        <v>95</v>
      </c>
      <c r="X650" s="3">
        <f t="shared" ca="1" si="182"/>
        <v>57.38</v>
      </c>
      <c r="Y650" s="3">
        <f t="shared" ca="1" si="183"/>
        <v>56230</v>
      </c>
      <c r="Z650" s="3" t="str">
        <f t="shared" ca="1" si="184"/>
        <v>Apr</v>
      </c>
      <c r="AA650" s="3" t="str">
        <f t="shared" ca="1" si="185"/>
        <v>Q2</v>
      </c>
      <c r="AB650" s="4" t="str">
        <f t="shared" ca="1" si="186"/>
        <v>Medium Haul</v>
      </c>
    </row>
    <row r="651" spans="1:28" x14ac:dyDescent="0.3">
      <c r="A651" s="8" t="str">
        <f t="shared" si="181"/>
        <v>S0650</v>
      </c>
      <c r="B651" s="3">
        <f t="shared" ca="1" si="170"/>
        <v>45721</v>
      </c>
      <c r="C651" s="3" t="str">
        <f ca="1">INDEX(Customers!$A$2:$A$21,RANDBETWEEN(1,20))</f>
        <v>C007</v>
      </c>
      <c r="D651" s="3" t="str">
        <f ca="1">INDEX(Routes!$A$2:$A$31,RANDBETWEEN(1,30))</f>
        <v>R005</v>
      </c>
      <c r="E651" s="3" t="str">
        <f ca="1">INDEX(Vehicles!$A$2:$A$21,RANDBETWEEN(1,20))</f>
        <v>V020</v>
      </c>
      <c r="F651" s="3" t="str">
        <f ca="1">INDEX(Drivers!$A$2:$A$31,RANDBETWEEN(1,30))</f>
        <v>D009</v>
      </c>
      <c r="G651" s="3">
        <f t="shared" ca="1" si="171"/>
        <v>16.5</v>
      </c>
      <c r="H651" s="3">
        <f t="shared" ca="1" si="172"/>
        <v>42825</v>
      </c>
      <c r="I651" s="3">
        <f t="shared" ca="1" si="173"/>
        <v>11991</v>
      </c>
      <c r="J651" s="3">
        <f t="shared" ca="1" si="174"/>
        <v>2931</v>
      </c>
      <c r="K651" s="3">
        <f t="shared" ca="1" si="175"/>
        <v>14</v>
      </c>
      <c r="L651" s="3">
        <f t="shared" ca="1" si="176"/>
        <v>22</v>
      </c>
      <c r="M651" s="3">
        <f t="shared" ca="1" si="177"/>
        <v>8</v>
      </c>
      <c r="N651" s="3" t="str">
        <f t="shared" ca="1" si="178"/>
        <v>Delayed</v>
      </c>
      <c r="O651" s="3" t="str">
        <f t="shared" ca="1" si="179"/>
        <v>High</v>
      </c>
      <c r="P651" s="3">
        <f t="shared" ca="1" si="180"/>
        <v>55</v>
      </c>
      <c r="Q651" s="1" t="str">
        <f ca="1">VLOOKUP(D651,Routes!$A$2:$D$31,2,FALSE)</f>
        <v>Delhi</v>
      </c>
      <c r="R651" s="1" t="str">
        <f ca="1">VLOOKUP(D651,Routes!$A$2:$D$31,3,FALSE)</f>
        <v>Jaipur</v>
      </c>
      <c r="S651" s="3">
        <f ca="1">VLOOKUP(D651,Routes!$A$2:$D$31,4,FALSE)</f>
        <v>280</v>
      </c>
      <c r="T651" s="3" t="str">
        <f ca="1">VLOOKUP(E651,Vehicles!$A$2:$D$21,2,FALSE)</f>
        <v>Container</v>
      </c>
      <c r="U651" s="3">
        <f ca="1">VLOOKUP(E651,Vehicles!$A$2:$D$21,3,FALSE)</f>
        <v>28</v>
      </c>
      <c r="V651" s="3" t="str">
        <f ca="1">VLOOKUP(E651,Vehicles!$A$2:$D$21,4,FALSE)</f>
        <v>Diesel</v>
      </c>
      <c r="W651" s="3">
        <f ca="1">VLOOKUP(V651,Fuel_Rates!$A$2:$B$3,2,FALSE)</f>
        <v>95</v>
      </c>
      <c r="X651" s="3">
        <f t="shared" ca="1" si="182"/>
        <v>152.94999999999999</v>
      </c>
      <c r="Y651" s="3">
        <f t="shared" ca="1" si="183"/>
        <v>57747</v>
      </c>
      <c r="Z651" s="3" t="str">
        <f t="shared" ca="1" si="184"/>
        <v>Mar</v>
      </c>
      <c r="AA651" s="3" t="str">
        <f t="shared" ca="1" si="185"/>
        <v>Q1</v>
      </c>
      <c r="AB651" s="4" t="str">
        <f t="shared" ca="1" si="186"/>
        <v>Short Haul</v>
      </c>
    </row>
    <row r="652" spans="1:28" x14ac:dyDescent="0.3">
      <c r="A652" s="8" t="str">
        <f t="shared" si="181"/>
        <v>S0651</v>
      </c>
      <c r="B652" s="3">
        <f t="shared" ca="1" si="170"/>
        <v>45871</v>
      </c>
      <c r="C652" s="3" t="str">
        <f ca="1">INDEX(Customers!$A$2:$A$21,RANDBETWEEN(1,20))</f>
        <v>C007</v>
      </c>
      <c r="D652" s="3" t="str">
        <f ca="1">INDEX(Routes!$A$2:$A$31,RANDBETWEEN(1,30))</f>
        <v>R023</v>
      </c>
      <c r="E652" s="3" t="str">
        <f ca="1">INDEX(Vehicles!$A$2:$A$21,RANDBETWEEN(1,20))</f>
        <v>V017</v>
      </c>
      <c r="F652" s="3" t="str">
        <f ca="1">INDEX(Drivers!$A$2:$A$31,RANDBETWEEN(1,30))</f>
        <v>D007</v>
      </c>
      <c r="G652" s="3">
        <f t="shared" ca="1" si="171"/>
        <v>9.8000000000000007</v>
      </c>
      <c r="H652" s="3">
        <f t="shared" ca="1" si="172"/>
        <v>29643</v>
      </c>
      <c r="I652" s="3">
        <f t="shared" ca="1" si="173"/>
        <v>8300</v>
      </c>
      <c r="J652" s="3">
        <f t="shared" ca="1" si="174"/>
        <v>1386</v>
      </c>
      <c r="K652" s="3">
        <f t="shared" ca="1" si="175"/>
        <v>21</v>
      </c>
      <c r="L652" s="3">
        <f t="shared" ca="1" si="176"/>
        <v>27</v>
      </c>
      <c r="M652" s="3">
        <f t="shared" ca="1" si="177"/>
        <v>6</v>
      </c>
      <c r="N652" s="3" t="str">
        <f t="shared" ca="1" si="178"/>
        <v>Delayed</v>
      </c>
      <c r="O652" s="3" t="str">
        <f t="shared" ca="1" si="179"/>
        <v>Medium</v>
      </c>
      <c r="P652" s="3">
        <f t="shared" ca="1" si="180"/>
        <v>32.700000000000003</v>
      </c>
      <c r="Q652" s="1" t="str">
        <f ca="1">VLOOKUP(D652,Routes!$A$2:$D$31,2,FALSE)</f>
        <v>Kochi</v>
      </c>
      <c r="R652" s="1" t="str">
        <f ca="1">VLOOKUP(D652,Routes!$A$2:$D$31,3,FALSE)</f>
        <v>Bengaluru</v>
      </c>
      <c r="S652" s="3">
        <f ca="1">VLOOKUP(D652,Routes!$A$2:$D$31,4,FALSE)</f>
        <v>550</v>
      </c>
      <c r="T652" s="3" t="str">
        <f ca="1">VLOOKUP(E652,Vehicles!$A$2:$D$21,2,FALSE)</f>
        <v>Truck</v>
      </c>
      <c r="U652" s="3">
        <f ca="1">VLOOKUP(E652,Vehicles!$A$2:$D$21,3,FALSE)</f>
        <v>24</v>
      </c>
      <c r="V652" s="3" t="str">
        <f ca="1">VLOOKUP(E652,Vehicles!$A$2:$D$21,4,FALSE)</f>
        <v>Diesel</v>
      </c>
      <c r="W652" s="3">
        <f ca="1">VLOOKUP(V652,Fuel_Rates!$A$2:$B$3,2,FALSE)</f>
        <v>95</v>
      </c>
      <c r="X652" s="3">
        <f t="shared" ca="1" si="182"/>
        <v>53.9</v>
      </c>
      <c r="Y652" s="3">
        <f t="shared" ca="1" si="183"/>
        <v>39329</v>
      </c>
      <c r="Z652" s="3" t="str">
        <f t="shared" ca="1" si="184"/>
        <v>Aug</v>
      </c>
      <c r="AA652" s="3" t="str">
        <f t="shared" ca="1" si="185"/>
        <v>Q3</v>
      </c>
      <c r="AB652" s="4" t="str">
        <f t="shared" ca="1" si="186"/>
        <v>Medium Haul</v>
      </c>
    </row>
    <row r="653" spans="1:28" x14ac:dyDescent="0.3">
      <c r="A653" s="8" t="str">
        <f t="shared" si="181"/>
        <v>S0652</v>
      </c>
      <c r="B653" s="3">
        <f t="shared" ca="1" si="170"/>
        <v>45949</v>
      </c>
      <c r="C653" s="3" t="str">
        <f ca="1">INDEX(Customers!$A$2:$A$21,RANDBETWEEN(1,20))</f>
        <v>C012</v>
      </c>
      <c r="D653" s="3" t="str">
        <f ca="1">INDEX(Routes!$A$2:$A$31,RANDBETWEEN(1,30))</f>
        <v>R016</v>
      </c>
      <c r="E653" s="3" t="str">
        <f ca="1">INDEX(Vehicles!$A$2:$A$21,RANDBETWEEN(1,20))</f>
        <v>V017</v>
      </c>
      <c r="F653" s="3" t="str">
        <f ca="1">INDEX(Drivers!$A$2:$A$31,RANDBETWEEN(1,30))</f>
        <v>D011</v>
      </c>
      <c r="G653" s="3">
        <f t="shared" ca="1" si="171"/>
        <v>18.600000000000001</v>
      </c>
      <c r="H653" s="3">
        <f t="shared" ca="1" si="172"/>
        <v>37359</v>
      </c>
      <c r="I653" s="3">
        <f t="shared" ca="1" si="173"/>
        <v>10461</v>
      </c>
      <c r="J653" s="3">
        <f t="shared" ca="1" si="174"/>
        <v>2839</v>
      </c>
      <c r="K653" s="3">
        <f t="shared" ca="1" si="175"/>
        <v>41</v>
      </c>
      <c r="L653" s="3">
        <f t="shared" ca="1" si="176"/>
        <v>49</v>
      </c>
      <c r="M653" s="3">
        <f t="shared" ca="1" si="177"/>
        <v>8</v>
      </c>
      <c r="N653" s="3" t="str">
        <f t="shared" ca="1" si="178"/>
        <v>Delayed</v>
      </c>
      <c r="O653" s="3" t="str">
        <f t="shared" ca="1" si="179"/>
        <v>Medium</v>
      </c>
      <c r="P653" s="3">
        <f t="shared" ca="1" si="180"/>
        <v>62</v>
      </c>
      <c r="Q653" s="1" t="str">
        <f ca="1">VLOOKUP(D653,Routes!$A$2:$D$31,2,FALSE)</f>
        <v>Kolkata</v>
      </c>
      <c r="R653" s="1" t="str">
        <f ca="1">VLOOKUP(D653,Routes!$A$2:$D$31,3,FALSE)</f>
        <v>Bhubaneswar</v>
      </c>
      <c r="S653" s="3">
        <f ca="1">VLOOKUP(D653,Routes!$A$2:$D$31,4,FALSE)</f>
        <v>440</v>
      </c>
      <c r="T653" s="3" t="str">
        <f ca="1">VLOOKUP(E653,Vehicles!$A$2:$D$21,2,FALSE)</f>
        <v>Truck</v>
      </c>
      <c r="U653" s="3">
        <f ca="1">VLOOKUP(E653,Vehicles!$A$2:$D$21,3,FALSE)</f>
        <v>24</v>
      </c>
      <c r="V653" s="3" t="str">
        <f ca="1">VLOOKUP(E653,Vehicles!$A$2:$D$21,4,FALSE)</f>
        <v>Diesel</v>
      </c>
      <c r="W653" s="3">
        <f ca="1">VLOOKUP(V653,Fuel_Rates!$A$2:$B$3,2,FALSE)</f>
        <v>95</v>
      </c>
      <c r="X653" s="3">
        <f t="shared" ca="1" si="182"/>
        <v>84.91</v>
      </c>
      <c r="Y653" s="3">
        <f t="shared" ca="1" si="183"/>
        <v>50659</v>
      </c>
      <c r="Z653" s="3" t="str">
        <f t="shared" ca="1" si="184"/>
        <v>Oct</v>
      </c>
      <c r="AA653" s="3" t="str">
        <f t="shared" ca="1" si="185"/>
        <v>Q4</v>
      </c>
      <c r="AB653" s="4" t="str">
        <f t="shared" ca="1" si="186"/>
        <v>Medium Haul</v>
      </c>
    </row>
    <row r="654" spans="1:28" x14ac:dyDescent="0.3">
      <c r="A654" s="8" t="str">
        <f t="shared" si="181"/>
        <v>S0653</v>
      </c>
      <c r="B654" s="3">
        <f t="shared" ca="1" si="170"/>
        <v>46007</v>
      </c>
      <c r="C654" s="3" t="str">
        <f ca="1">INDEX(Customers!$A$2:$A$21,RANDBETWEEN(1,20))</f>
        <v>C005</v>
      </c>
      <c r="D654" s="3" t="str">
        <f ca="1">INDEX(Routes!$A$2:$A$31,RANDBETWEEN(1,30))</f>
        <v>R018</v>
      </c>
      <c r="E654" s="3" t="str">
        <f ca="1">INDEX(Vehicles!$A$2:$A$21,RANDBETWEEN(1,20))</f>
        <v>V008</v>
      </c>
      <c r="F654" s="3" t="str">
        <f ca="1">INDEX(Drivers!$A$2:$A$31,RANDBETWEEN(1,30))</f>
        <v>D007</v>
      </c>
      <c r="G654" s="3">
        <f t="shared" ca="1" si="171"/>
        <v>27.6</v>
      </c>
      <c r="H654" s="3">
        <f t="shared" ca="1" si="172"/>
        <v>52914</v>
      </c>
      <c r="I654" s="3">
        <f t="shared" ca="1" si="173"/>
        <v>14816</v>
      </c>
      <c r="J654" s="3">
        <f t="shared" ca="1" si="174"/>
        <v>989</v>
      </c>
      <c r="K654" s="3">
        <f t="shared" ca="1" si="175"/>
        <v>25</v>
      </c>
      <c r="L654" s="3">
        <f t="shared" ca="1" si="176"/>
        <v>32</v>
      </c>
      <c r="M654" s="3">
        <f t="shared" ca="1" si="177"/>
        <v>7</v>
      </c>
      <c r="N654" s="3" t="str">
        <f t="shared" ca="1" si="178"/>
        <v>Delayed</v>
      </c>
      <c r="O654" s="3" t="str">
        <f t="shared" ca="1" si="179"/>
        <v>High</v>
      </c>
      <c r="P654" s="3">
        <f t="shared" ca="1" si="180"/>
        <v>92</v>
      </c>
      <c r="Q654" s="1" t="str">
        <f ca="1">VLOOKUP(D654,Routes!$A$2:$D$31,2,FALSE)</f>
        <v>Ahmedabad</v>
      </c>
      <c r="R654" s="1" t="str">
        <f ca="1">VLOOKUP(D654,Routes!$A$2:$D$31,3,FALSE)</f>
        <v>Jaipur</v>
      </c>
      <c r="S654" s="3">
        <f ca="1">VLOOKUP(D654,Routes!$A$2:$D$31,4,FALSE)</f>
        <v>670</v>
      </c>
      <c r="T654" s="3" t="str">
        <f ca="1">VLOOKUP(E654,Vehicles!$A$2:$D$21,2,FALSE)</f>
        <v>Container</v>
      </c>
      <c r="U654" s="3">
        <f ca="1">VLOOKUP(E654,Vehicles!$A$2:$D$21,3,FALSE)</f>
        <v>25</v>
      </c>
      <c r="V654" s="3" t="str">
        <f ca="1">VLOOKUP(E654,Vehicles!$A$2:$D$21,4,FALSE)</f>
        <v>Diesel</v>
      </c>
      <c r="W654" s="3">
        <f ca="1">VLOOKUP(V654,Fuel_Rates!$A$2:$B$3,2,FALSE)</f>
        <v>95</v>
      </c>
      <c r="X654" s="3">
        <f t="shared" ca="1" si="182"/>
        <v>78.98</v>
      </c>
      <c r="Y654" s="3">
        <f t="shared" ca="1" si="183"/>
        <v>68719</v>
      </c>
      <c r="Z654" s="3" t="str">
        <f t="shared" ca="1" si="184"/>
        <v>Dec</v>
      </c>
      <c r="AA654" s="3" t="str">
        <f t="shared" ca="1" si="185"/>
        <v>Q4</v>
      </c>
      <c r="AB654" s="4" t="str">
        <f t="shared" ca="1" si="186"/>
        <v>Medium Haul</v>
      </c>
    </row>
    <row r="655" spans="1:28" x14ac:dyDescent="0.3">
      <c r="A655" s="8" t="str">
        <f t="shared" si="181"/>
        <v>S0654</v>
      </c>
      <c r="B655" s="3">
        <f t="shared" ca="1" si="170"/>
        <v>45911</v>
      </c>
      <c r="C655" s="3" t="str">
        <f ca="1">INDEX(Customers!$A$2:$A$21,RANDBETWEEN(1,20))</f>
        <v>C001</v>
      </c>
      <c r="D655" s="3" t="str">
        <f ca="1">INDEX(Routes!$A$2:$A$31,RANDBETWEEN(1,30))</f>
        <v>R019</v>
      </c>
      <c r="E655" s="3" t="str">
        <f ca="1">INDEX(Vehicles!$A$2:$A$21,RANDBETWEEN(1,20))</f>
        <v>V007</v>
      </c>
      <c r="F655" s="3" t="str">
        <f ca="1">INDEX(Drivers!$A$2:$A$31,RANDBETWEEN(1,30))</f>
        <v>D014</v>
      </c>
      <c r="G655" s="3">
        <f t="shared" ca="1" si="171"/>
        <v>18.100000000000001</v>
      </c>
      <c r="H655" s="3">
        <f t="shared" ca="1" si="172"/>
        <v>36365</v>
      </c>
      <c r="I655" s="3">
        <f t="shared" ca="1" si="173"/>
        <v>10182</v>
      </c>
      <c r="J655" s="3">
        <f t="shared" ca="1" si="174"/>
        <v>3671</v>
      </c>
      <c r="K655" s="3">
        <f t="shared" ca="1" si="175"/>
        <v>14</v>
      </c>
      <c r="L655" s="3">
        <f t="shared" ca="1" si="176"/>
        <v>14</v>
      </c>
      <c r="M655" s="3">
        <f t="shared" ca="1" si="177"/>
        <v>0</v>
      </c>
      <c r="N655" s="3" t="str">
        <f t="shared" ca="1" si="178"/>
        <v>On Time</v>
      </c>
      <c r="O655" s="3" t="str">
        <f t="shared" ca="1" si="179"/>
        <v>Medium</v>
      </c>
      <c r="P655" s="3">
        <f t="shared" ca="1" si="180"/>
        <v>60.3</v>
      </c>
      <c r="Q655" s="1" t="str">
        <f ca="1">VLOOKUP(D655,Routes!$A$2:$D$31,2,FALSE)</f>
        <v>Ahmedabad</v>
      </c>
      <c r="R655" s="1" t="str">
        <f ca="1">VLOOKUP(D655,Routes!$A$2:$D$31,3,FALSE)</f>
        <v>Indore</v>
      </c>
      <c r="S655" s="3">
        <f ca="1">VLOOKUP(D655,Routes!$A$2:$D$31,4,FALSE)</f>
        <v>390</v>
      </c>
      <c r="T655" s="3" t="str">
        <f ca="1">VLOOKUP(E655,Vehicles!$A$2:$D$21,2,FALSE)</f>
        <v>Container</v>
      </c>
      <c r="U655" s="3">
        <f ca="1">VLOOKUP(E655,Vehicles!$A$2:$D$21,3,FALSE)</f>
        <v>20</v>
      </c>
      <c r="V655" s="3" t="str">
        <f ca="1">VLOOKUP(E655,Vehicles!$A$2:$D$21,4,FALSE)</f>
        <v>Diesel</v>
      </c>
      <c r="W655" s="3">
        <f ca="1">VLOOKUP(V655,Fuel_Rates!$A$2:$B$3,2,FALSE)</f>
        <v>95</v>
      </c>
      <c r="X655" s="3">
        <f t="shared" ca="1" si="182"/>
        <v>93.24</v>
      </c>
      <c r="Y655" s="3">
        <f t="shared" ca="1" si="183"/>
        <v>50218</v>
      </c>
      <c r="Z655" s="3" t="str">
        <f t="shared" ca="1" si="184"/>
        <v>Sep</v>
      </c>
      <c r="AA655" s="3" t="str">
        <f t="shared" ca="1" si="185"/>
        <v>Q3</v>
      </c>
      <c r="AB655" s="4" t="str">
        <f t="shared" ca="1" si="186"/>
        <v>Medium Haul</v>
      </c>
    </row>
    <row r="656" spans="1:28" x14ac:dyDescent="0.3">
      <c r="A656" s="8" t="str">
        <f t="shared" si="181"/>
        <v>S0655</v>
      </c>
      <c r="B656" s="3">
        <f t="shared" ca="1" si="170"/>
        <v>45726</v>
      </c>
      <c r="C656" s="3" t="str">
        <f ca="1">INDEX(Customers!$A$2:$A$21,RANDBETWEEN(1,20))</f>
        <v>C005</v>
      </c>
      <c r="D656" s="3" t="str">
        <f ca="1">INDEX(Routes!$A$2:$A$31,RANDBETWEEN(1,30))</f>
        <v>R006</v>
      </c>
      <c r="E656" s="3" t="str">
        <f ca="1">INDEX(Vehicles!$A$2:$A$21,RANDBETWEEN(1,20))</f>
        <v>V017</v>
      </c>
      <c r="F656" s="3" t="str">
        <f ca="1">INDEX(Drivers!$A$2:$A$31,RANDBETWEEN(1,30))</f>
        <v>D015</v>
      </c>
      <c r="G656" s="3">
        <f t="shared" ca="1" si="171"/>
        <v>28.6</v>
      </c>
      <c r="H656" s="3">
        <f t="shared" ca="1" si="172"/>
        <v>64813</v>
      </c>
      <c r="I656" s="3">
        <f t="shared" ca="1" si="173"/>
        <v>18148</v>
      </c>
      <c r="J656" s="3">
        <f t="shared" ca="1" si="174"/>
        <v>2482</v>
      </c>
      <c r="K656" s="3">
        <f t="shared" ca="1" si="175"/>
        <v>29</v>
      </c>
      <c r="L656" s="3">
        <f t="shared" ca="1" si="176"/>
        <v>36</v>
      </c>
      <c r="M656" s="3">
        <f t="shared" ca="1" si="177"/>
        <v>7</v>
      </c>
      <c r="N656" s="3" t="str">
        <f t="shared" ca="1" si="178"/>
        <v>Delayed</v>
      </c>
      <c r="O656" s="3" t="str">
        <f t="shared" ca="1" si="179"/>
        <v>Low</v>
      </c>
      <c r="P656" s="3">
        <f t="shared" ca="1" si="180"/>
        <v>95.3</v>
      </c>
      <c r="Q656" s="1" t="str">
        <f ca="1">VLOOKUP(D656,Routes!$A$2:$D$31,2,FALSE)</f>
        <v>Delhi</v>
      </c>
      <c r="R656" s="1" t="str">
        <f ca="1">VLOOKUP(D656,Routes!$A$2:$D$31,3,FALSE)</f>
        <v>Lucknow</v>
      </c>
      <c r="S656" s="3">
        <f ca="1">VLOOKUP(D656,Routes!$A$2:$D$31,4,FALSE)</f>
        <v>550</v>
      </c>
      <c r="T656" s="3" t="str">
        <f ca="1">VLOOKUP(E656,Vehicles!$A$2:$D$21,2,FALSE)</f>
        <v>Truck</v>
      </c>
      <c r="U656" s="3">
        <f ca="1">VLOOKUP(E656,Vehicles!$A$2:$D$21,3,FALSE)</f>
        <v>24</v>
      </c>
      <c r="V656" s="3" t="str">
        <f ca="1">VLOOKUP(E656,Vehicles!$A$2:$D$21,4,FALSE)</f>
        <v>Diesel</v>
      </c>
      <c r="W656" s="3">
        <f ca="1">VLOOKUP(V656,Fuel_Rates!$A$2:$B$3,2,FALSE)</f>
        <v>95</v>
      </c>
      <c r="X656" s="3">
        <f t="shared" ca="1" si="182"/>
        <v>117.84</v>
      </c>
      <c r="Y656" s="3">
        <f t="shared" ca="1" si="183"/>
        <v>85443</v>
      </c>
      <c r="Z656" s="3" t="str">
        <f t="shared" ca="1" si="184"/>
        <v>Mar</v>
      </c>
      <c r="AA656" s="3" t="str">
        <f t="shared" ca="1" si="185"/>
        <v>Q1</v>
      </c>
      <c r="AB656" s="4" t="str">
        <f t="shared" ca="1" si="186"/>
        <v>Medium Haul</v>
      </c>
    </row>
    <row r="657" spans="1:28" x14ac:dyDescent="0.3">
      <c r="A657" s="8" t="str">
        <f t="shared" si="181"/>
        <v>S0656</v>
      </c>
      <c r="B657" s="3">
        <f t="shared" ca="1" si="170"/>
        <v>45968</v>
      </c>
      <c r="C657" s="3" t="str">
        <f ca="1">INDEX(Customers!$A$2:$A$21,RANDBETWEEN(1,20))</f>
        <v>C016</v>
      </c>
      <c r="D657" s="3" t="str">
        <f ca="1">INDEX(Routes!$A$2:$A$31,RANDBETWEEN(1,30))</f>
        <v>R003</v>
      </c>
      <c r="E657" s="3" t="str">
        <f ca="1">INDEX(Vehicles!$A$2:$A$21,RANDBETWEEN(1,20))</f>
        <v>V002</v>
      </c>
      <c r="F657" s="3" t="str">
        <f ca="1">INDEX(Drivers!$A$2:$A$31,RANDBETWEEN(1,30))</f>
        <v>D025</v>
      </c>
      <c r="G657" s="3">
        <f t="shared" ca="1" si="171"/>
        <v>25.3</v>
      </c>
      <c r="H657" s="3">
        <f t="shared" ca="1" si="172"/>
        <v>55645</v>
      </c>
      <c r="I657" s="3">
        <f t="shared" ca="1" si="173"/>
        <v>15581</v>
      </c>
      <c r="J657" s="3">
        <f t="shared" ca="1" si="174"/>
        <v>1184</v>
      </c>
      <c r="K657" s="3">
        <f t="shared" ca="1" si="175"/>
        <v>39</v>
      </c>
      <c r="L657" s="3">
        <f t="shared" ca="1" si="176"/>
        <v>42</v>
      </c>
      <c r="M657" s="3">
        <f t="shared" ca="1" si="177"/>
        <v>3</v>
      </c>
      <c r="N657" s="3" t="str">
        <f t="shared" ca="1" si="178"/>
        <v>Delayed</v>
      </c>
      <c r="O657" s="3" t="str">
        <f t="shared" ca="1" si="179"/>
        <v>Low</v>
      </c>
      <c r="P657" s="3">
        <f t="shared" ca="1" si="180"/>
        <v>84.3</v>
      </c>
      <c r="Q657" s="1" t="str">
        <f ca="1">VLOOKUP(D657,Routes!$A$2:$D$31,2,FALSE)</f>
        <v>Mumbai</v>
      </c>
      <c r="R657" s="1" t="str">
        <f ca="1">VLOOKUP(D657,Routes!$A$2:$D$31,3,FALSE)</f>
        <v>Delhi</v>
      </c>
      <c r="S657" s="3">
        <f ca="1">VLOOKUP(D657,Routes!$A$2:$D$31,4,FALSE)</f>
        <v>1450</v>
      </c>
      <c r="T657" s="3" t="str">
        <f ca="1">VLOOKUP(E657,Vehicles!$A$2:$D$21,2,FALSE)</f>
        <v>Truck</v>
      </c>
      <c r="U657" s="3">
        <f ca="1">VLOOKUP(E657,Vehicles!$A$2:$D$21,3,FALSE)</f>
        <v>20</v>
      </c>
      <c r="V657" s="3" t="str">
        <f ca="1">VLOOKUP(E657,Vehicles!$A$2:$D$21,4,FALSE)</f>
        <v>Diesel</v>
      </c>
      <c r="W657" s="3">
        <f ca="1">VLOOKUP(V657,Fuel_Rates!$A$2:$B$3,2,FALSE)</f>
        <v>95</v>
      </c>
      <c r="X657" s="3">
        <f t="shared" ca="1" si="182"/>
        <v>38.380000000000003</v>
      </c>
      <c r="Y657" s="3">
        <f t="shared" ca="1" si="183"/>
        <v>72410</v>
      </c>
      <c r="Z657" s="3" t="str">
        <f t="shared" ca="1" si="184"/>
        <v>Nov</v>
      </c>
      <c r="AA657" s="3" t="str">
        <f t="shared" ca="1" si="185"/>
        <v>Q4</v>
      </c>
      <c r="AB657" s="4" t="str">
        <f t="shared" ca="1" si="186"/>
        <v>Long Haul</v>
      </c>
    </row>
    <row r="658" spans="1:28" x14ac:dyDescent="0.3">
      <c r="A658" s="8" t="str">
        <f t="shared" si="181"/>
        <v>S0657</v>
      </c>
      <c r="B658" s="3">
        <f t="shared" ca="1" si="170"/>
        <v>45912</v>
      </c>
      <c r="C658" s="3" t="str">
        <f ca="1">INDEX(Customers!$A$2:$A$21,RANDBETWEEN(1,20))</f>
        <v>C020</v>
      </c>
      <c r="D658" s="3" t="str">
        <f ca="1">INDEX(Routes!$A$2:$A$31,RANDBETWEEN(1,30))</f>
        <v>R028</v>
      </c>
      <c r="E658" s="3" t="str">
        <f ca="1">INDEX(Vehicles!$A$2:$A$21,RANDBETWEEN(1,20))</f>
        <v>V011</v>
      </c>
      <c r="F658" s="3" t="str">
        <f ca="1">INDEX(Drivers!$A$2:$A$31,RANDBETWEEN(1,30))</f>
        <v>D020</v>
      </c>
      <c r="G658" s="3">
        <f t="shared" ca="1" si="171"/>
        <v>5.3</v>
      </c>
      <c r="H658" s="3">
        <f t="shared" ca="1" si="172"/>
        <v>12983</v>
      </c>
      <c r="I658" s="3">
        <f t="shared" ca="1" si="173"/>
        <v>3635</v>
      </c>
      <c r="J658" s="3">
        <f t="shared" ca="1" si="174"/>
        <v>2431</v>
      </c>
      <c r="K658" s="3">
        <f t="shared" ca="1" si="175"/>
        <v>38</v>
      </c>
      <c r="L658" s="3">
        <f t="shared" ca="1" si="176"/>
        <v>38</v>
      </c>
      <c r="M658" s="3">
        <f t="shared" ca="1" si="177"/>
        <v>0</v>
      </c>
      <c r="N658" s="3" t="str">
        <f t="shared" ca="1" si="178"/>
        <v>On Time</v>
      </c>
      <c r="O658" s="3" t="str">
        <f t="shared" ca="1" si="179"/>
        <v>Low</v>
      </c>
      <c r="P658" s="3">
        <f t="shared" ca="1" si="180"/>
        <v>17.7</v>
      </c>
      <c r="Q658" s="1" t="str">
        <f ca="1">VLOOKUP(D658,Routes!$A$2:$D$31,2,FALSE)</f>
        <v>Indore</v>
      </c>
      <c r="R658" s="1" t="str">
        <f ca="1">VLOOKUP(D658,Routes!$A$2:$D$31,3,FALSE)</f>
        <v>Mumbai</v>
      </c>
      <c r="S658" s="3">
        <f ca="1">VLOOKUP(D658,Routes!$A$2:$D$31,4,FALSE)</f>
        <v>590</v>
      </c>
      <c r="T658" s="3" t="str">
        <f ca="1">VLOOKUP(E658,Vehicles!$A$2:$D$21,2,FALSE)</f>
        <v>Truck</v>
      </c>
      <c r="U658" s="3">
        <f ca="1">VLOOKUP(E658,Vehicles!$A$2:$D$21,3,FALSE)</f>
        <v>18</v>
      </c>
      <c r="V658" s="3" t="str">
        <f ca="1">VLOOKUP(E658,Vehicles!$A$2:$D$21,4,FALSE)</f>
        <v>CNG</v>
      </c>
      <c r="W658" s="3">
        <f ca="1">VLOOKUP(V658,Fuel_Rates!$A$2:$B$3,2,FALSE)</f>
        <v>78</v>
      </c>
      <c r="X658" s="3">
        <f t="shared" ca="1" si="182"/>
        <v>22.01</v>
      </c>
      <c r="Y658" s="3">
        <f t="shared" ca="1" si="183"/>
        <v>19049</v>
      </c>
      <c r="Z658" s="3" t="str">
        <f t="shared" ca="1" si="184"/>
        <v>Sep</v>
      </c>
      <c r="AA658" s="3" t="str">
        <f t="shared" ca="1" si="185"/>
        <v>Q3</v>
      </c>
      <c r="AB658" s="4" t="str">
        <f t="shared" ca="1" si="186"/>
        <v>Medium Haul</v>
      </c>
    </row>
    <row r="659" spans="1:28" x14ac:dyDescent="0.3">
      <c r="A659" s="8" t="str">
        <f t="shared" si="181"/>
        <v>S0658</v>
      </c>
      <c r="B659" s="3">
        <f t="shared" ca="1" si="170"/>
        <v>45713</v>
      </c>
      <c r="C659" s="3" t="str">
        <f ca="1">INDEX(Customers!$A$2:$A$21,RANDBETWEEN(1,20))</f>
        <v>C016</v>
      </c>
      <c r="D659" s="3" t="str">
        <f ca="1">INDEX(Routes!$A$2:$A$31,RANDBETWEEN(1,30))</f>
        <v>R018</v>
      </c>
      <c r="E659" s="3" t="str">
        <f ca="1">INDEX(Vehicles!$A$2:$A$21,RANDBETWEEN(1,20))</f>
        <v>V020</v>
      </c>
      <c r="F659" s="3" t="str">
        <f ca="1">INDEX(Drivers!$A$2:$A$31,RANDBETWEEN(1,30))</f>
        <v>D016</v>
      </c>
      <c r="G659" s="3">
        <f t="shared" ca="1" si="171"/>
        <v>21.6</v>
      </c>
      <c r="H659" s="3">
        <f t="shared" ca="1" si="172"/>
        <v>46831</v>
      </c>
      <c r="I659" s="3">
        <f t="shared" ca="1" si="173"/>
        <v>13113</v>
      </c>
      <c r="J659" s="3">
        <f t="shared" ca="1" si="174"/>
        <v>3195</v>
      </c>
      <c r="K659" s="3">
        <f t="shared" ca="1" si="175"/>
        <v>48</v>
      </c>
      <c r="L659" s="3">
        <f t="shared" ca="1" si="176"/>
        <v>53</v>
      </c>
      <c r="M659" s="3">
        <f t="shared" ca="1" si="177"/>
        <v>5</v>
      </c>
      <c r="N659" s="3" t="str">
        <f t="shared" ca="1" si="178"/>
        <v>Delayed</v>
      </c>
      <c r="O659" s="3" t="str">
        <f t="shared" ca="1" si="179"/>
        <v>Medium</v>
      </c>
      <c r="P659" s="3">
        <f t="shared" ca="1" si="180"/>
        <v>72</v>
      </c>
      <c r="Q659" s="1" t="str">
        <f ca="1">VLOOKUP(D659,Routes!$A$2:$D$31,2,FALSE)</f>
        <v>Ahmedabad</v>
      </c>
      <c r="R659" s="1" t="str">
        <f ca="1">VLOOKUP(D659,Routes!$A$2:$D$31,3,FALSE)</f>
        <v>Jaipur</v>
      </c>
      <c r="S659" s="3">
        <f ca="1">VLOOKUP(D659,Routes!$A$2:$D$31,4,FALSE)</f>
        <v>670</v>
      </c>
      <c r="T659" s="3" t="str">
        <f ca="1">VLOOKUP(E659,Vehicles!$A$2:$D$21,2,FALSE)</f>
        <v>Container</v>
      </c>
      <c r="U659" s="3">
        <f ca="1">VLOOKUP(E659,Vehicles!$A$2:$D$21,3,FALSE)</f>
        <v>28</v>
      </c>
      <c r="V659" s="3" t="str">
        <f ca="1">VLOOKUP(E659,Vehicles!$A$2:$D$21,4,FALSE)</f>
        <v>Diesel</v>
      </c>
      <c r="W659" s="3">
        <f ca="1">VLOOKUP(V659,Fuel_Rates!$A$2:$B$3,2,FALSE)</f>
        <v>95</v>
      </c>
      <c r="X659" s="3">
        <f t="shared" ca="1" si="182"/>
        <v>69.900000000000006</v>
      </c>
      <c r="Y659" s="3">
        <f t="shared" ca="1" si="183"/>
        <v>63139</v>
      </c>
      <c r="Z659" s="3" t="str">
        <f t="shared" ca="1" si="184"/>
        <v>Feb</v>
      </c>
      <c r="AA659" s="3" t="str">
        <f t="shared" ca="1" si="185"/>
        <v>Q1</v>
      </c>
      <c r="AB659" s="4" t="str">
        <f t="shared" ca="1" si="186"/>
        <v>Medium Haul</v>
      </c>
    </row>
    <row r="660" spans="1:28" x14ac:dyDescent="0.3">
      <c r="A660" s="8" t="str">
        <f t="shared" si="181"/>
        <v>S0659</v>
      </c>
      <c r="B660" s="3">
        <f t="shared" ca="1" si="170"/>
        <v>45871</v>
      </c>
      <c r="C660" s="3" t="str">
        <f ca="1">INDEX(Customers!$A$2:$A$21,RANDBETWEEN(1,20))</f>
        <v>C015</v>
      </c>
      <c r="D660" s="3" t="str">
        <f ca="1">INDEX(Routes!$A$2:$A$31,RANDBETWEEN(1,30))</f>
        <v>R010</v>
      </c>
      <c r="E660" s="3" t="str">
        <f ca="1">INDEX(Vehicles!$A$2:$A$21,RANDBETWEEN(1,20))</f>
        <v>V008</v>
      </c>
      <c r="F660" s="3" t="str">
        <f ca="1">INDEX(Drivers!$A$2:$A$31,RANDBETWEEN(1,30))</f>
        <v>D017</v>
      </c>
      <c r="G660" s="3">
        <f t="shared" ca="1" si="171"/>
        <v>6.3</v>
      </c>
      <c r="H660" s="3">
        <f t="shared" ca="1" si="172"/>
        <v>15134</v>
      </c>
      <c r="I660" s="3">
        <f t="shared" ca="1" si="173"/>
        <v>4238</v>
      </c>
      <c r="J660" s="3">
        <f t="shared" ca="1" si="174"/>
        <v>926</v>
      </c>
      <c r="K660" s="3">
        <f t="shared" ca="1" si="175"/>
        <v>6</v>
      </c>
      <c r="L660" s="3">
        <f t="shared" ca="1" si="176"/>
        <v>13</v>
      </c>
      <c r="M660" s="3">
        <f t="shared" ca="1" si="177"/>
        <v>7</v>
      </c>
      <c r="N660" s="3" t="str">
        <f t="shared" ca="1" si="178"/>
        <v>Delayed</v>
      </c>
      <c r="O660" s="3" t="str">
        <f t="shared" ca="1" si="179"/>
        <v>Low</v>
      </c>
      <c r="P660" s="3">
        <f t="shared" ca="1" si="180"/>
        <v>21</v>
      </c>
      <c r="Q660" s="1" t="str">
        <f ca="1">VLOOKUP(D660,Routes!$A$2:$D$31,2,FALSE)</f>
        <v>Bengaluru</v>
      </c>
      <c r="R660" s="1" t="str">
        <f ca="1">VLOOKUP(D660,Routes!$A$2:$D$31,3,FALSE)</f>
        <v>Hyderabad</v>
      </c>
      <c r="S660" s="3">
        <f ca="1">VLOOKUP(D660,Routes!$A$2:$D$31,4,FALSE)</f>
        <v>570</v>
      </c>
      <c r="T660" s="3" t="str">
        <f ca="1">VLOOKUP(E660,Vehicles!$A$2:$D$21,2,FALSE)</f>
        <v>Container</v>
      </c>
      <c r="U660" s="3">
        <f ca="1">VLOOKUP(E660,Vehicles!$A$2:$D$21,3,FALSE)</f>
        <v>25</v>
      </c>
      <c r="V660" s="3" t="str">
        <f ca="1">VLOOKUP(E660,Vehicles!$A$2:$D$21,4,FALSE)</f>
        <v>Diesel</v>
      </c>
      <c r="W660" s="3">
        <f ca="1">VLOOKUP(V660,Fuel_Rates!$A$2:$B$3,2,FALSE)</f>
        <v>95</v>
      </c>
      <c r="X660" s="3">
        <f t="shared" ca="1" si="182"/>
        <v>26.55</v>
      </c>
      <c r="Y660" s="3">
        <f t="shared" ca="1" si="183"/>
        <v>20298</v>
      </c>
      <c r="Z660" s="3" t="str">
        <f t="shared" ca="1" si="184"/>
        <v>Aug</v>
      </c>
      <c r="AA660" s="3" t="str">
        <f t="shared" ca="1" si="185"/>
        <v>Q3</v>
      </c>
      <c r="AB660" s="4" t="str">
        <f t="shared" ca="1" si="186"/>
        <v>Medium Haul</v>
      </c>
    </row>
    <row r="661" spans="1:28" x14ac:dyDescent="0.3">
      <c r="A661" s="8" t="str">
        <f t="shared" si="181"/>
        <v>S0660</v>
      </c>
      <c r="B661" s="3">
        <f t="shared" ca="1" si="170"/>
        <v>45739</v>
      </c>
      <c r="C661" s="3" t="str">
        <f ca="1">INDEX(Customers!$A$2:$A$21,RANDBETWEEN(1,20))</f>
        <v>C019</v>
      </c>
      <c r="D661" s="3" t="str">
        <f ca="1">INDEX(Routes!$A$2:$A$31,RANDBETWEEN(1,30))</f>
        <v>R019</v>
      </c>
      <c r="E661" s="3" t="str">
        <f ca="1">INDEX(Vehicles!$A$2:$A$21,RANDBETWEEN(1,20))</f>
        <v>V013</v>
      </c>
      <c r="F661" s="3" t="str">
        <f ca="1">INDEX(Drivers!$A$2:$A$31,RANDBETWEEN(1,30))</f>
        <v>D004</v>
      </c>
      <c r="G661" s="3">
        <f t="shared" ca="1" si="171"/>
        <v>12</v>
      </c>
      <c r="H661" s="3">
        <f t="shared" ca="1" si="172"/>
        <v>28494</v>
      </c>
      <c r="I661" s="3">
        <f t="shared" ca="1" si="173"/>
        <v>7978</v>
      </c>
      <c r="J661" s="3">
        <f t="shared" ca="1" si="174"/>
        <v>2460</v>
      </c>
      <c r="K661" s="3">
        <f t="shared" ca="1" si="175"/>
        <v>20</v>
      </c>
      <c r="L661" s="3">
        <f t="shared" ca="1" si="176"/>
        <v>28</v>
      </c>
      <c r="M661" s="3">
        <f t="shared" ca="1" si="177"/>
        <v>8</v>
      </c>
      <c r="N661" s="3" t="str">
        <f t="shared" ca="1" si="178"/>
        <v>Delayed</v>
      </c>
      <c r="O661" s="3" t="str">
        <f t="shared" ca="1" si="179"/>
        <v>High</v>
      </c>
      <c r="P661" s="3">
        <f t="shared" ca="1" si="180"/>
        <v>40</v>
      </c>
      <c r="Q661" s="1" t="str">
        <f ca="1">VLOOKUP(D661,Routes!$A$2:$D$31,2,FALSE)</f>
        <v>Ahmedabad</v>
      </c>
      <c r="R661" s="1" t="str">
        <f ca="1">VLOOKUP(D661,Routes!$A$2:$D$31,3,FALSE)</f>
        <v>Indore</v>
      </c>
      <c r="S661" s="3">
        <f ca="1">VLOOKUP(D661,Routes!$A$2:$D$31,4,FALSE)</f>
        <v>390</v>
      </c>
      <c r="T661" s="3" t="str">
        <f ca="1">VLOOKUP(E661,Vehicles!$A$2:$D$21,2,FALSE)</f>
        <v>LCV</v>
      </c>
      <c r="U661" s="3">
        <f ca="1">VLOOKUP(E661,Vehicles!$A$2:$D$21,3,FALSE)</f>
        <v>4</v>
      </c>
      <c r="V661" s="3" t="str">
        <f ca="1">VLOOKUP(E661,Vehicles!$A$2:$D$21,4,FALSE)</f>
        <v>CNG</v>
      </c>
      <c r="W661" s="3">
        <f ca="1">VLOOKUP(V661,Fuel_Rates!$A$2:$B$3,2,FALSE)</f>
        <v>78</v>
      </c>
      <c r="X661" s="3">
        <f t="shared" ca="1" si="182"/>
        <v>73.06</v>
      </c>
      <c r="Y661" s="3">
        <f t="shared" ca="1" si="183"/>
        <v>38932</v>
      </c>
      <c r="Z661" s="3" t="str">
        <f t="shared" ca="1" si="184"/>
        <v>Mar</v>
      </c>
      <c r="AA661" s="3" t="str">
        <f t="shared" ca="1" si="185"/>
        <v>Q1</v>
      </c>
      <c r="AB661" s="4" t="str">
        <f t="shared" ca="1" si="186"/>
        <v>Medium Haul</v>
      </c>
    </row>
    <row r="662" spans="1:28" x14ac:dyDescent="0.3">
      <c r="A662" s="8" t="str">
        <f t="shared" si="181"/>
        <v>S0661</v>
      </c>
      <c r="B662" s="3">
        <f t="shared" ca="1" si="170"/>
        <v>45945</v>
      </c>
      <c r="C662" s="3" t="str">
        <f ca="1">INDEX(Customers!$A$2:$A$21,RANDBETWEEN(1,20))</f>
        <v>C009</v>
      </c>
      <c r="D662" s="3" t="str">
        <f ca="1">INDEX(Routes!$A$2:$A$31,RANDBETWEEN(1,30))</f>
        <v>R014</v>
      </c>
      <c r="E662" s="3" t="str">
        <f ca="1">INDEX(Vehicles!$A$2:$A$21,RANDBETWEEN(1,20))</f>
        <v>V009</v>
      </c>
      <c r="F662" s="3" t="str">
        <f ca="1">INDEX(Drivers!$A$2:$A$31,RANDBETWEEN(1,30))</f>
        <v>D003</v>
      </c>
      <c r="G662" s="3">
        <f t="shared" ca="1" si="171"/>
        <v>8.6999999999999993</v>
      </c>
      <c r="H662" s="3">
        <f t="shared" ca="1" si="172"/>
        <v>25673</v>
      </c>
      <c r="I662" s="3">
        <f t="shared" ca="1" si="173"/>
        <v>7188</v>
      </c>
      <c r="J662" s="3">
        <f t="shared" ca="1" si="174"/>
        <v>3931</v>
      </c>
      <c r="K662" s="3">
        <f t="shared" ca="1" si="175"/>
        <v>20</v>
      </c>
      <c r="L662" s="3">
        <f t="shared" ca="1" si="176"/>
        <v>21</v>
      </c>
      <c r="M662" s="3">
        <f t="shared" ca="1" si="177"/>
        <v>1</v>
      </c>
      <c r="N662" s="3" t="str">
        <f t="shared" ca="1" si="178"/>
        <v>On Time</v>
      </c>
      <c r="O662" s="3" t="str">
        <f t="shared" ca="1" si="179"/>
        <v>Medium</v>
      </c>
      <c r="P662" s="3">
        <f t="shared" ca="1" si="180"/>
        <v>29</v>
      </c>
      <c r="Q662" s="1" t="str">
        <f ca="1">VLOOKUP(D662,Routes!$A$2:$D$31,2,FALSE)</f>
        <v>Hyderabad</v>
      </c>
      <c r="R662" s="1" t="str">
        <f ca="1">VLOOKUP(D662,Routes!$A$2:$D$31,3,FALSE)</f>
        <v>Nagpur</v>
      </c>
      <c r="S662" s="3">
        <f ca="1">VLOOKUP(D662,Routes!$A$2:$D$31,4,FALSE)</f>
        <v>500</v>
      </c>
      <c r="T662" s="3" t="str">
        <f ca="1">VLOOKUP(E662,Vehicles!$A$2:$D$21,2,FALSE)</f>
        <v>LCV</v>
      </c>
      <c r="U662" s="3">
        <f ca="1">VLOOKUP(E662,Vehicles!$A$2:$D$21,3,FALSE)</f>
        <v>5</v>
      </c>
      <c r="V662" s="3" t="str">
        <f ca="1">VLOOKUP(E662,Vehicles!$A$2:$D$21,4,FALSE)</f>
        <v>Diesel</v>
      </c>
      <c r="W662" s="3">
        <f ca="1">VLOOKUP(V662,Fuel_Rates!$A$2:$B$3,2,FALSE)</f>
        <v>95</v>
      </c>
      <c r="X662" s="3">
        <f t="shared" ca="1" si="182"/>
        <v>51.35</v>
      </c>
      <c r="Y662" s="3">
        <f t="shared" ca="1" si="183"/>
        <v>36792</v>
      </c>
      <c r="Z662" s="3" t="str">
        <f t="shared" ca="1" si="184"/>
        <v>Oct</v>
      </c>
      <c r="AA662" s="3" t="str">
        <f t="shared" ca="1" si="185"/>
        <v>Q4</v>
      </c>
      <c r="AB662" s="4" t="str">
        <f t="shared" ca="1" si="186"/>
        <v>Medium Haul</v>
      </c>
    </row>
    <row r="663" spans="1:28" x14ac:dyDescent="0.3">
      <c r="A663" s="8" t="str">
        <f t="shared" si="181"/>
        <v>S0662</v>
      </c>
      <c r="B663" s="3">
        <f t="shared" ca="1" si="170"/>
        <v>45689</v>
      </c>
      <c r="C663" s="3" t="str">
        <f ca="1">INDEX(Customers!$A$2:$A$21,RANDBETWEEN(1,20))</f>
        <v>C005</v>
      </c>
      <c r="D663" s="3" t="str">
        <f ca="1">INDEX(Routes!$A$2:$A$31,RANDBETWEEN(1,30))</f>
        <v>R020</v>
      </c>
      <c r="E663" s="3" t="str">
        <f ca="1">INDEX(Vehicles!$A$2:$A$21,RANDBETWEEN(1,20))</f>
        <v>V008</v>
      </c>
      <c r="F663" s="3" t="str">
        <f ca="1">INDEX(Drivers!$A$2:$A$31,RANDBETWEEN(1,30))</f>
        <v>D029</v>
      </c>
      <c r="G663" s="3">
        <f t="shared" ca="1" si="171"/>
        <v>30</v>
      </c>
      <c r="H663" s="3">
        <f t="shared" ca="1" si="172"/>
        <v>63567</v>
      </c>
      <c r="I663" s="3">
        <f t="shared" ca="1" si="173"/>
        <v>17799</v>
      </c>
      <c r="J663" s="3">
        <f t="shared" ca="1" si="174"/>
        <v>1326</v>
      </c>
      <c r="K663" s="3">
        <f t="shared" ca="1" si="175"/>
        <v>5</v>
      </c>
      <c r="L663" s="3">
        <f t="shared" ca="1" si="176"/>
        <v>7</v>
      </c>
      <c r="M663" s="3">
        <f t="shared" ca="1" si="177"/>
        <v>2</v>
      </c>
      <c r="N663" s="3" t="str">
        <f t="shared" ca="1" si="178"/>
        <v>On Time</v>
      </c>
      <c r="O663" s="3" t="str">
        <f t="shared" ca="1" si="179"/>
        <v>High</v>
      </c>
      <c r="P663" s="3">
        <f t="shared" ca="1" si="180"/>
        <v>100</v>
      </c>
      <c r="Q663" s="1" t="str">
        <f ca="1">VLOOKUP(D663,Routes!$A$2:$D$31,2,FALSE)</f>
        <v>Pune</v>
      </c>
      <c r="R663" s="1" t="str">
        <f ca="1">VLOOKUP(D663,Routes!$A$2:$D$31,3,FALSE)</f>
        <v>Nagpur</v>
      </c>
      <c r="S663" s="3">
        <f ca="1">VLOOKUP(D663,Routes!$A$2:$D$31,4,FALSE)</f>
        <v>720</v>
      </c>
      <c r="T663" s="3" t="str">
        <f ca="1">VLOOKUP(E663,Vehicles!$A$2:$D$21,2,FALSE)</f>
        <v>Container</v>
      </c>
      <c r="U663" s="3">
        <f ca="1">VLOOKUP(E663,Vehicles!$A$2:$D$21,3,FALSE)</f>
        <v>25</v>
      </c>
      <c r="V663" s="3" t="str">
        <f ca="1">VLOOKUP(E663,Vehicles!$A$2:$D$21,4,FALSE)</f>
        <v>Diesel</v>
      </c>
      <c r="W663" s="3">
        <f ca="1">VLOOKUP(V663,Fuel_Rates!$A$2:$B$3,2,FALSE)</f>
        <v>95</v>
      </c>
      <c r="X663" s="3">
        <f t="shared" ca="1" si="182"/>
        <v>88.29</v>
      </c>
      <c r="Y663" s="3">
        <f t="shared" ca="1" si="183"/>
        <v>82692</v>
      </c>
      <c r="Z663" s="3" t="str">
        <f t="shared" ca="1" si="184"/>
        <v>Feb</v>
      </c>
      <c r="AA663" s="3" t="str">
        <f t="shared" ca="1" si="185"/>
        <v>Q1</v>
      </c>
      <c r="AB663" s="4" t="str">
        <f t="shared" ca="1" si="186"/>
        <v>Medium Haul</v>
      </c>
    </row>
    <row r="664" spans="1:28" x14ac:dyDescent="0.3">
      <c r="A664" s="8" t="str">
        <f t="shared" si="181"/>
        <v>S0663</v>
      </c>
      <c r="B664" s="3">
        <f t="shared" ca="1" si="170"/>
        <v>45852</v>
      </c>
      <c r="C664" s="3" t="str">
        <f ca="1">INDEX(Customers!$A$2:$A$21,RANDBETWEEN(1,20))</f>
        <v>C003</v>
      </c>
      <c r="D664" s="3" t="str">
        <f ca="1">INDEX(Routes!$A$2:$A$31,RANDBETWEEN(1,30))</f>
        <v>R026</v>
      </c>
      <c r="E664" s="3" t="str">
        <f ca="1">INDEX(Vehicles!$A$2:$A$21,RANDBETWEEN(1,20))</f>
        <v>V010</v>
      </c>
      <c r="F664" s="3" t="str">
        <f ca="1">INDEX(Drivers!$A$2:$A$31,RANDBETWEEN(1,30))</f>
        <v>D024</v>
      </c>
      <c r="G664" s="3">
        <f t="shared" ca="1" si="171"/>
        <v>4.3</v>
      </c>
      <c r="H664" s="3">
        <f t="shared" ca="1" si="172"/>
        <v>21629</v>
      </c>
      <c r="I664" s="3">
        <f t="shared" ca="1" si="173"/>
        <v>6056</v>
      </c>
      <c r="J664" s="3">
        <f t="shared" ca="1" si="174"/>
        <v>598</v>
      </c>
      <c r="K664" s="3">
        <f t="shared" ca="1" si="175"/>
        <v>7</v>
      </c>
      <c r="L664" s="3">
        <f t="shared" ca="1" si="176"/>
        <v>14</v>
      </c>
      <c r="M664" s="3">
        <f t="shared" ca="1" si="177"/>
        <v>7</v>
      </c>
      <c r="N664" s="3" t="str">
        <f t="shared" ca="1" si="178"/>
        <v>Delayed</v>
      </c>
      <c r="O664" s="3" t="str">
        <f t="shared" ca="1" si="179"/>
        <v>Low</v>
      </c>
      <c r="P664" s="3">
        <f t="shared" ca="1" si="180"/>
        <v>14.3</v>
      </c>
      <c r="Q664" s="1" t="str">
        <f ca="1">VLOOKUP(D664,Routes!$A$2:$D$31,2,FALSE)</f>
        <v>Nagpur</v>
      </c>
      <c r="R664" s="1" t="str">
        <f ca="1">VLOOKUP(D664,Routes!$A$2:$D$31,3,FALSE)</f>
        <v>Bhopal</v>
      </c>
      <c r="S664" s="3">
        <f ca="1">VLOOKUP(D664,Routes!$A$2:$D$31,4,FALSE)</f>
        <v>350</v>
      </c>
      <c r="T664" s="3" t="str">
        <f ca="1">VLOOKUP(E664,Vehicles!$A$2:$D$21,2,FALSE)</f>
        <v>LCV</v>
      </c>
      <c r="U664" s="3">
        <f ca="1">VLOOKUP(E664,Vehicles!$A$2:$D$21,3,FALSE)</f>
        <v>7</v>
      </c>
      <c r="V664" s="3" t="str">
        <f ca="1">VLOOKUP(E664,Vehicles!$A$2:$D$21,4,FALSE)</f>
        <v>Diesel</v>
      </c>
      <c r="W664" s="3">
        <f ca="1">VLOOKUP(V664,Fuel_Rates!$A$2:$B$3,2,FALSE)</f>
        <v>95</v>
      </c>
      <c r="X664" s="3">
        <f t="shared" ca="1" si="182"/>
        <v>61.8</v>
      </c>
      <c r="Y664" s="3">
        <f t="shared" ca="1" si="183"/>
        <v>28283</v>
      </c>
      <c r="Z664" s="3" t="str">
        <f t="shared" ca="1" si="184"/>
        <v>Jul</v>
      </c>
      <c r="AA664" s="3" t="str">
        <f t="shared" ca="1" si="185"/>
        <v>Q3</v>
      </c>
      <c r="AB664" s="4" t="str">
        <f t="shared" ca="1" si="186"/>
        <v>Medium Haul</v>
      </c>
    </row>
    <row r="665" spans="1:28" x14ac:dyDescent="0.3">
      <c r="A665" s="8" t="str">
        <f t="shared" si="181"/>
        <v>S0664</v>
      </c>
      <c r="B665" s="3">
        <f t="shared" ca="1" si="170"/>
        <v>45916</v>
      </c>
      <c r="C665" s="3" t="str">
        <f ca="1">INDEX(Customers!$A$2:$A$21,RANDBETWEEN(1,20))</f>
        <v>C017</v>
      </c>
      <c r="D665" s="3" t="str">
        <f ca="1">INDEX(Routes!$A$2:$A$31,RANDBETWEEN(1,30))</f>
        <v>R002</v>
      </c>
      <c r="E665" s="3" t="str">
        <f ca="1">INDEX(Vehicles!$A$2:$A$21,RANDBETWEEN(1,20))</f>
        <v>V001</v>
      </c>
      <c r="F665" s="3" t="str">
        <f ca="1">INDEX(Drivers!$A$2:$A$31,RANDBETWEEN(1,30))</f>
        <v>D008</v>
      </c>
      <c r="G665" s="3">
        <f t="shared" ca="1" si="171"/>
        <v>17.899999999999999</v>
      </c>
      <c r="H665" s="3">
        <f t="shared" ca="1" si="172"/>
        <v>38686</v>
      </c>
      <c r="I665" s="3">
        <f t="shared" ca="1" si="173"/>
        <v>10832</v>
      </c>
      <c r="J665" s="3">
        <f t="shared" ca="1" si="174"/>
        <v>3595</v>
      </c>
      <c r="K665" s="3">
        <f t="shared" ca="1" si="175"/>
        <v>32</v>
      </c>
      <c r="L665" s="3">
        <f t="shared" ca="1" si="176"/>
        <v>35</v>
      </c>
      <c r="M665" s="3">
        <f t="shared" ca="1" si="177"/>
        <v>3</v>
      </c>
      <c r="N665" s="3" t="str">
        <f t="shared" ca="1" si="178"/>
        <v>Delayed</v>
      </c>
      <c r="O665" s="3" t="str">
        <f t="shared" ca="1" si="179"/>
        <v>Low</v>
      </c>
      <c r="P665" s="3">
        <f t="shared" ca="1" si="180"/>
        <v>59.7</v>
      </c>
      <c r="Q665" s="1" t="str">
        <f ca="1">VLOOKUP(D665,Routes!$A$2:$D$31,2,FALSE)</f>
        <v>Mumbai</v>
      </c>
      <c r="R665" s="1" t="str">
        <f ca="1">VLOOKUP(D665,Routes!$A$2:$D$31,3,FALSE)</f>
        <v>Ahmedabad</v>
      </c>
      <c r="S665" s="3">
        <f ca="1">VLOOKUP(D665,Routes!$A$2:$D$31,4,FALSE)</f>
        <v>530</v>
      </c>
      <c r="T665" s="3" t="str">
        <f ca="1">VLOOKUP(E665,Vehicles!$A$2:$D$21,2,FALSE)</f>
        <v>Truck</v>
      </c>
      <c r="U665" s="3">
        <f ca="1">VLOOKUP(E665,Vehicles!$A$2:$D$21,3,FALSE)</f>
        <v>16</v>
      </c>
      <c r="V665" s="3" t="str">
        <f ca="1">VLOOKUP(E665,Vehicles!$A$2:$D$21,4,FALSE)</f>
        <v>Diesel</v>
      </c>
      <c r="W665" s="3">
        <f ca="1">VLOOKUP(V665,Fuel_Rates!$A$2:$B$3,2,FALSE)</f>
        <v>95</v>
      </c>
      <c r="X665" s="3">
        <f t="shared" ca="1" si="182"/>
        <v>72.989999999999995</v>
      </c>
      <c r="Y665" s="3">
        <f t="shared" ca="1" si="183"/>
        <v>53113</v>
      </c>
      <c r="Z665" s="3" t="str">
        <f t="shared" ca="1" si="184"/>
        <v>Sep</v>
      </c>
      <c r="AA665" s="3" t="str">
        <f t="shared" ca="1" si="185"/>
        <v>Q3</v>
      </c>
      <c r="AB665" s="4" t="str">
        <f t="shared" ca="1" si="186"/>
        <v>Medium Haul</v>
      </c>
    </row>
    <row r="666" spans="1:28" x14ac:dyDescent="0.3">
      <c r="A666" s="8" t="str">
        <f t="shared" si="181"/>
        <v>S0665</v>
      </c>
      <c r="B666" s="3">
        <f t="shared" ca="1" si="170"/>
        <v>45976</v>
      </c>
      <c r="C666" s="3" t="str">
        <f ca="1">INDEX(Customers!$A$2:$A$21,RANDBETWEEN(1,20))</f>
        <v>C020</v>
      </c>
      <c r="D666" s="3" t="str">
        <f ca="1">INDEX(Routes!$A$2:$A$31,RANDBETWEEN(1,30))</f>
        <v>R028</v>
      </c>
      <c r="E666" s="3" t="str">
        <f ca="1">INDEX(Vehicles!$A$2:$A$21,RANDBETWEEN(1,20))</f>
        <v>V005</v>
      </c>
      <c r="F666" s="3" t="str">
        <f ca="1">INDEX(Drivers!$A$2:$A$31,RANDBETWEEN(1,30))</f>
        <v>D024</v>
      </c>
      <c r="G666" s="3">
        <f t="shared" ca="1" si="171"/>
        <v>8.9</v>
      </c>
      <c r="H666" s="3">
        <f t="shared" ca="1" si="172"/>
        <v>20573</v>
      </c>
      <c r="I666" s="3">
        <f t="shared" ca="1" si="173"/>
        <v>5760</v>
      </c>
      <c r="J666" s="3">
        <f t="shared" ca="1" si="174"/>
        <v>3745</v>
      </c>
      <c r="K666" s="3">
        <f t="shared" ca="1" si="175"/>
        <v>22</v>
      </c>
      <c r="L666" s="3">
        <f t="shared" ca="1" si="176"/>
        <v>27</v>
      </c>
      <c r="M666" s="3">
        <f t="shared" ca="1" si="177"/>
        <v>5</v>
      </c>
      <c r="N666" s="3" t="str">
        <f t="shared" ca="1" si="178"/>
        <v>Delayed</v>
      </c>
      <c r="O666" s="3" t="str">
        <f t="shared" ca="1" si="179"/>
        <v>Medium</v>
      </c>
      <c r="P666" s="3">
        <f t="shared" ca="1" si="180"/>
        <v>29.7</v>
      </c>
      <c r="Q666" s="1" t="str">
        <f ca="1">VLOOKUP(D666,Routes!$A$2:$D$31,2,FALSE)</f>
        <v>Indore</v>
      </c>
      <c r="R666" s="1" t="str">
        <f ca="1">VLOOKUP(D666,Routes!$A$2:$D$31,3,FALSE)</f>
        <v>Mumbai</v>
      </c>
      <c r="S666" s="3">
        <f ca="1">VLOOKUP(D666,Routes!$A$2:$D$31,4,FALSE)</f>
        <v>590</v>
      </c>
      <c r="T666" s="3" t="str">
        <f ca="1">VLOOKUP(E666,Vehicles!$A$2:$D$21,2,FALSE)</f>
        <v>Trailer</v>
      </c>
      <c r="U666" s="3">
        <f ca="1">VLOOKUP(E666,Vehicles!$A$2:$D$21,3,FALSE)</f>
        <v>32</v>
      </c>
      <c r="V666" s="3" t="str">
        <f ca="1">VLOOKUP(E666,Vehicles!$A$2:$D$21,4,FALSE)</f>
        <v>Diesel</v>
      </c>
      <c r="W666" s="3">
        <f ca="1">VLOOKUP(V666,Fuel_Rates!$A$2:$B$3,2,FALSE)</f>
        <v>95</v>
      </c>
      <c r="X666" s="3">
        <f t="shared" ca="1" si="182"/>
        <v>34.869999999999997</v>
      </c>
      <c r="Y666" s="3">
        <f t="shared" ca="1" si="183"/>
        <v>30078</v>
      </c>
      <c r="Z666" s="3" t="str">
        <f t="shared" ca="1" si="184"/>
        <v>Nov</v>
      </c>
      <c r="AA666" s="3" t="str">
        <f t="shared" ca="1" si="185"/>
        <v>Q4</v>
      </c>
      <c r="AB666" s="4" t="str">
        <f t="shared" ca="1" si="186"/>
        <v>Medium Haul</v>
      </c>
    </row>
    <row r="667" spans="1:28" x14ac:dyDescent="0.3">
      <c r="A667" s="8" t="str">
        <f t="shared" si="181"/>
        <v>S0666</v>
      </c>
      <c r="B667" s="3">
        <f t="shared" ca="1" si="170"/>
        <v>45923</v>
      </c>
      <c r="C667" s="3" t="str">
        <f ca="1">INDEX(Customers!$A$2:$A$21,RANDBETWEEN(1,20))</f>
        <v>C008</v>
      </c>
      <c r="D667" s="3" t="str">
        <f ca="1">INDEX(Routes!$A$2:$A$31,RANDBETWEEN(1,30))</f>
        <v>R024</v>
      </c>
      <c r="E667" s="3" t="str">
        <f ca="1">INDEX(Vehicles!$A$2:$A$21,RANDBETWEEN(1,20))</f>
        <v>V010</v>
      </c>
      <c r="F667" s="3" t="str">
        <f ca="1">INDEX(Drivers!$A$2:$A$31,RANDBETWEEN(1,30))</f>
        <v>D011</v>
      </c>
      <c r="G667" s="3">
        <f t="shared" ca="1" si="171"/>
        <v>29</v>
      </c>
      <c r="H667" s="3">
        <f t="shared" ca="1" si="172"/>
        <v>63865</v>
      </c>
      <c r="I667" s="3">
        <f t="shared" ca="1" si="173"/>
        <v>17882</v>
      </c>
      <c r="J667" s="3">
        <f t="shared" ca="1" si="174"/>
        <v>597</v>
      </c>
      <c r="K667" s="3">
        <f t="shared" ca="1" si="175"/>
        <v>15</v>
      </c>
      <c r="L667" s="3">
        <f t="shared" ca="1" si="176"/>
        <v>23</v>
      </c>
      <c r="M667" s="3">
        <f t="shared" ca="1" si="177"/>
        <v>8</v>
      </c>
      <c r="N667" s="3" t="str">
        <f t="shared" ca="1" si="178"/>
        <v>Delayed</v>
      </c>
      <c r="O667" s="3" t="str">
        <f t="shared" ca="1" si="179"/>
        <v>Low</v>
      </c>
      <c r="P667" s="3">
        <f t="shared" ca="1" si="180"/>
        <v>96.7</v>
      </c>
      <c r="Q667" s="1" t="str">
        <f ca="1">VLOOKUP(D667,Routes!$A$2:$D$31,2,FALSE)</f>
        <v>Surat</v>
      </c>
      <c r="R667" s="1" t="str">
        <f ca="1">VLOOKUP(D667,Routes!$A$2:$D$31,3,FALSE)</f>
        <v>Mumbai</v>
      </c>
      <c r="S667" s="3">
        <f ca="1">VLOOKUP(D667,Routes!$A$2:$D$31,4,FALSE)</f>
        <v>280</v>
      </c>
      <c r="T667" s="3" t="str">
        <f ca="1">VLOOKUP(E667,Vehicles!$A$2:$D$21,2,FALSE)</f>
        <v>LCV</v>
      </c>
      <c r="U667" s="3">
        <f ca="1">VLOOKUP(E667,Vehicles!$A$2:$D$21,3,FALSE)</f>
        <v>7</v>
      </c>
      <c r="V667" s="3" t="str">
        <f ca="1">VLOOKUP(E667,Vehicles!$A$2:$D$21,4,FALSE)</f>
        <v>Diesel</v>
      </c>
      <c r="W667" s="3">
        <f ca="1">VLOOKUP(V667,Fuel_Rates!$A$2:$B$3,2,FALSE)</f>
        <v>95</v>
      </c>
      <c r="X667" s="3">
        <f t="shared" ca="1" si="182"/>
        <v>228.09</v>
      </c>
      <c r="Y667" s="3">
        <f t="shared" ca="1" si="183"/>
        <v>82344</v>
      </c>
      <c r="Z667" s="3" t="str">
        <f t="shared" ca="1" si="184"/>
        <v>Sep</v>
      </c>
      <c r="AA667" s="3" t="str">
        <f t="shared" ca="1" si="185"/>
        <v>Q3</v>
      </c>
      <c r="AB667" s="4" t="str">
        <f t="shared" ca="1" si="186"/>
        <v>Short Haul</v>
      </c>
    </row>
    <row r="668" spans="1:28" x14ac:dyDescent="0.3">
      <c r="A668" s="8" t="str">
        <f t="shared" si="181"/>
        <v>S0667</v>
      </c>
      <c r="B668" s="3">
        <f t="shared" ca="1" si="170"/>
        <v>45714</v>
      </c>
      <c r="C668" s="3" t="str">
        <f ca="1">INDEX(Customers!$A$2:$A$21,RANDBETWEEN(1,20))</f>
        <v>C020</v>
      </c>
      <c r="D668" s="3" t="str">
        <f ca="1">INDEX(Routes!$A$2:$A$31,RANDBETWEEN(1,30))</f>
        <v>R015</v>
      </c>
      <c r="E668" s="3" t="str">
        <f ca="1">INDEX(Vehicles!$A$2:$A$21,RANDBETWEEN(1,20))</f>
        <v>V013</v>
      </c>
      <c r="F668" s="3" t="str">
        <f ca="1">INDEX(Drivers!$A$2:$A$31,RANDBETWEEN(1,30))</f>
        <v>D020</v>
      </c>
      <c r="G668" s="3">
        <f t="shared" ca="1" si="171"/>
        <v>14.7</v>
      </c>
      <c r="H668" s="3">
        <f t="shared" ca="1" si="172"/>
        <v>34395</v>
      </c>
      <c r="I668" s="3">
        <f t="shared" ca="1" si="173"/>
        <v>9631</v>
      </c>
      <c r="J668" s="3">
        <f t="shared" ca="1" si="174"/>
        <v>1262</v>
      </c>
      <c r="K668" s="3">
        <f t="shared" ca="1" si="175"/>
        <v>16</v>
      </c>
      <c r="L668" s="3">
        <f t="shared" ca="1" si="176"/>
        <v>19</v>
      </c>
      <c r="M668" s="3">
        <f t="shared" ca="1" si="177"/>
        <v>3</v>
      </c>
      <c r="N668" s="3" t="str">
        <f t="shared" ca="1" si="178"/>
        <v>Delayed</v>
      </c>
      <c r="O668" s="3" t="str">
        <f t="shared" ca="1" si="179"/>
        <v>High</v>
      </c>
      <c r="P668" s="3">
        <f t="shared" ca="1" si="180"/>
        <v>49</v>
      </c>
      <c r="Q668" s="1" t="str">
        <f ca="1">VLOOKUP(D668,Routes!$A$2:$D$31,2,FALSE)</f>
        <v>Hyderabad</v>
      </c>
      <c r="R668" s="1" t="str">
        <f ca="1">VLOOKUP(D668,Routes!$A$2:$D$31,3,FALSE)</f>
        <v>Pune</v>
      </c>
      <c r="S668" s="3">
        <f ca="1">VLOOKUP(D668,Routes!$A$2:$D$31,4,FALSE)</f>
        <v>560</v>
      </c>
      <c r="T668" s="3" t="str">
        <f ca="1">VLOOKUP(E668,Vehicles!$A$2:$D$21,2,FALSE)</f>
        <v>LCV</v>
      </c>
      <c r="U668" s="3">
        <f ca="1">VLOOKUP(E668,Vehicles!$A$2:$D$21,3,FALSE)</f>
        <v>4</v>
      </c>
      <c r="V668" s="3" t="str">
        <f ca="1">VLOOKUP(E668,Vehicles!$A$2:$D$21,4,FALSE)</f>
        <v>CNG</v>
      </c>
      <c r="W668" s="3">
        <f ca="1">VLOOKUP(V668,Fuel_Rates!$A$2:$B$3,2,FALSE)</f>
        <v>78</v>
      </c>
      <c r="X668" s="3">
        <f t="shared" ca="1" si="182"/>
        <v>61.42</v>
      </c>
      <c r="Y668" s="3">
        <f t="shared" ca="1" si="183"/>
        <v>45288</v>
      </c>
      <c r="Z668" s="3" t="str">
        <f t="shared" ca="1" si="184"/>
        <v>Feb</v>
      </c>
      <c r="AA668" s="3" t="str">
        <f t="shared" ca="1" si="185"/>
        <v>Q1</v>
      </c>
      <c r="AB668" s="4" t="str">
        <f t="shared" ca="1" si="186"/>
        <v>Medium Haul</v>
      </c>
    </row>
    <row r="669" spans="1:28" x14ac:dyDescent="0.3">
      <c r="A669" s="8" t="str">
        <f t="shared" si="181"/>
        <v>S0668</v>
      </c>
      <c r="B669" s="3">
        <f t="shared" ca="1" si="170"/>
        <v>46009</v>
      </c>
      <c r="C669" s="3" t="str">
        <f ca="1">INDEX(Customers!$A$2:$A$21,RANDBETWEEN(1,20))</f>
        <v>C013</v>
      </c>
      <c r="D669" s="3" t="str">
        <f ca="1">INDEX(Routes!$A$2:$A$31,RANDBETWEEN(1,30))</f>
        <v>R028</v>
      </c>
      <c r="E669" s="3" t="str">
        <f ca="1">INDEX(Vehicles!$A$2:$A$21,RANDBETWEEN(1,20))</f>
        <v>V011</v>
      </c>
      <c r="F669" s="3" t="str">
        <f ca="1">INDEX(Drivers!$A$2:$A$31,RANDBETWEEN(1,30))</f>
        <v>D007</v>
      </c>
      <c r="G669" s="3">
        <f t="shared" ca="1" si="171"/>
        <v>3.9</v>
      </c>
      <c r="H669" s="3">
        <f t="shared" ca="1" si="172"/>
        <v>10881</v>
      </c>
      <c r="I669" s="3">
        <f t="shared" ca="1" si="173"/>
        <v>3047</v>
      </c>
      <c r="J669" s="3">
        <f t="shared" ca="1" si="174"/>
        <v>1675</v>
      </c>
      <c r="K669" s="3">
        <f t="shared" ca="1" si="175"/>
        <v>34</v>
      </c>
      <c r="L669" s="3">
        <f t="shared" ca="1" si="176"/>
        <v>37</v>
      </c>
      <c r="M669" s="3">
        <f t="shared" ca="1" si="177"/>
        <v>3</v>
      </c>
      <c r="N669" s="3" t="str">
        <f t="shared" ca="1" si="178"/>
        <v>Delayed</v>
      </c>
      <c r="O669" s="3" t="str">
        <f t="shared" ca="1" si="179"/>
        <v>Medium</v>
      </c>
      <c r="P669" s="3">
        <f t="shared" ca="1" si="180"/>
        <v>13</v>
      </c>
      <c r="Q669" s="1" t="str">
        <f ca="1">VLOOKUP(D669,Routes!$A$2:$D$31,2,FALSE)</f>
        <v>Indore</v>
      </c>
      <c r="R669" s="1" t="str">
        <f ca="1">VLOOKUP(D669,Routes!$A$2:$D$31,3,FALSE)</f>
        <v>Mumbai</v>
      </c>
      <c r="S669" s="3">
        <f ca="1">VLOOKUP(D669,Routes!$A$2:$D$31,4,FALSE)</f>
        <v>590</v>
      </c>
      <c r="T669" s="3" t="str">
        <f ca="1">VLOOKUP(E669,Vehicles!$A$2:$D$21,2,FALSE)</f>
        <v>Truck</v>
      </c>
      <c r="U669" s="3">
        <f ca="1">VLOOKUP(E669,Vehicles!$A$2:$D$21,3,FALSE)</f>
        <v>18</v>
      </c>
      <c r="V669" s="3" t="str">
        <f ca="1">VLOOKUP(E669,Vehicles!$A$2:$D$21,4,FALSE)</f>
        <v>CNG</v>
      </c>
      <c r="W669" s="3">
        <f ca="1">VLOOKUP(V669,Fuel_Rates!$A$2:$B$3,2,FALSE)</f>
        <v>78</v>
      </c>
      <c r="X669" s="3">
        <f t="shared" ca="1" si="182"/>
        <v>18.440000000000001</v>
      </c>
      <c r="Y669" s="3">
        <f t="shared" ca="1" si="183"/>
        <v>15603</v>
      </c>
      <c r="Z669" s="3" t="str">
        <f t="shared" ca="1" si="184"/>
        <v>Dec</v>
      </c>
      <c r="AA669" s="3" t="str">
        <f t="shared" ca="1" si="185"/>
        <v>Q4</v>
      </c>
      <c r="AB669" s="4" t="str">
        <f t="shared" ca="1" si="186"/>
        <v>Medium Haul</v>
      </c>
    </row>
    <row r="670" spans="1:28" x14ac:dyDescent="0.3">
      <c r="A670" s="8" t="str">
        <f t="shared" si="181"/>
        <v>S0669</v>
      </c>
      <c r="B670" s="3">
        <f t="shared" ca="1" si="170"/>
        <v>46019</v>
      </c>
      <c r="C670" s="3" t="str">
        <f ca="1">INDEX(Customers!$A$2:$A$21,RANDBETWEEN(1,20))</f>
        <v>C003</v>
      </c>
      <c r="D670" s="3" t="str">
        <f ca="1">INDEX(Routes!$A$2:$A$31,RANDBETWEEN(1,30))</f>
        <v>R001</v>
      </c>
      <c r="E670" s="3" t="str">
        <f ca="1">INDEX(Vehicles!$A$2:$A$21,RANDBETWEEN(1,20))</f>
        <v>V017</v>
      </c>
      <c r="F670" s="3" t="str">
        <f ca="1">INDEX(Drivers!$A$2:$A$31,RANDBETWEEN(1,30))</f>
        <v>D016</v>
      </c>
      <c r="G670" s="3">
        <f t="shared" ca="1" si="171"/>
        <v>14.6</v>
      </c>
      <c r="H670" s="3">
        <f t="shared" ca="1" si="172"/>
        <v>34735</v>
      </c>
      <c r="I670" s="3">
        <f t="shared" ca="1" si="173"/>
        <v>9726</v>
      </c>
      <c r="J670" s="3">
        <f t="shared" ca="1" si="174"/>
        <v>3033</v>
      </c>
      <c r="K670" s="3">
        <f t="shared" ca="1" si="175"/>
        <v>9</v>
      </c>
      <c r="L670" s="3">
        <f t="shared" ca="1" si="176"/>
        <v>15</v>
      </c>
      <c r="M670" s="3">
        <f t="shared" ca="1" si="177"/>
        <v>6</v>
      </c>
      <c r="N670" s="3" t="str">
        <f t="shared" ca="1" si="178"/>
        <v>Delayed</v>
      </c>
      <c r="O670" s="3" t="str">
        <f t="shared" ca="1" si="179"/>
        <v>Low</v>
      </c>
      <c r="P670" s="3">
        <f t="shared" ca="1" si="180"/>
        <v>48.7</v>
      </c>
      <c r="Q670" s="1" t="str">
        <f ca="1">VLOOKUP(D670,Routes!$A$2:$D$31,2,FALSE)</f>
        <v>Mumbai</v>
      </c>
      <c r="R670" s="1" t="str">
        <f ca="1">VLOOKUP(D670,Routes!$A$2:$D$31,3,FALSE)</f>
        <v>Pune</v>
      </c>
      <c r="S670" s="3">
        <f ca="1">VLOOKUP(D670,Routes!$A$2:$D$31,4,FALSE)</f>
        <v>150</v>
      </c>
      <c r="T670" s="3" t="str">
        <f ca="1">VLOOKUP(E670,Vehicles!$A$2:$D$21,2,FALSE)</f>
        <v>Truck</v>
      </c>
      <c r="U670" s="3">
        <f ca="1">VLOOKUP(E670,Vehicles!$A$2:$D$21,3,FALSE)</f>
        <v>24</v>
      </c>
      <c r="V670" s="3" t="str">
        <f ca="1">VLOOKUP(E670,Vehicles!$A$2:$D$21,4,FALSE)</f>
        <v>Diesel</v>
      </c>
      <c r="W670" s="3">
        <f ca="1">VLOOKUP(V670,Fuel_Rates!$A$2:$B$3,2,FALSE)</f>
        <v>95</v>
      </c>
      <c r="X670" s="3">
        <f t="shared" ca="1" si="182"/>
        <v>231.57</v>
      </c>
      <c r="Y670" s="3">
        <f t="shared" ca="1" si="183"/>
        <v>47494</v>
      </c>
      <c r="Z670" s="3" t="str">
        <f t="shared" ca="1" si="184"/>
        <v>Dec</v>
      </c>
      <c r="AA670" s="3" t="str">
        <f t="shared" ca="1" si="185"/>
        <v>Q4</v>
      </c>
      <c r="AB670" s="4" t="str">
        <f t="shared" ca="1" si="186"/>
        <v>Short Haul</v>
      </c>
    </row>
    <row r="671" spans="1:28" x14ac:dyDescent="0.3">
      <c r="A671" s="8" t="str">
        <f t="shared" si="181"/>
        <v>S0670</v>
      </c>
      <c r="B671" s="3">
        <f t="shared" ca="1" si="170"/>
        <v>45815</v>
      </c>
      <c r="C671" s="3" t="str">
        <f ca="1">INDEX(Customers!$A$2:$A$21,RANDBETWEEN(1,20))</f>
        <v>C016</v>
      </c>
      <c r="D671" s="3" t="str">
        <f ca="1">INDEX(Routes!$A$2:$A$31,RANDBETWEEN(1,30))</f>
        <v>R017</v>
      </c>
      <c r="E671" s="3" t="str">
        <f ca="1">INDEX(Vehicles!$A$2:$A$21,RANDBETWEEN(1,20))</f>
        <v>V012</v>
      </c>
      <c r="F671" s="3" t="str">
        <f ca="1">INDEX(Drivers!$A$2:$A$31,RANDBETWEEN(1,30))</f>
        <v>D015</v>
      </c>
      <c r="G671" s="3">
        <f t="shared" ca="1" si="171"/>
        <v>15.6</v>
      </c>
      <c r="H671" s="3">
        <f t="shared" ca="1" si="172"/>
        <v>40100</v>
      </c>
      <c r="I671" s="3">
        <f t="shared" ca="1" si="173"/>
        <v>11228</v>
      </c>
      <c r="J671" s="3">
        <f t="shared" ca="1" si="174"/>
        <v>2234</v>
      </c>
      <c r="K671" s="3">
        <f t="shared" ca="1" si="175"/>
        <v>44</v>
      </c>
      <c r="L671" s="3">
        <f t="shared" ca="1" si="176"/>
        <v>47</v>
      </c>
      <c r="M671" s="3">
        <f t="shared" ca="1" si="177"/>
        <v>3</v>
      </c>
      <c r="N671" s="3" t="str">
        <f t="shared" ca="1" si="178"/>
        <v>Delayed</v>
      </c>
      <c r="O671" s="3" t="str">
        <f t="shared" ca="1" si="179"/>
        <v>Medium</v>
      </c>
      <c r="P671" s="3">
        <f t="shared" ca="1" si="180"/>
        <v>52</v>
      </c>
      <c r="Q671" s="1" t="str">
        <f ca="1">VLOOKUP(D671,Routes!$A$2:$D$31,2,FALSE)</f>
        <v>Kolkata</v>
      </c>
      <c r="R671" s="1" t="str">
        <f ca="1">VLOOKUP(D671,Routes!$A$2:$D$31,3,FALSE)</f>
        <v>Patna</v>
      </c>
      <c r="S671" s="3">
        <f ca="1">VLOOKUP(D671,Routes!$A$2:$D$31,4,FALSE)</f>
        <v>620</v>
      </c>
      <c r="T671" s="3" t="str">
        <f ca="1">VLOOKUP(E671,Vehicles!$A$2:$D$21,2,FALSE)</f>
        <v>Truck</v>
      </c>
      <c r="U671" s="3">
        <f ca="1">VLOOKUP(E671,Vehicles!$A$2:$D$21,3,FALSE)</f>
        <v>20</v>
      </c>
      <c r="V671" s="3" t="str">
        <f ca="1">VLOOKUP(E671,Vehicles!$A$2:$D$21,4,FALSE)</f>
        <v>CNG</v>
      </c>
      <c r="W671" s="3">
        <f ca="1">VLOOKUP(V671,Fuel_Rates!$A$2:$B$3,2,FALSE)</f>
        <v>78</v>
      </c>
      <c r="X671" s="3">
        <f t="shared" ca="1" si="182"/>
        <v>64.680000000000007</v>
      </c>
      <c r="Y671" s="3">
        <f t="shared" ca="1" si="183"/>
        <v>53562</v>
      </c>
      <c r="Z671" s="3" t="str">
        <f t="shared" ca="1" si="184"/>
        <v>Jun</v>
      </c>
      <c r="AA671" s="3" t="str">
        <f t="shared" ca="1" si="185"/>
        <v>Q2</v>
      </c>
      <c r="AB671" s="4" t="str">
        <f t="shared" ca="1" si="186"/>
        <v>Medium Haul</v>
      </c>
    </row>
    <row r="672" spans="1:28" x14ac:dyDescent="0.3">
      <c r="A672" s="8" t="str">
        <f t="shared" si="181"/>
        <v>S0671</v>
      </c>
      <c r="B672" s="3">
        <f t="shared" ca="1" si="170"/>
        <v>46011</v>
      </c>
      <c r="C672" s="3" t="str">
        <f ca="1">INDEX(Customers!$A$2:$A$21,RANDBETWEEN(1,20))</f>
        <v>C020</v>
      </c>
      <c r="D672" s="3" t="str">
        <f ca="1">INDEX(Routes!$A$2:$A$31,RANDBETWEEN(1,30))</f>
        <v>R024</v>
      </c>
      <c r="E672" s="3" t="str">
        <f ca="1">INDEX(Vehicles!$A$2:$A$21,RANDBETWEEN(1,20))</f>
        <v>V014</v>
      </c>
      <c r="F672" s="3" t="str">
        <f ca="1">INDEX(Drivers!$A$2:$A$31,RANDBETWEEN(1,30))</f>
        <v>D028</v>
      </c>
      <c r="G672" s="3">
        <f t="shared" ca="1" si="171"/>
        <v>15.5</v>
      </c>
      <c r="H672" s="3">
        <f t="shared" ca="1" si="172"/>
        <v>42787</v>
      </c>
      <c r="I672" s="3">
        <f t="shared" ca="1" si="173"/>
        <v>11980</v>
      </c>
      <c r="J672" s="3">
        <f t="shared" ca="1" si="174"/>
        <v>550</v>
      </c>
      <c r="K672" s="3">
        <f t="shared" ca="1" si="175"/>
        <v>30</v>
      </c>
      <c r="L672" s="3">
        <f t="shared" ca="1" si="176"/>
        <v>31</v>
      </c>
      <c r="M672" s="3">
        <f t="shared" ca="1" si="177"/>
        <v>1</v>
      </c>
      <c r="N672" s="3" t="str">
        <f t="shared" ca="1" si="178"/>
        <v>On Time</v>
      </c>
      <c r="O672" s="3" t="str">
        <f t="shared" ca="1" si="179"/>
        <v>Low</v>
      </c>
      <c r="P672" s="3">
        <f t="shared" ca="1" si="180"/>
        <v>51.7</v>
      </c>
      <c r="Q672" s="1" t="str">
        <f ca="1">VLOOKUP(D672,Routes!$A$2:$D$31,2,FALSE)</f>
        <v>Surat</v>
      </c>
      <c r="R672" s="1" t="str">
        <f ca="1">VLOOKUP(D672,Routes!$A$2:$D$31,3,FALSE)</f>
        <v>Mumbai</v>
      </c>
      <c r="S672" s="3">
        <f ca="1">VLOOKUP(D672,Routes!$A$2:$D$31,4,FALSE)</f>
        <v>280</v>
      </c>
      <c r="T672" s="3" t="str">
        <f ca="1">VLOOKUP(E672,Vehicles!$A$2:$D$21,2,FALSE)</f>
        <v>LCV</v>
      </c>
      <c r="U672" s="3">
        <f ca="1">VLOOKUP(E672,Vehicles!$A$2:$D$21,3,FALSE)</f>
        <v>6</v>
      </c>
      <c r="V672" s="3" t="str">
        <f ca="1">VLOOKUP(E672,Vehicles!$A$2:$D$21,4,FALSE)</f>
        <v>CNG</v>
      </c>
      <c r="W672" s="3">
        <f ca="1">VLOOKUP(V672,Fuel_Rates!$A$2:$B$3,2,FALSE)</f>
        <v>78</v>
      </c>
      <c r="X672" s="3">
        <f t="shared" ca="1" si="182"/>
        <v>152.81</v>
      </c>
      <c r="Y672" s="3">
        <f t="shared" ca="1" si="183"/>
        <v>55317</v>
      </c>
      <c r="Z672" s="3" t="str">
        <f t="shared" ca="1" si="184"/>
        <v>Dec</v>
      </c>
      <c r="AA672" s="3" t="str">
        <f t="shared" ca="1" si="185"/>
        <v>Q4</v>
      </c>
      <c r="AB672" s="4" t="str">
        <f t="shared" ca="1" si="186"/>
        <v>Short Haul</v>
      </c>
    </row>
    <row r="673" spans="1:28" x14ac:dyDescent="0.3">
      <c r="A673" s="8" t="str">
        <f t="shared" si="181"/>
        <v>S0672</v>
      </c>
      <c r="B673" s="3">
        <f t="shared" ca="1" si="170"/>
        <v>45726</v>
      </c>
      <c r="C673" s="3" t="str">
        <f ca="1">INDEX(Customers!$A$2:$A$21,RANDBETWEEN(1,20))</f>
        <v>C019</v>
      </c>
      <c r="D673" s="3" t="str">
        <f ca="1">INDEX(Routes!$A$2:$A$31,RANDBETWEEN(1,30))</f>
        <v>R009</v>
      </c>
      <c r="E673" s="3" t="str">
        <f ca="1">INDEX(Vehicles!$A$2:$A$21,RANDBETWEEN(1,20))</f>
        <v>V007</v>
      </c>
      <c r="F673" s="3" t="str">
        <f ca="1">INDEX(Drivers!$A$2:$A$31,RANDBETWEEN(1,30))</f>
        <v>D028</v>
      </c>
      <c r="G673" s="3">
        <f t="shared" ca="1" si="171"/>
        <v>11.9</v>
      </c>
      <c r="H673" s="3">
        <f t="shared" ca="1" si="172"/>
        <v>35848</v>
      </c>
      <c r="I673" s="3">
        <f t="shared" ca="1" si="173"/>
        <v>10037</v>
      </c>
      <c r="J673" s="3">
        <f t="shared" ca="1" si="174"/>
        <v>1808</v>
      </c>
      <c r="K673" s="3">
        <f t="shared" ca="1" si="175"/>
        <v>42</v>
      </c>
      <c r="L673" s="3">
        <f t="shared" ca="1" si="176"/>
        <v>45</v>
      </c>
      <c r="M673" s="3">
        <f t="shared" ca="1" si="177"/>
        <v>3</v>
      </c>
      <c r="N673" s="3" t="str">
        <f t="shared" ca="1" si="178"/>
        <v>Delayed</v>
      </c>
      <c r="O673" s="3" t="str">
        <f t="shared" ca="1" si="179"/>
        <v>High</v>
      </c>
      <c r="P673" s="3">
        <f t="shared" ca="1" si="180"/>
        <v>39.700000000000003</v>
      </c>
      <c r="Q673" s="1" t="str">
        <f ca="1">VLOOKUP(D673,Routes!$A$2:$D$31,2,FALSE)</f>
        <v>Bengaluru</v>
      </c>
      <c r="R673" s="1" t="str">
        <f ca="1">VLOOKUP(D673,Routes!$A$2:$D$31,3,FALSE)</f>
        <v>Chennai</v>
      </c>
      <c r="S673" s="3">
        <f ca="1">VLOOKUP(D673,Routes!$A$2:$D$31,4,FALSE)</f>
        <v>350</v>
      </c>
      <c r="T673" s="3" t="str">
        <f ca="1">VLOOKUP(E673,Vehicles!$A$2:$D$21,2,FALSE)</f>
        <v>Container</v>
      </c>
      <c r="U673" s="3">
        <f ca="1">VLOOKUP(E673,Vehicles!$A$2:$D$21,3,FALSE)</f>
        <v>20</v>
      </c>
      <c r="V673" s="3" t="str">
        <f ca="1">VLOOKUP(E673,Vehicles!$A$2:$D$21,4,FALSE)</f>
        <v>Diesel</v>
      </c>
      <c r="W673" s="3">
        <f ca="1">VLOOKUP(V673,Fuel_Rates!$A$2:$B$3,2,FALSE)</f>
        <v>95</v>
      </c>
      <c r="X673" s="3">
        <f t="shared" ca="1" si="182"/>
        <v>102.42</v>
      </c>
      <c r="Y673" s="3">
        <f t="shared" ca="1" si="183"/>
        <v>47693</v>
      </c>
      <c r="Z673" s="3" t="str">
        <f t="shared" ca="1" si="184"/>
        <v>Mar</v>
      </c>
      <c r="AA673" s="3" t="str">
        <f t="shared" ca="1" si="185"/>
        <v>Q1</v>
      </c>
      <c r="AB673" s="4" t="str">
        <f t="shared" ca="1" si="186"/>
        <v>Medium Haul</v>
      </c>
    </row>
    <row r="674" spans="1:28" x14ac:dyDescent="0.3">
      <c r="A674" s="8" t="str">
        <f t="shared" si="181"/>
        <v>S0673</v>
      </c>
      <c r="B674" s="3">
        <f t="shared" ca="1" si="170"/>
        <v>45952</v>
      </c>
      <c r="C674" s="3" t="str">
        <f ca="1">INDEX(Customers!$A$2:$A$21,RANDBETWEEN(1,20))</f>
        <v>C016</v>
      </c>
      <c r="D674" s="3" t="str">
        <f ca="1">INDEX(Routes!$A$2:$A$31,RANDBETWEEN(1,30))</f>
        <v>R013</v>
      </c>
      <c r="E674" s="3" t="str">
        <f ca="1">INDEX(Vehicles!$A$2:$A$21,RANDBETWEEN(1,20))</f>
        <v>V007</v>
      </c>
      <c r="F674" s="3" t="str">
        <f ca="1">INDEX(Drivers!$A$2:$A$31,RANDBETWEEN(1,30))</f>
        <v>D018</v>
      </c>
      <c r="G674" s="3">
        <f t="shared" ca="1" si="171"/>
        <v>17.5</v>
      </c>
      <c r="H674" s="3">
        <f t="shared" ca="1" si="172"/>
        <v>38147</v>
      </c>
      <c r="I674" s="3">
        <f t="shared" ca="1" si="173"/>
        <v>10681</v>
      </c>
      <c r="J674" s="3">
        <f t="shared" ca="1" si="174"/>
        <v>1595</v>
      </c>
      <c r="K674" s="3">
        <f t="shared" ca="1" si="175"/>
        <v>37</v>
      </c>
      <c r="L674" s="3">
        <f t="shared" ca="1" si="176"/>
        <v>37</v>
      </c>
      <c r="M674" s="3">
        <f t="shared" ca="1" si="177"/>
        <v>0</v>
      </c>
      <c r="N674" s="3" t="str">
        <f t="shared" ca="1" si="178"/>
        <v>On Time</v>
      </c>
      <c r="O674" s="3" t="str">
        <f t="shared" ca="1" si="179"/>
        <v>Medium</v>
      </c>
      <c r="P674" s="3">
        <f t="shared" ca="1" si="180"/>
        <v>58.3</v>
      </c>
      <c r="Q674" s="1" t="str">
        <f ca="1">VLOOKUP(D674,Routes!$A$2:$D$31,2,FALSE)</f>
        <v>Chennai</v>
      </c>
      <c r="R674" s="1" t="str">
        <f ca="1">VLOOKUP(D674,Routes!$A$2:$D$31,3,FALSE)</f>
        <v>Hyderabad</v>
      </c>
      <c r="S674" s="3">
        <f ca="1">VLOOKUP(D674,Routes!$A$2:$D$31,4,FALSE)</f>
        <v>630</v>
      </c>
      <c r="T674" s="3" t="str">
        <f ca="1">VLOOKUP(E674,Vehicles!$A$2:$D$21,2,FALSE)</f>
        <v>Container</v>
      </c>
      <c r="U674" s="3">
        <f ca="1">VLOOKUP(E674,Vehicles!$A$2:$D$21,3,FALSE)</f>
        <v>20</v>
      </c>
      <c r="V674" s="3" t="str">
        <f ca="1">VLOOKUP(E674,Vehicles!$A$2:$D$21,4,FALSE)</f>
        <v>Diesel</v>
      </c>
      <c r="W674" s="3">
        <f ca="1">VLOOKUP(V674,Fuel_Rates!$A$2:$B$3,2,FALSE)</f>
        <v>95</v>
      </c>
      <c r="X674" s="3">
        <f t="shared" ca="1" si="182"/>
        <v>60.55</v>
      </c>
      <c r="Y674" s="3">
        <f t="shared" ca="1" si="183"/>
        <v>50423</v>
      </c>
      <c r="Z674" s="3" t="str">
        <f t="shared" ca="1" si="184"/>
        <v>Oct</v>
      </c>
      <c r="AA674" s="3" t="str">
        <f t="shared" ca="1" si="185"/>
        <v>Q4</v>
      </c>
      <c r="AB674" s="4" t="str">
        <f t="shared" ca="1" si="186"/>
        <v>Medium Haul</v>
      </c>
    </row>
    <row r="675" spans="1:28" x14ac:dyDescent="0.3">
      <c r="A675" s="8" t="str">
        <f t="shared" si="181"/>
        <v>S0674</v>
      </c>
      <c r="B675" s="3">
        <f t="shared" ca="1" si="170"/>
        <v>45661</v>
      </c>
      <c r="C675" s="3" t="str">
        <f ca="1">INDEX(Customers!$A$2:$A$21,RANDBETWEEN(1,20))</f>
        <v>C010</v>
      </c>
      <c r="D675" s="3" t="str">
        <f ca="1">INDEX(Routes!$A$2:$A$31,RANDBETWEEN(1,30))</f>
        <v>R016</v>
      </c>
      <c r="E675" s="3" t="str">
        <f ca="1">INDEX(Vehicles!$A$2:$A$21,RANDBETWEEN(1,20))</f>
        <v>V013</v>
      </c>
      <c r="F675" s="3" t="str">
        <f ca="1">INDEX(Drivers!$A$2:$A$31,RANDBETWEEN(1,30))</f>
        <v>D021</v>
      </c>
      <c r="G675" s="3">
        <f t="shared" ca="1" si="171"/>
        <v>11.2</v>
      </c>
      <c r="H675" s="3">
        <f t="shared" ca="1" si="172"/>
        <v>31047</v>
      </c>
      <c r="I675" s="3">
        <f t="shared" ca="1" si="173"/>
        <v>8693</v>
      </c>
      <c r="J675" s="3">
        <f t="shared" ca="1" si="174"/>
        <v>1853</v>
      </c>
      <c r="K675" s="3">
        <f t="shared" ca="1" si="175"/>
        <v>39</v>
      </c>
      <c r="L675" s="3">
        <f t="shared" ca="1" si="176"/>
        <v>45</v>
      </c>
      <c r="M675" s="3">
        <f t="shared" ca="1" si="177"/>
        <v>6</v>
      </c>
      <c r="N675" s="3" t="str">
        <f t="shared" ca="1" si="178"/>
        <v>Delayed</v>
      </c>
      <c r="O675" s="3" t="str">
        <f t="shared" ca="1" si="179"/>
        <v>Medium</v>
      </c>
      <c r="P675" s="3">
        <f t="shared" ca="1" si="180"/>
        <v>37.299999999999997</v>
      </c>
      <c r="Q675" s="1" t="str">
        <f ca="1">VLOOKUP(D675,Routes!$A$2:$D$31,2,FALSE)</f>
        <v>Kolkata</v>
      </c>
      <c r="R675" s="1" t="str">
        <f ca="1">VLOOKUP(D675,Routes!$A$2:$D$31,3,FALSE)</f>
        <v>Bhubaneswar</v>
      </c>
      <c r="S675" s="3">
        <f ca="1">VLOOKUP(D675,Routes!$A$2:$D$31,4,FALSE)</f>
        <v>440</v>
      </c>
      <c r="T675" s="3" t="str">
        <f ca="1">VLOOKUP(E675,Vehicles!$A$2:$D$21,2,FALSE)</f>
        <v>LCV</v>
      </c>
      <c r="U675" s="3">
        <f ca="1">VLOOKUP(E675,Vehicles!$A$2:$D$21,3,FALSE)</f>
        <v>4</v>
      </c>
      <c r="V675" s="3" t="str">
        <f ca="1">VLOOKUP(E675,Vehicles!$A$2:$D$21,4,FALSE)</f>
        <v>CNG</v>
      </c>
      <c r="W675" s="3">
        <f ca="1">VLOOKUP(V675,Fuel_Rates!$A$2:$B$3,2,FALSE)</f>
        <v>78</v>
      </c>
      <c r="X675" s="3">
        <f t="shared" ca="1" si="182"/>
        <v>70.56</v>
      </c>
      <c r="Y675" s="3">
        <f t="shared" ca="1" si="183"/>
        <v>41593</v>
      </c>
      <c r="Z675" s="3" t="str">
        <f t="shared" ca="1" si="184"/>
        <v>Jan</v>
      </c>
      <c r="AA675" s="3" t="str">
        <f t="shared" ca="1" si="185"/>
        <v>Q1</v>
      </c>
      <c r="AB675" s="4" t="str">
        <f t="shared" ca="1" si="186"/>
        <v>Medium Haul</v>
      </c>
    </row>
    <row r="676" spans="1:28" x14ac:dyDescent="0.3">
      <c r="A676" s="8" t="str">
        <f t="shared" si="181"/>
        <v>S0675</v>
      </c>
      <c r="B676" s="3">
        <f t="shared" ca="1" si="170"/>
        <v>45769</v>
      </c>
      <c r="C676" s="3" t="str">
        <f ca="1">INDEX(Customers!$A$2:$A$21,RANDBETWEEN(1,20))</f>
        <v>C016</v>
      </c>
      <c r="D676" s="3" t="str">
        <f ca="1">INDEX(Routes!$A$2:$A$31,RANDBETWEEN(1,30))</f>
        <v>R020</v>
      </c>
      <c r="E676" s="3" t="str">
        <f ca="1">INDEX(Vehicles!$A$2:$A$21,RANDBETWEEN(1,20))</f>
        <v>V009</v>
      </c>
      <c r="F676" s="3" t="str">
        <f ca="1">INDEX(Drivers!$A$2:$A$31,RANDBETWEEN(1,30))</f>
        <v>D022</v>
      </c>
      <c r="G676" s="3">
        <f t="shared" ca="1" si="171"/>
        <v>27.5</v>
      </c>
      <c r="H676" s="3">
        <f t="shared" ca="1" si="172"/>
        <v>54344</v>
      </c>
      <c r="I676" s="3">
        <f t="shared" ca="1" si="173"/>
        <v>15216</v>
      </c>
      <c r="J676" s="3">
        <f t="shared" ca="1" si="174"/>
        <v>1099</v>
      </c>
      <c r="K676" s="3">
        <f t="shared" ca="1" si="175"/>
        <v>23</v>
      </c>
      <c r="L676" s="3">
        <f t="shared" ca="1" si="176"/>
        <v>31</v>
      </c>
      <c r="M676" s="3">
        <f t="shared" ca="1" si="177"/>
        <v>8</v>
      </c>
      <c r="N676" s="3" t="str">
        <f t="shared" ca="1" si="178"/>
        <v>Delayed</v>
      </c>
      <c r="O676" s="3" t="str">
        <f t="shared" ca="1" si="179"/>
        <v>Medium</v>
      </c>
      <c r="P676" s="3">
        <f t="shared" ca="1" si="180"/>
        <v>91.7</v>
      </c>
      <c r="Q676" s="1" t="str">
        <f ca="1">VLOOKUP(D676,Routes!$A$2:$D$31,2,FALSE)</f>
        <v>Pune</v>
      </c>
      <c r="R676" s="1" t="str">
        <f ca="1">VLOOKUP(D676,Routes!$A$2:$D$31,3,FALSE)</f>
        <v>Nagpur</v>
      </c>
      <c r="S676" s="3">
        <f ca="1">VLOOKUP(D676,Routes!$A$2:$D$31,4,FALSE)</f>
        <v>720</v>
      </c>
      <c r="T676" s="3" t="str">
        <f ca="1">VLOOKUP(E676,Vehicles!$A$2:$D$21,2,FALSE)</f>
        <v>LCV</v>
      </c>
      <c r="U676" s="3">
        <f ca="1">VLOOKUP(E676,Vehicles!$A$2:$D$21,3,FALSE)</f>
        <v>5</v>
      </c>
      <c r="V676" s="3" t="str">
        <f ca="1">VLOOKUP(E676,Vehicles!$A$2:$D$21,4,FALSE)</f>
        <v>Diesel</v>
      </c>
      <c r="W676" s="3">
        <f ca="1">VLOOKUP(V676,Fuel_Rates!$A$2:$B$3,2,FALSE)</f>
        <v>95</v>
      </c>
      <c r="X676" s="3">
        <f t="shared" ca="1" si="182"/>
        <v>75.48</v>
      </c>
      <c r="Y676" s="3">
        <f t="shared" ca="1" si="183"/>
        <v>70659</v>
      </c>
      <c r="Z676" s="3" t="str">
        <f t="shared" ca="1" si="184"/>
        <v>Apr</v>
      </c>
      <c r="AA676" s="3" t="str">
        <f t="shared" ca="1" si="185"/>
        <v>Q2</v>
      </c>
      <c r="AB676" s="4" t="str">
        <f t="shared" ca="1" si="186"/>
        <v>Medium Haul</v>
      </c>
    </row>
    <row r="677" spans="1:28" x14ac:dyDescent="0.3">
      <c r="A677" s="8" t="str">
        <f t="shared" si="181"/>
        <v>S0676</v>
      </c>
      <c r="B677" s="3">
        <f t="shared" ca="1" si="170"/>
        <v>45750</v>
      </c>
      <c r="C677" s="3" t="str">
        <f ca="1">INDEX(Customers!$A$2:$A$21,RANDBETWEEN(1,20))</f>
        <v>C009</v>
      </c>
      <c r="D677" s="3" t="str">
        <f ca="1">INDEX(Routes!$A$2:$A$31,RANDBETWEEN(1,30))</f>
        <v>R024</v>
      </c>
      <c r="E677" s="3" t="str">
        <f ca="1">INDEX(Vehicles!$A$2:$A$21,RANDBETWEEN(1,20))</f>
        <v>V005</v>
      </c>
      <c r="F677" s="3" t="str">
        <f ca="1">INDEX(Drivers!$A$2:$A$31,RANDBETWEEN(1,30))</f>
        <v>D014</v>
      </c>
      <c r="G677" s="3">
        <f t="shared" ca="1" si="171"/>
        <v>17.399999999999999</v>
      </c>
      <c r="H677" s="3">
        <f t="shared" ca="1" si="172"/>
        <v>37460</v>
      </c>
      <c r="I677" s="3">
        <f t="shared" ca="1" si="173"/>
        <v>10489</v>
      </c>
      <c r="J677" s="3">
        <f t="shared" ca="1" si="174"/>
        <v>1150</v>
      </c>
      <c r="K677" s="3">
        <f t="shared" ca="1" si="175"/>
        <v>23</v>
      </c>
      <c r="L677" s="3">
        <f t="shared" ca="1" si="176"/>
        <v>27</v>
      </c>
      <c r="M677" s="3">
        <f t="shared" ca="1" si="177"/>
        <v>4</v>
      </c>
      <c r="N677" s="3" t="str">
        <f t="shared" ca="1" si="178"/>
        <v>Delayed</v>
      </c>
      <c r="O677" s="3" t="str">
        <f t="shared" ca="1" si="179"/>
        <v>Medium</v>
      </c>
      <c r="P677" s="3">
        <f t="shared" ca="1" si="180"/>
        <v>58</v>
      </c>
      <c r="Q677" s="1" t="str">
        <f ca="1">VLOOKUP(D677,Routes!$A$2:$D$31,2,FALSE)</f>
        <v>Surat</v>
      </c>
      <c r="R677" s="1" t="str">
        <f ca="1">VLOOKUP(D677,Routes!$A$2:$D$31,3,FALSE)</f>
        <v>Mumbai</v>
      </c>
      <c r="S677" s="3">
        <f ca="1">VLOOKUP(D677,Routes!$A$2:$D$31,4,FALSE)</f>
        <v>280</v>
      </c>
      <c r="T677" s="3" t="str">
        <f ca="1">VLOOKUP(E677,Vehicles!$A$2:$D$21,2,FALSE)</f>
        <v>Trailer</v>
      </c>
      <c r="U677" s="3">
        <f ca="1">VLOOKUP(E677,Vehicles!$A$2:$D$21,3,FALSE)</f>
        <v>32</v>
      </c>
      <c r="V677" s="3" t="str">
        <f ca="1">VLOOKUP(E677,Vehicles!$A$2:$D$21,4,FALSE)</f>
        <v>Diesel</v>
      </c>
      <c r="W677" s="3">
        <f ca="1">VLOOKUP(V677,Fuel_Rates!$A$2:$B$3,2,FALSE)</f>
        <v>95</v>
      </c>
      <c r="X677" s="3">
        <f t="shared" ca="1" si="182"/>
        <v>133.79</v>
      </c>
      <c r="Y677" s="3">
        <f t="shared" ca="1" si="183"/>
        <v>49099</v>
      </c>
      <c r="Z677" s="3" t="str">
        <f t="shared" ca="1" si="184"/>
        <v>Apr</v>
      </c>
      <c r="AA677" s="3" t="str">
        <f t="shared" ca="1" si="185"/>
        <v>Q2</v>
      </c>
      <c r="AB677" s="4" t="str">
        <f t="shared" ca="1" si="186"/>
        <v>Short Haul</v>
      </c>
    </row>
    <row r="678" spans="1:28" x14ac:dyDescent="0.3">
      <c r="A678" s="8" t="str">
        <f t="shared" si="181"/>
        <v>S0677</v>
      </c>
      <c r="B678" s="3">
        <f t="shared" ca="1" si="170"/>
        <v>45805</v>
      </c>
      <c r="C678" s="3" t="str">
        <f ca="1">INDEX(Customers!$A$2:$A$21,RANDBETWEEN(1,20))</f>
        <v>C018</v>
      </c>
      <c r="D678" s="3" t="str">
        <f ca="1">INDEX(Routes!$A$2:$A$31,RANDBETWEEN(1,30))</f>
        <v>R025</v>
      </c>
      <c r="E678" s="3" t="str">
        <f ca="1">INDEX(Vehicles!$A$2:$A$21,RANDBETWEEN(1,20))</f>
        <v>V019</v>
      </c>
      <c r="F678" s="3" t="str">
        <f ca="1">INDEX(Drivers!$A$2:$A$31,RANDBETWEEN(1,30))</f>
        <v>D019</v>
      </c>
      <c r="G678" s="3">
        <f t="shared" ca="1" si="171"/>
        <v>6.6</v>
      </c>
      <c r="H678" s="3">
        <f t="shared" ca="1" si="172"/>
        <v>15128</v>
      </c>
      <c r="I678" s="3">
        <f t="shared" ca="1" si="173"/>
        <v>4236</v>
      </c>
      <c r="J678" s="3">
        <f t="shared" ca="1" si="174"/>
        <v>3232</v>
      </c>
      <c r="K678" s="3">
        <f t="shared" ca="1" si="175"/>
        <v>17</v>
      </c>
      <c r="L678" s="3">
        <f t="shared" ca="1" si="176"/>
        <v>21</v>
      </c>
      <c r="M678" s="3">
        <f t="shared" ca="1" si="177"/>
        <v>4</v>
      </c>
      <c r="N678" s="3" t="str">
        <f t="shared" ca="1" si="178"/>
        <v>Delayed</v>
      </c>
      <c r="O678" s="3" t="str">
        <f t="shared" ca="1" si="179"/>
        <v>High</v>
      </c>
      <c r="P678" s="3">
        <f t="shared" ca="1" si="180"/>
        <v>22</v>
      </c>
      <c r="Q678" s="1" t="str">
        <f ca="1">VLOOKUP(D678,Routes!$A$2:$D$31,2,FALSE)</f>
        <v>Visakhapatnam</v>
      </c>
      <c r="R678" s="1" t="str">
        <f ca="1">VLOOKUP(D678,Routes!$A$2:$D$31,3,FALSE)</f>
        <v>Hyderabad</v>
      </c>
      <c r="S678" s="3">
        <f ca="1">VLOOKUP(D678,Routes!$A$2:$D$31,4,FALSE)</f>
        <v>620</v>
      </c>
      <c r="T678" s="3" t="str">
        <f ca="1">VLOOKUP(E678,Vehicles!$A$2:$D$21,2,FALSE)</f>
        <v>Trailer</v>
      </c>
      <c r="U678" s="3">
        <f ca="1">VLOOKUP(E678,Vehicles!$A$2:$D$21,3,FALSE)</f>
        <v>35</v>
      </c>
      <c r="V678" s="3" t="str">
        <f ca="1">VLOOKUP(E678,Vehicles!$A$2:$D$21,4,FALSE)</f>
        <v>Diesel</v>
      </c>
      <c r="W678" s="3">
        <f ca="1">VLOOKUP(V678,Fuel_Rates!$A$2:$B$3,2,FALSE)</f>
        <v>95</v>
      </c>
      <c r="X678" s="3">
        <f t="shared" ca="1" si="182"/>
        <v>24.4</v>
      </c>
      <c r="Y678" s="3">
        <f t="shared" ca="1" si="183"/>
        <v>22596</v>
      </c>
      <c r="Z678" s="3" t="str">
        <f t="shared" ca="1" si="184"/>
        <v>May</v>
      </c>
      <c r="AA678" s="3" t="str">
        <f t="shared" ca="1" si="185"/>
        <v>Q2</v>
      </c>
      <c r="AB678" s="4" t="str">
        <f t="shared" ca="1" si="186"/>
        <v>Medium Haul</v>
      </c>
    </row>
    <row r="679" spans="1:28" x14ac:dyDescent="0.3">
      <c r="A679" s="8" t="str">
        <f t="shared" si="181"/>
        <v>S0678</v>
      </c>
      <c r="B679" s="3">
        <f t="shared" ca="1" si="170"/>
        <v>45881</v>
      </c>
      <c r="C679" s="3" t="str">
        <f ca="1">INDEX(Customers!$A$2:$A$21,RANDBETWEEN(1,20))</f>
        <v>C004</v>
      </c>
      <c r="D679" s="3" t="str">
        <f ca="1">INDEX(Routes!$A$2:$A$31,RANDBETWEEN(1,30))</f>
        <v>R004</v>
      </c>
      <c r="E679" s="3" t="str">
        <f ca="1">INDEX(Vehicles!$A$2:$A$21,RANDBETWEEN(1,20))</f>
        <v>V012</v>
      </c>
      <c r="F679" s="3" t="str">
        <f ca="1">INDEX(Drivers!$A$2:$A$31,RANDBETWEEN(1,30))</f>
        <v>D006</v>
      </c>
      <c r="G679" s="3">
        <f t="shared" ca="1" si="171"/>
        <v>7.1</v>
      </c>
      <c r="H679" s="3">
        <f t="shared" ca="1" si="172"/>
        <v>26212</v>
      </c>
      <c r="I679" s="3">
        <f t="shared" ca="1" si="173"/>
        <v>7339</v>
      </c>
      <c r="J679" s="3">
        <f t="shared" ca="1" si="174"/>
        <v>635</v>
      </c>
      <c r="K679" s="3">
        <f t="shared" ca="1" si="175"/>
        <v>12</v>
      </c>
      <c r="L679" s="3">
        <f t="shared" ca="1" si="176"/>
        <v>20</v>
      </c>
      <c r="M679" s="3">
        <f t="shared" ca="1" si="177"/>
        <v>8</v>
      </c>
      <c r="N679" s="3" t="str">
        <f t="shared" ca="1" si="178"/>
        <v>Delayed</v>
      </c>
      <c r="O679" s="3" t="str">
        <f t="shared" ca="1" si="179"/>
        <v>Low</v>
      </c>
      <c r="P679" s="3">
        <f t="shared" ca="1" si="180"/>
        <v>23.7</v>
      </c>
      <c r="Q679" s="1" t="str">
        <f ca="1">VLOOKUP(D679,Routes!$A$2:$D$31,2,FALSE)</f>
        <v>Mumbai</v>
      </c>
      <c r="R679" s="1" t="str">
        <f ca="1">VLOOKUP(D679,Routes!$A$2:$D$31,3,FALSE)</f>
        <v>Bengaluru</v>
      </c>
      <c r="S679" s="3">
        <f ca="1">VLOOKUP(D679,Routes!$A$2:$D$31,4,FALSE)</f>
        <v>980</v>
      </c>
      <c r="T679" s="3" t="str">
        <f ca="1">VLOOKUP(E679,Vehicles!$A$2:$D$21,2,FALSE)</f>
        <v>Truck</v>
      </c>
      <c r="U679" s="3">
        <f ca="1">VLOOKUP(E679,Vehicles!$A$2:$D$21,3,FALSE)</f>
        <v>20</v>
      </c>
      <c r="V679" s="3" t="str">
        <f ca="1">VLOOKUP(E679,Vehicles!$A$2:$D$21,4,FALSE)</f>
        <v>CNG</v>
      </c>
      <c r="W679" s="3">
        <f ca="1">VLOOKUP(V679,Fuel_Rates!$A$2:$B$3,2,FALSE)</f>
        <v>78</v>
      </c>
      <c r="X679" s="3">
        <f t="shared" ca="1" si="182"/>
        <v>26.75</v>
      </c>
      <c r="Y679" s="3">
        <f t="shared" ca="1" si="183"/>
        <v>34186</v>
      </c>
      <c r="Z679" s="3" t="str">
        <f t="shared" ca="1" si="184"/>
        <v>Aug</v>
      </c>
      <c r="AA679" s="3" t="str">
        <f t="shared" ca="1" si="185"/>
        <v>Q3</v>
      </c>
      <c r="AB679" s="4" t="str">
        <f t="shared" ca="1" si="186"/>
        <v>Long Haul</v>
      </c>
    </row>
    <row r="680" spans="1:28" x14ac:dyDescent="0.3">
      <c r="A680" s="8" t="str">
        <f t="shared" si="181"/>
        <v>S0679</v>
      </c>
      <c r="B680" s="3">
        <f t="shared" ca="1" si="170"/>
        <v>45848</v>
      </c>
      <c r="C680" s="3" t="str">
        <f ca="1">INDEX(Customers!$A$2:$A$21,RANDBETWEEN(1,20))</f>
        <v>C009</v>
      </c>
      <c r="D680" s="3" t="str">
        <f ca="1">INDEX(Routes!$A$2:$A$31,RANDBETWEEN(1,30))</f>
        <v>R012</v>
      </c>
      <c r="E680" s="3" t="str">
        <f ca="1">INDEX(Vehicles!$A$2:$A$21,RANDBETWEEN(1,20))</f>
        <v>V008</v>
      </c>
      <c r="F680" s="3" t="str">
        <f ca="1">INDEX(Drivers!$A$2:$A$31,RANDBETWEEN(1,30))</f>
        <v>D030</v>
      </c>
      <c r="G680" s="3">
        <f t="shared" ca="1" si="171"/>
        <v>22.3</v>
      </c>
      <c r="H680" s="3">
        <f t="shared" ca="1" si="172"/>
        <v>45882</v>
      </c>
      <c r="I680" s="3">
        <f t="shared" ca="1" si="173"/>
        <v>12847</v>
      </c>
      <c r="J680" s="3">
        <f t="shared" ca="1" si="174"/>
        <v>2422</v>
      </c>
      <c r="K680" s="3">
        <f t="shared" ca="1" si="175"/>
        <v>15</v>
      </c>
      <c r="L680" s="3">
        <f t="shared" ca="1" si="176"/>
        <v>22</v>
      </c>
      <c r="M680" s="3">
        <f t="shared" ca="1" si="177"/>
        <v>7</v>
      </c>
      <c r="N680" s="3" t="str">
        <f t="shared" ca="1" si="178"/>
        <v>Delayed</v>
      </c>
      <c r="O680" s="3" t="str">
        <f t="shared" ca="1" si="179"/>
        <v>Medium</v>
      </c>
      <c r="P680" s="3">
        <f t="shared" ca="1" si="180"/>
        <v>74.3</v>
      </c>
      <c r="Q680" s="1" t="str">
        <f ca="1">VLOOKUP(D680,Routes!$A$2:$D$31,2,FALSE)</f>
        <v>Chennai</v>
      </c>
      <c r="R680" s="1" t="str">
        <f ca="1">VLOOKUP(D680,Routes!$A$2:$D$31,3,FALSE)</f>
        <v>Coimbatore</v>
      </c>
      <c r="S680" s="3">
        <f ca="1">VLOOKUP(D680,Routes!$A$2:$D$31,4,FALSE)</f>
        <v>500</v>
      </c>
      <c r="T680" s="3" t="str">
        <f ca="1">VLOOKUP(E680,Vehicles!$A$2:$D$21,2,FALSE)</f>
        <v>Container</v>
      </c>
      <c r="U680" s="3">
        <f ca="1">VLOOKUP(E680,Vehicles!$A$2:$D$21,3,FALSE)</f>
        <v>25</v>
      </c>
      <c r="V680" s="3" t="str">
        <f ca="1">VLOOKUP(E680,Vehicles!$A$2:$D$21,4,FALSE)</f>
        <v>Diesel</v>
      </c>
      <c r="W680" s="3">
        <f ca="1">VLOOKUP(V680,Fuel_Rates!$A$2:$B$3,2,FALSE)</f>
        <v>95</v>
      </c>
      <c r="X680" s="3">
        <f t="shared" ca="1" si="182"/>
        <v>91.76</v>
      </c>
      <c r="Y680" s="3">
        <f t="shared" ca="1" si="183"/>
        <v>61151</v>
      </c>
      <c r="Z680" s="3" t="str">
        <f t="shared" ca="1" si="184"/>
        <v>Jul</v>
      </c>
      <c r="AA680" s="3" t="str">
        <f t="shared" ca="1" si="185"/>
        <v>Q3</v>
      </c>
      <c r="AB680" s="4" t="str">
        <f t="shared" ca="1" si="186"/>
        <v>Medium Haul</v>
      </c>
    </row>
    <row r="681" spans="1:28" x14ac:dyDescent="0.3">
      <c r="A681" s="8" t="str">
        <f t="shared" si="181"/>
        <v>S0680</v>
      </c>
      <c r="B681" s="3">
        <f t="shared" ca="1" si="170"/>
        <v>45917</v>
      </c>
      <c r="C681" s="3" t="str">
        <f ca="1">INDEX(Customers!$A$2:$A$21,RANDBETWEEN(1,20))</f>
        <v>C015</v>
      </c>
      <c r="D681" s="3" t="str">
        <f ca="1">INDEX(Routes!$A$2:$A$31,RANDBETWEEN(1,30))</f>
        <v>R028</v>
      </c>
      <c r="E681" s="3" t="str">
        <f ca="1">INDEX(Vehicles!$A$2:$A$21,RANDBETWEEN(1,20))</f>
        <v>V011</v>
      </c>
      <c r="F681" s="3" t="str">
        <f ca="1">INDEX(Drivers!$A$2:$A$31,RANDBETWEEN(1,30))</f>
        <v>D016</v>
      </c>
      <c r="G681" s="3">
        <f t="shared" ca="1" si="171"/>
        <v>28.7</v>
      </c>
      <c r="H681" s="3">
        <f t="shared" ca="1" si="172"/>
        <v>56764</v>
      </c>
      <c r="I681" s="3">
        <f t="shared" ca="1" si="173"/>
        <v>15894</v>
      </c>
      <c r="J681" s="3">
        <f t="shared" ca="1" si="174"/>
        <v>2782</v>
      </c>
      <c r="K681" s="3">
        <f t="shared" ca="1" si="175"/>
        <v>19</v>
      </c>
      <c r="L681" s="3">
        <f t="shared" ca="1" si="176"/>
        <v>27</v>
      </c>
      <c r="M681" s="3">
        <f t="shared" ca="1" si="177"/>
        <v>8</v>
      </c>
      <c r="N681" s="3" t="str">
        <f t="shared" ca="1" si="178"/>
        <v>Delayed</v>
      </c>
      <c r="O681" s="3" t="str">
        <f t="shared" ca="1" si="179"/>
        <v>Medium</v>
      </c>
      <c r="P681" s="3">
        <f t="shared" ca="1" si="180"/>
        <v>95.7</v>
      </c>
      <c r="Q681" s="1" t="str">
        <f ca="1">VLOOKUP(D681,Routes!$A$2:$D$31,2,FALSE)</f>
        <v>Indore</v>
      </c>
      <c r="R681" s="1" t="str">
        <f ca="1">VLOOKUP(D681,Routes!$A$2:$D$31,3,FALSE)</f>
        <v>Mumbai</v>
      </c>
      <c r="S681" s="3">
        <f ca="1">VLOOKUP(D681,Routes!$A$2:$D$31,4,FALSE)</f>
        <v>590</v>
      </c>
      <c r="T681" s="3" t="str">
        <f ca="1">VLOOKUP(E681,Vehicles!$A$2:$D$21,2,FALSE)</f>
        <v>Truck</v>
      </c>
      <c r="U681" s="3">
        <f ca="1">VLOOKUP(E681,Vehicles!$A$2:$D$21,3,FALSE)</f>
        <v>18</v>
      </c>
      <c r="V681" s="3" t="str">
        <f ca="1">VLOOKUP(E681,Vehicles!$A$2:$D$21,4,FALSE)</f>
        <v>CNG</v>
      </c>
      <c r="W681" s="3">
        <f ca="1">VLOOKUP(V681,Fuel_Rates!$A$2:$B$3,2,FALSE)</f>
        <v>78</v>
      </c>
      <c r="X681" s="3">
        <f t="shared" ca="1" si="182"/>
        <v>96.21</v>
      </c>
      <c r="Y681" s="3">
        <f t="shared" ca="1" si="183"/>
        <v>75440</v>
      </c>
      <c r="Z681" s="3" t="str">
        <f t="shared" ca="1" si="184"/>
        <v>Sep</v>
      </c>
      <c r="AA681" s="3" t="str">
        <f t="shared" ca="1" si="185"/>
        <v>Q3</v>
      </c>
      <c r="AB681" s="4" t="str">
        <f t="shared" ca="1" si="186"/>
        <v>Medium Haul</v>
      </c>
    </row>
    <row r="682" spans="1:28" x14ac:dyDescent="0.3">
      <c r="A682" s="8" t="str">
        <f t="shared" si="181"/>
        <v>S0681</v>
      </c>
      <c r="B682" s="3">
        <f t="shared" ca="1" si="170"/>
        <v>45725</v>
      </c>
      <c r="C682" s="3" t="str">
        <f ca="1">INDEX(Customers!$A$2:$A$21,RANDBETWEEN(1,20))</f>
        <v>C011</v>
      </c>
      <c r="D682" s="3" t="str">
        <f ca="1">INDEX(Routes!$A$2:$A$31,RANDBETWEEN(1,30))</f>
        <v>R018</v>
      </c>
      <c r="E682" s="3" t="str">
        <f ca="1">INDEX(Vehicles!$A$2:$A$21,RANDBETWEEN(1,20))</f>
        <v>V007</v>
      </c>
      <c r="F682" s="3" t="str">
        <f ca="1">INDEX(Drivers!$A$2:$A$31,RANDBETWEEN(1,30))</f>
        <v>D009</v>
      </c>
      <c r="G682" s="3">
        <f t="shared" ca="1" si="171"/>
        <v>16.600000000000001</v>
      </c>
      <c r="H682" s="3">
        <f t="shared" ca="1" si="172"/>
        <v>33865</v>
      </c>
      <c r="I682" s="3">
        <f t="shared" ca="1" si="173"/>
        <v>9482</v>
      </c>
      <c r="J682" s="3">
        <f t="shared" ca="1" si="174"/>
        <v>3443</v>
      </c>
      <c r="K682" s="3">
        <f t="shared" ca="1" si="175"/>
        <v>14</v>
      </c>
      <c r="L682" s="3">
        <f t="shared" ca="1" si="176"/>
        <v>20</v>
      </c>
      <c r="M682" s="3">
        <f t="shared" ca="1" si="177"/>
        <v>6</v>
      </c>
      <c r="N682" s="3" t="str">
        <f t="shared" ca="1" si="178"/>
        <v>Delayed</v>
      </c>
      <c r="O682" s="3" t="str">
        <f t="shared" ca="1" si="179"/>
        <v>High</v>
      </c>
      <c r="P682" s="3">
        <f t="shared" ca="1" si="180"/>
        <v>55.3</v>
      </c>
      <c r="Q682" s="1" t="str">
        <f ca="1">VLOOKUP(D682,Routes!$A$2:$D$31,2,FALSE)</f>
        <v>Ahmedabad</v>
      </c>
      <c r="R682" s="1" t="str">
        <f ca="1">VLOOKUP(D682,Routes!$A$2:$D$31,3,FALSE)</f>
        <v>Jaipur</v>
      </c>
      <c r="S682" s="3">
        <f ca="1">VLOOKUP(D682,Routes!$A$2:$D$31,4,FALSE)</f>
        <v>670</v>
      </c>
      <c r="T682" s="3" t="str">
        <f ca="1">VLOOKUP(E682,Vehicles!$A$2:$D$21,2,FALSE)</f>
        <v>Container</v>
      </c>
      <c r="U682" s="3">
        <f ca="1">VLOOKUP(E682,Vehicles!$A$2:$D$21,3,FALSE)</f>
        <v>20</v>
      </c>
      <c r="V682" s="3" t="str">
        <f ca="1">VLOOKUP(E682,Vehicles!$A$2:$D$21,4,FALSE)</f>
        <v>Diesel</v>
      </c>
      <c r="W682" s="3">
        <f ca="1">VLOOKUP(V682,Fuel_Rates!$A$2:$B$3,2,FALSE)</f>
        <v>95</v>
      </c>
      <c r="X682" s="3">
        <f t="shared" ca="1" si="182"/>
        <v>50.54</v>
      </c>
      <c r="Y682" s="3">
        <f t="shared" ca="1" si="183"/>
        <v>46790</v>
      </c>
      <c r="Z682" s="3" t="str">
        <f t="shared" ca="1" si="184"/>
        <v>Mar</v>
      </c>
      <c r="AA682" s="3" t="str">
        <f t="shared" ca="1" si="185"/>
        <v>Q1</v>
      </c>
      <c r="AB682" s="4" t="str">
        <f t="shared" ca="1" si="186"/>
        <v>Medium Haul</v>
      </c>
    </row>
    <row r="683" spans="1:28" x14ac:dyDescent="0.3">
      <c r="A683" s="8" t="str">
        <f t="shared" si="181"/>
        <v>S0682</v>
      </c>
      <c r="B683" s="3">
        <f t="shared" ca="1" si="170"/>
        <v>45790</v>
      </c>
      <c r="C683" s="3" t="str">
        <f ca="1">INDEX(Customers!$A$2:$A$21,RANDBETWEEN(1,20))</f>
        <v>C013</v>
      </c>
      <c r="D683" s="3" t="str">
        <f ca="1">INDEX(Routes!$A$2:$A$31,RANDBETWEEN(1,30))</f>
        <v>R008</v>
      </c>
      <c r="E683" s="3" t="str">
        <f ca="1">INDEX(Vehicles!$A$2:$A$21,RANDBETWEEN(1,20))</f>
        <v>V005</v>
      </c>
      <c r="F683" s="3" t="str">
        <f ca="1">INDEX(Drivers!$A$2:$A$31,RANDBETWEEN(1,30))</f>
        <v>D014</v>
      </c>
      <c r="G683" s="3">
        <f t="shared" ca="1" si="171"/>
        <v>24.3</v>
      </c>
      <c r="H683" s="3">
        <f t="shared" ca="1" si="172"/>
        <v>57308</v>
      </c>
      <c r="I683" s="3">
        <f t="shared" ca="1" si="173"/>
        <v>16046</v>
      </c>
      <c r="J683" s="3">
        <f t="shared" ca="1" si="174"/>
        <v>2802</v>
      </c>
      <c r="K683" s="3">
        <f t="shared" ca="1" si="175"/>
        <v>27</v>
      </c>
      <c r="L683" s="3">
        <f t="shared" ca="1" si="176"/>
        <v>29</v>
      </c>
      <c r="M683" s="3">
        <f t="shared" ca="1" si="177"/>
        <v>2</v>
      </c>
      <c r="N683" s="3" t="str">
        <f t="shared" ca="1" si="178"/>
        <v>On Time</v>
      </c>
      <c r="O683" s="3" t="str">
        <f t="shared" ca="1" si="179"/>
        <v>Medium</v>
      </c>
      <c r="P683" s="3">
        <f t="shared" ca="1" si="180"/>
        <v>81</v>
      </c>
      <c r="Q683" s="1" t="str">
        <f ca="1">VLOOKUP(D683,Routes!$A$2:$D$31,2,FALSE)</f>
        <v>Delhi</v>
      </c>
      <c r="R683" s="1" t="str">
        <f ca="1">VLOOKUP(D683,Routes!$A$2:$D$31,3,FALSE)</f>
        <v>Kolkata</v>
      </c>
      <c r="S683" s="3">
        <f ca="1">VLOOKUP(D683,Routes!$A$2:$D$31,4,FALSE)</f>
        <v>1500</v>
      </c>
      <c r="T683" s="3" t="str">
        <f ca="1">VLOOKUP(E683,Vehicles!$A$2:$D$21,2,FALSE)</f>
        <v>Trailer</v>
      </c>
      <c r="U683" s="3">
        <f ca="1">VLOOKUP(E683,Vehicles!$A$2:$D$21,3,FALSE)</f>
        <v>32</v>
      </c>
      <c r="V683" s="3" t="str">
        <f ca="1">VLOOKUP(E683,Vehicles!$A$2:$D$21,4,FALSE)</f>
        <v>Diesel</v>
      </c>
      <c r="W683" s="3">
        <f ca="1">VLOOKUP(V683,Fuel_Rates!$A$2:$B$3,2,FALSE)</f>
        <v>95</v>
      </c>
      <c r="X683" s="3">
        <f t="shared" ca="1" si="182"/>
        <v>38.21</v>
      </c>
      <c r="Y683" s="3">
        <f t="shared" ca="1" si="183"/>
        <v>76156</v>
      </c>
      <c r="Z683" s="3" t="str">
        <f t="shared" ca="1" si="184"/>
        <v>May</v>
      </c>
      <c r="AA683" s="3" t="str">
        <f t="shared" ca="1" si="185"/>
        <v>Q2</v>
      </c>
      <c r="AB683" s="4" t="str">
        <f t="shared" ca="1" si="186"/>
        <v>Long Haul</v>
      </c>
    </row>
    <row r="684" spans="1:28" x14ac:dyDescent="0.3">
      <c r="A684" s="8" t="str">
        <f t="shared" si="181"/>
        <v>S0683</v>
      </c>
      <c r="B684" s="3">
        <f t="shared" ca="1" si="170"/>
        <v>45810</v>
      </c>
      <c r="C684" s="3" t="str">
        <f ca="1">INDEX(Customers!$A$2:$A$21,RANDBETWEEN(1,20))</f>
        <v>C018</v>
      </c>
      <c r="D684" s="3" t="str">
        <f ca="1">INDEX(Routes!$A$2:$A$31,RANDBETWEEN(1,30))</f>
        <v>R006</v>
      </c>
      <c r="E684" s="3" t="str">
        <f ca="1">INDEX(Vehicles!$A$2:$A$21,RANDBETWEEN(1,20))</f>
        <v>V010</v>
      </c>
      <c r="F684" s="3" t="str">
        <f ca="1">INDEX(Drivers!$A$2:$A$31,RANDBETWEEN(1,30))</f>
        <v>D001</v>
      </c>
      <c r="G684" s="3">
        <f t="shared" ca="1" si="171"/>
        <v>13.8</v>
      </c>
      <c r="H684" s="3">
        <f t="shared" ca="1" si="172"/>
        <v>27890</v>
      </c>
      <c r="I684" s="3">
        <f t="shared" ca="1" si="173"/>
        <v>7809</v>
      </c>
      <c r="J684" s="3">
        <f t="shared" ca="1" si="174"/>
        <v>1863</v>
      </c>
      <c r="K684" s="3">
        <f t="shared" ca="1" si="175"/>
        <v>38</v>
      </c>
      <c r="L684" s="3">
        <f t="shared" ca="1" si="176"/>
        <v>42</v>
      </c>
      <c r="M684" s="3">
        <f t="shared" ca="1" si="177"/>
        <v>4</v>
      </c>
      <c r="N684" s="3" t="str">
        <f t="shared" ca="1" si="178"/>
        <v>Delayed</v>
      </c>
      <c r="O684" s="3" t="str">
        <f t="shared" ca="1" si="179"/>
        <v>High</v>
      </c>
      <c r="P684" s="3">
        <f t="shared" ca="1" si="180"/>
        <v>46</v>
      </c>
      <c r="Q684" s="1" t="str">
        <f ca="1">VLOOKUP(D684,Routes!$A$2:$D$31,2,FALSE)</f>
        <v>Delhi</v>
      </c>
      <c r="R684" s="1" t="str">
        <f ca="1">VLOOKUP(D684,Routes!$A$2:$D$31,3,FALSE)</f>
        <v>Lucknow</v>
      </c>
      <c r="S684" s="3">
        <f ca="1">VLOOKUP(D684,Routes!$A$2:$D$31,4,FALSE)</f>
        <v>550</v>
      </c>
      <c r="T684" s="3" t="str">
        <f ca="1">VLOOKUP(E684,Vehicles!$A$2:$D$21,2,FALSE)</f>
        <v>LCV</v>
      </c>
      <c r="U684" s="3">
        <f ca="1">VLOOKUP(E684,Vehicles!$A$2:$D$21,3,FALSE)</f>
        <v>7</v>
      </c>
      <c r="V684" s="3" t="str">
        <f ca="1">VLOOKUP(E684,Vehicles!$A$2:$D$21,4,FALSE)</f>
        <v>Diesel</v>
      </c>
      <c r="W684" s="3">
        <f ca="1">VLOOKUP(V684,Fuel_Rates!$A$2:$B$3,2,FALSE)</f>
        <v>95</v>
      </c>
      <c r="X684" s="3">
        <f t="shared" ca="1" si="182"/>
        <v>50.71</v>
      </c>
      <c r="Y684" s="3">
        <f t="shared" ca="1" si="183"/>
        <v>37562</v>
      </c>
      <c r="Z684" s="3" t="str">
        <f t="shared" ca="1" si="184"/>
        <v>Jun</v>
      </c>
      <c r="AA684" s="3" t="str">
        <f t="shared" ca="1" si="185"/>
        <v>Q2</v>
      </c>
      <c r="AB684" s="4" t="str">
        <f t="shared" ca="1" si="186"/>
        <v>Medium Haul</v>
      </c>
    </row>
    <row r="685" spans="1:28" x14ac:dyDescent="0.3">
      <c r="A685" s="8" t="str">
        <f t="shared" si="181"/>
        <v>S0684</v>
      </c>
      <c r="B685" s="3">
        <f t="shared" ca="1" si="170"/>
        <v>45668</v>
      </c>
      <c r="C685" s="3" t="str">
        <f ca="1">INDEX(Customers!$A$2:$A$21,RANDBETWEEN(1,20))</f>
        <v>C007</v>
      </c>
      <c r="D685" s="3" t="str">
        <f ca="1">INDEX(Routes!$A$2:$A$31,RANDBETWEEN(1,30))</f>
        <v>R009</v>
      </c>
      <c r="E685" s="3" t="str">
        <f ca="1">INDEX(Vehicles!$A$2:$A$21,RANDBETWEEN(1,20))</f>
        <v>V008</v>
      </c>
      <c r="F685" s="3" t="str">
        <f ca="1">INDEX(Drivers!$A$2:$A$31,RANDBETWEEN(1,30))</f>
        <v>D003</v>
      </c>
      <c r="G685" s="3">
        <f t="shared" ca="1" si="171"/>
        <v>28.2</v>
      </c>
      <c r="H685" s="3">
        <f t="shared" ca="1" si="172"/>
        <v>58548</v>
      </c>
      <c r="I685" s="3">
        <f t="shared" ca="1" si="173"/>
        <v>16393</v>
      </c>
      <c r="J685" s="3">
        <f t="shared" ca="1" si="174"/>
        <v>1630</v>
      </c>
      <c r="K685" s="3">
        <f t="shared" ca="1" si="175"/>
        <v>23</v>
      </c>
      <c r="L685" s="3">
        <f t="shared" ca="1" si="176"/>
        <v>26</v>
      </c>
      <c r="M685" s="3">
        <f t="shared" ca="1" si="177"/>
        <v>3</v>
      </c>
      <c r="N685" s="3" t="str">
        <f t="shared" ca="1" si="178"/>
        <v>Delayed</v>
      </c>
      <c r="O685" s="3" t="str">
        <f t="shared" ca="1" si="179"/>
        <v>Medium</v>
      </c>
      <c r="P685" s="3">
        <f t="shared" ca="1" si="180"/>
        <v>94</v>
      </c>
      <c r="Q685" s="1" t="str">
        <f ca="1">VLOOKUP(D685,Routes!$A$2:$D$31,2,FALSE)</f>
        <v>Bengaluru</v>
      </c>
      <c r="R685" s="1" t="str">
        <f ca="1">VLOOKUP(D685,Routes!$A$2:$D$31,3,FALSE)</f>
        <v>Chennai</v>
      </c>
      <c r="S685" s="3">
        <f ca="1">VLOOKUP(D685,Routes!$A$2:$D$31,4,FALSE)</f>
        <v>350</v>
      </c>
      <c r="T685" s="3" t="str">
        <f ca="1">VLOOKUP(E685,Vehicles!$A$2:$D$21,2,FALSE)</f>
        <v>Container</v>
      </c>
      <c r="U685" s="3">
        <f ca="1">VLOOKUP(E685,Vehicles!$A$2:$D$21,3,FALSE)</f>
        <v>25</v>
      </c>
      <c r="V685" s="3" t="str">
        <f ca="1">VLOOKUP(E685,Vehicles!$A$2:$D$21,4,FALSE)</f>
        <v>Diesel</v>
      </c>
      <c r="W685" s="3">
        <f ca="1">VLOOKUP(V685,Fuel_Rates!$A$2:$B$3,2,FALSE)</f>
        <v>95</v>
      </c>
      <c r="X685" s="3">
        <f t="shared" ca="1" si="182"/>
        <v>167.28</v>
      </c>
      <c r="Y685" s="3">
        <f t="shared" ca="1" si="183"/>
        <v>76571</v>
      </c>
      <c r="Z685" s="3" t="str">
        <f t="shared" ca="1" si="184"/>
        <v>Jan</v>
      </c>
      <c r="AA685" s="3" t="str">
        <f t="shared" ca="1" si="185"/>
        <v>Q1</v>
      </c>
      <c r="AB685" s="4" t="str">
        <f t="shared" ca="1" si="186"/>
        <v>Medium Haul</v>
      </c>
    </row>
    <row r="686" spans="1:28" x14ac:dyDescent="0.3">
      <c r="A686" s="8" t="str">
        <f t="shared" si="181"/>
        <v>S0685</v>
      </c>
      <c r="B686" s="3">
        <f t="shared" ca="1" si="170"/>
        <v>45818</v>
      </c>
      <c r="C686" s="3" t="str">
        <f ca="1">INDEX(Customers!$A$2:$A$21,RANDBETWEEN(1,20))</f>
        <v>C010</v>
      </c>
      <c r="D686" s="3" t="str">
        <f ca="1">INDEX(Routes!$A$2:$A$31,RANDBETWEEN(1,30))</f>
        <v>R001</v>
      </c>
      <c r="E686" s="3" t="str">
        <f ca="1">INDEX(Vehicles!$A$2:$A$21,RANDBETWEEN(1,20))</f>
        <v>V012</v>
      </c>
      <c r="F686" s="3" t="str">
        <f ca="1">INDEX(Drivers!$A$2:$A$31,RANDBETWEEN(1,30))</f>
        <v>D016</v>
      </c>
      <c r="G686" s="3">
        <f t="shared" ca="1" si="171"/>
        <v>4</v>
      </c>
      <c r="H686" s="3">
        <f t="shared" ca="1" si="172"/>
        <v>13023</v>
      </c>
      <c r="I686" s="3">
        <f t="shared" ca="1" si="173"/>
        <v>3646</v>
      </c>
      <c r="J686" s="3">
        <f t="shared" ca="1" si="174"/>
        <v>1101</v>
      </c>
      <c r="K686" s="3">
        <f t="shared" ca="1" si="175"/>
        <v>38</v>
      </c>
      <c r="L686" s="3">
        <f t="shared" ca="1" si="176"/>
        <v>38</v>
      </c>
      <c r="M686" s="3">
        <f t="shared" ca="1" si="177"/>
        <v>0</v>
      </c>
      <c r="N686" s="3" t="str">
        <f t="shared" ca="1" si="178"/>
        <v>On Time</v>
      </c>
      <c r="O686" s="3" t="str">
        <f t="shared" ca="1" si="179"/>
        <v>High</v>
      </c>
      <c r="P686" s="3">
        <f t="shared" ca="1" si="180"/>
        <v>13.3</v>
      </c>
      <c r="Q686" s="1" t="str">
        <f ca="1">VLOOKUP(D686,Routes!$A$2:$D$31,2,FALSE)</f>
        <v>Mumbai</v>
      </c>
      <c r="R686" s="1" t="str">
        <f ca="1">VLOOKUP(D686,Routes!$A$2:$D$31,3,FALSE)</f>
        <v>Pune</v>
      </c>
      <c r="S686" s="3">
        <f ca="1">VLOOKUP(D686,Routes!$A$2:$D$31,4,FALSE)</f>
        <v>150</v>
      </c>
      <c r="T686" s="3" t="str">
        <f ca="1">VLOOKUP(E686,Vehicles!$A$2:$D$21,2,FALSE)</f>
        <v>Truck</v>
      </c>
      <c r="U686" s="3">
        <f ca="1">VLOOKUP(E686,Vehicles!$A$2:$D$21,3,FALSE)</f>
        <v>20</v>
      </c>
      <c r="V686" s="3" t="str">
        <f ca="1">VLOOKUP(E686,Vehicles!$A$2:$D$21,4,FALSE)</f>
        <v>CNG</v>
      </c>
      <c r="W686" s="3">
        <f ca="1">VLOOKUP(V686,Fuel_Rates!$A$2:$B$3,2,FALSE)</f>
        <v>78</v>
      </c>
      <c r="X686" s="3">
        <f t="shared" ca="1" si="182"/>
        <v>86.82</v>
      </c>
      <c r="Y686" s="3">
        <f t="shared" ca="1" si="183"/>
        <v>17770</v>
      </c>
      <c r="Z686" s="3" t="str">
        <f t="shared" ca="1" si="184"/>
        <v>Jun</v>
      </c>
      <c r="AA686" s="3" t="str">
        <f t="shared" ca="1" si="185"/>
        <v>Q2</v>
      </c>
      <c r="AB686" s="4" t="str">
        <f t="shared" ca="1" si="186"/>
        <v>Short Haul</v>
      </c>
    </row>
    <row r="687" spans="1:28" x14ac:dyDescent="0.3">
      <c r="A687" s="8" t="str">
        <f t="shared" si="181"/>
        <v>S0686</v>
      </c>
      <c r="B687" s="3">
        <f t="shared" ca="1" si="170"/>
        <v>45797</v>
      </c>
      <c r="C687" s="3" t="str">
        <f ca="1">INDEX(Customers!$A$2:$A$21,RANDBETWEEN(1,20))</f>
        <v>C001</v>
      </c>
      <c r="D687" s="3" t="str">
        <f ca="1">INDEX(Routes!$A$2:$A$31,RANDBETWEEN(1,30))</f>
        <v>R010</v>
      </c>
      <c r="E687" s="3" t="str">
        <f ca="1">INDEX(Vehicles!$A$2:$A$21,RANDBETWEEN(1,20))</f>
        <v>V018</v>
      </c>
      <c r="F687" s="3" t="str">
        <f ca="1">INDEX(Drivers!$A$2:$A$31,RANDBETWEEN(1,30))</f>
        <v>D020</v>
      </c>
      <c r="G687" s="3">
        <f t="shared" ca="1" si="171"/>
        <v>15.8</v>
      </c>
      <c r="H687" s="3">
        <f t="shared" ca="1" si="172"/>
        <v>33240</v>
      </c>
      <c r="I687" s="3">
        <f t="shared" ca="1" si="173"/>
        <v>9307</v>
      </c>
      <c r="J687" s="3">
        <f t="shared" ca="1" si="174"/>
        <v>1895</v>
      </c>
      <c r="K687" s="3">
        <f t="shared" ca="1" si="175"/>
        <v>47</v>
      </c>
      <c r="L687" s="3">
        <f t="shared" ca="1" si="176"/>
        <v>47</v>
      </c>
      <c r="M687" s="3">
        <f t="shared" ca="1" si="177"/>
        <v>0</v>
      </c>
      <c r="N687" s="3" t="str">
        <f t="shared" ca="1" si="178"/>
        <v>On Time</v>
      </c>
      <c r="O687" s="3" t="str">
        <f t="shared" ca="1" si="179"/>
        <v>Medium</v>
      </c>
      <c r="P687" s="3">
        <f t="shared" ca="1" si="180"/>
        <v>52.7</v>
      </c>
      <c r="Q687" s="1" t="str">
        <f ca="1">VLOOKUP(D687,Routes!$A$2:$D$31,2,FALSE)</f>
        <v>Bengaluru</v>
      </c>
      <c r="R687" s="1" t="str">
        <f ca="1">VLOOKUP(D687,Routes!$A$2:$D$31,3,FALSE)</f>
        <v>Hyderabad</v>
      </c>
      <c r="S687" s="3">
        <f ca="1">VLOOKUP(D687,Routes!$A$2:$D$31,4,FALSE)</f>
        <v>570</v>
      </c>
      <c r="T687" s="3" t="str">
        <f ca="1">VLOOKUP(E687,Vehicles!$A$2:$D$21,2,FALSE)</f>
        <v>Truck</v>
      </c>
      <c r="U687" s="3">
        <f ca="1">VLOOKUP(E687,Vehicles!$A$2:$D$21,3,FALSE)</f>
        <v>26</v>
      </c>
      <c r="V687" s="3" t="str">
        <f ca="1">VLOOKUP(E687,Vehicles!$A$2:$D$21,4,FALSE)</f>
        <v>Diesel</v>
      </c>
      <c r="W687" s="3">
        <f ca="1">VLOOKUP(V687,Fuel_Rates!$A$2:$B$3,2,FALSE)</f>
        <v>95</v>
      </c>
      <c r="X687" s="3">
        <f t="shared" ca="1" si="182"/>
        <v>58.32</v>
      </c>
      <c r="Y687" s="3">
        <f t="shared" ca="1" si="183"/>
        <v>44442</v>
      </c>
      <c r="Z687" s="3" t="str">
        <f t="shared" ca="1" si="184"/>
        <v>May</v>
      </c>
      <c r="AA687" s="3" t="str">
        <f t="shared" ca="1" si="185"/>
        <v>Q2</v>
      </c>
      <c r="AB687" s="4" t="str">
        <f t="shared" ca="1" si="186"/>
        <v>Medium Haul</v>
      </c>
    </row>
    <row r="688" spans="1:28" x14ac:dyDescent="0.3">
      <c r="A688" s="8" t="str">
        <f t="shared" si="181"/>
        <v>S0687</v>
      </c>
      <c r="B688" s="3">
        <f t="shared" ca="1" si="170"/>
        <v>45700</v>
      </c>
      <c r="C688" s="3" t="str">
        <f ca="1">INDEX(Customers!$A$2:$A$21,RANDBETWEEN(1,20))</f>
        <v>C011</v>
      </c>
      <c r="D688" s="3" t="str">
        <f ca="1">INDEX(Routes!$A$2:$A$31,RANDBETWEEN(1,30))</f>
        <v>R001</v>
      </c>
      <c r="E688" s="3" t="str">
        <f ca="1">INDEX(Vehicles!$A$2:$A$21,RANDBETWEEN(1,20))</f>
        <v>V017</v>
      </c>
      <c r="F688" s="3" t="str">
        <f ca="1">INDEX(Drivers!$A$2:$A$31,RANDBETWEEN(1,30))</f>
        <v>D007</v>
      </c>
      <c r="G688" s="3">
        <f t="shared" ca="1" si="171"/>
        <v>29.4</v>
      </c>
      <c r="H688" s="3">
        <f t="shared" ca="1" si="172"/>
        <v>57162</v>
      </c>
      <c r="I688" s="3">
        <f t="shared" ca="1" si="173"/>
        <v>16005</v>
      </c>
      <c r="J688" s="3">
        <f t="shared" ca="1" si="174"/>
        <v>579</v>
      </c>
      <c r="K688" s="3">
        <f t="shared" ca="1" si="175"/>
        <v>36</v>
      </c>
      <c r="L688" s="3">
        <f t="shared" ca="1" si="176"/>
        <v>37</v>
      </c>
      <c r="M688" s="3">
        <f t="shared" ca="1" si="177"/>
        <v>1</v>
      </c>
      <c r="N688" s="3" t="str">
        <f t="shared" ca="1" si="178"/>
        <v>On Time</v>
      </c>
      <c r="O688" s="3" t="str">
        <f t="shared" ca="1" si="179"/>
        <v>High</v>
      </c>
      <c r="P688" s="3">
        <f t="shared" ca="1" si="180"/>
        <v>98</v>
      </c>
      <c r="Q688" s="1" t="str">
        <f ca="1">VLOOKUP(D688,Routes!$A$2:$D$31,2,FALSE)</f>
        <v>Mumbai</v>
      </c>
      <c r="R688" s="1" t="str">
        <f ca="1">VLOOKUP(D688,Routes!$A$2:$D$31,3,FALSE)</f>
        <v>Pune</v>
      </c>
      <c r="S688" s="3">
        <f ca="1">VLOOKUP(D688,Routes!$A$2:$D$31,4,FALSE)</f>
        <v>150</v>
      </c>
      <c r="T688" s="3" t="str">
        <f ca="1">VLOOKUP(E688,Vehicles!$A$2:$D$21,2,FALSE)</f>
        <v>Truck</v>
      </c>
      <c r="U688" s="3">
        <f ca="1">VLOOKUP(E688,Vehicles!$A$2:$D$21,3,FALSE)</f>
        <v>24</v>
      </c>
      <c r="V688" s="3" t="str">
        <f ca="1">VLOOKUP(E688,Vehicles!$A$2:$D$21,4,FALSE)</f>
        <v>Diesel</v>
      </c>
      <c r="W688" s="3">
        <f ca="1">VLOOKUP(V688,Fuel_Rates!$A$2:$B$3,2,FALSE)</f>
        <v>95</v>
      </c>
      <c r="X688" s="3">
        <f t="shared" ca="1" si="182"/>
        <v>381.08</v>
      </c>
      <c r="Y688" s="3">
        <f t="shared" ca="1" si="183"/>
        <v>73746</v>
      </c>
      <c r="Z688" s="3" t="str">
        <f t="shared" ca="1" si="184"/>
        <v>Feb</v>
      </c>
      <c r="AA688" s="3" t="str">
        <f t="shared" ca="1" si="185"/>
        <v>Q1</v>
      </c>
      <c r="AB688" s="4" t="str">
        <f t="shared" ca="1" si="186"/>
        <v>Short Haul</v>
      </c>
    </row>
    <row r="689" spans="1:28" x14ac:dyDescent="0.3">
      <c r="A689" s="8" t="str">
        <f t="shared" si="181"/>
        <v>S0688</v>
      </c>
      <c r="B689" s="3">
        <f t="shared" ca="1" si="170"/>
        <v>45888</v>
      </c>
      <c r="C689" s="3" t="str">
        <f ca="1">INDEX(Customers!$A$2:$A$21,RANDBETWEEN(1,20))</f>
        <v>C013</v>
      </c>
      <c r="D689" s="3" t="str">
        <f ca="1">INDEX(Routes!$A$2:$A$31,RANDBETWEEN(1,30))</f>
        <v>R014</v>
      </c>
      <c r="E689" s="3" t="str">
        <f ca="1">INDEX(Vehicles!$A$2:$A$21,RANDBETWEEN(1,20))</f>
        <v>V015</v>
      </c>
      <c r="F689" s="3" t="str">
        <f ca="1">INDEX(Drivers!$A$2:$A$31,RANDBETWEEN(1,30))</f>
        <v>D024</v>
      </c>
      <c r="G689" s="3">
        <f t="shared" ca="1" si="171"/>
        <v>14.5</v>
      </c>
      <c r="H689" s="3">
        <f t="shared" ca="1" si="172"/>
        <v>32208</v>
      </c>
      <c r="I689" s="3">
        <f t="shared" ca="1" si="173"/>
        <v>9018</v>
      </c>
      <c r="J689" s="3">
        <f t="shared" ca="1" si="174"/>
        <v>2367</v>
      </c>
      <c r="K689" s="3">
        <f t="shared" ca="1" si="175"/>
        <v>47</v>
      </c>
      <c r="L689" s="3">
        <f t="shared" ca="1" si="176"/>
        <v>48</v>
      </c>
      <c r="M689" s="3">
        <f t="shared" ca="1" si="177"/>
        <v>1</v>
      </c>
      <c r="N689" s="3" t="str">
        <f t="shared" ca="1" si="178"/>
        <v>On Time</v>
      </c>
      <c r="O689" s="3" t="str">
        <f t="shared" ca="1" si="179"/>
        <v>Medium</v>
      </c>
      <c r="P689" s="3">
        <f t="shared" ca="1" si="180"/>
        <v>48.3</v>
      </c>
      <c r="Q689" s="1" t="str">
        <f ca="1">VLOOKUP(D689,Routes!$A$2:$D$31,2,FALSE)</f>
        <v>Hyderabad</v>
      </c>
      <c r="R689" s="1" t="str">
        <f ca="1">VLOOKUP(D689,Routes!$A$2:$D$31,3,FALSE)</f>
        <v>Nagpur</v>
      </c>
      <c r="S689" s="3">
        <f ca="1">VLOOKUP(D689,Routes!$A$2:$D$31,4,FALSE)</f>
        <v>500</v>
      </c>
      <c r="T689" s="3" t="str">
        <f ca="1">VLOOKUP(E689,Vehicles!$A$2:$D$21,2,FALSE)</f>
        <v>Trailer</v>
      </c>
      <c r="U689" s="3">
        <f ca="1">VLOOKUP(E689,Vehicles!$A$2:$D$21,3,FALSE)</f>
        <v>30</v>
      </c>
      <c r="V689" s="3" t="str">
        <f ca="1">VLOOKUP(E689,Vehicles!$A$2:$D$21,4,FALSE)</f>
        <v>Diesel</v>
      </c>
      <c r="W689" s="3">
        <f ca="1">VLOOKUP(V689,Fuel_Rates!$A$2:$B$3,2,FALSE)</f>
        <v>95</v>
      </c>
      <c r="X689" s="3">
        <f t="shared" ca="1" si="182"/>
        <v>64.42</v>
      </c>
      <c r="Y689" s="3">
        <f t="shared" ca="1" si="183"/>
        <v>43593</v>
      </c>
      <c r="Z689" s="3" t="str">
        <f t="shared" ca="1" si="184"/>
        <v>Aug</v>
      </c>
      <c r="AA689" s="3" t="str">
        <f t="shared" ca="1" si="185"/>
        <v>Q3</v>
      </c>
      <c r="AB689" s="4" t="str">
        <f t="shared" ca="1" si="186"/>
        <v>Medium Haul</v>
      </c>
    </row>
    <row r="690" spans="1:28" x14ac:dyDescent="0.3">
      <c r="A690" s="8" t="str">
        <f t="shared" si="181"/>
        <v>S0689</v>
      </c>
      <c r="B690" s="3">
        <f t="shared" ca="1" si="170"/>
        <v>45866</v>
      </c>
      <c r="C690" s="3" t="str">
        <f ca="1">INDEX(Customers!$A$2:$A$21,RANDBETWEEN(1,20))</f>
        <v>C016</v>
      </c>
      <c r="D690" s="3" t="str">
        <f ca="1">INDEX(Routes!$A$2:$A$31,RANDBETWEEN(1,30))</f>
        <v>R017</v>
      </c>
      <c r="E690" s="3" t="str">
        <f ca="1">INDEX(Vehicles!$A$2:$A$21,RANDBETWEEN(1,20))</f>
        <v>V009</v>
      </c>
      <c r="F690" s="3" t="str">
        <f ca="1">INDEX(Drivers!$A$2:$A$31,RANDBETWEEN(1,30))</f>
        <v>D016</v>
      </c>
      <c r="G690" s="3">
        <f t="shared" ca="1" si="171"/>
        <v>4.5999999999999996</v>
      </c>
      <c r="H690" s="3">
        <f t="shared" ca="1" si="172"/>
        <v>22771</v>
      </c>
      <c r="I690" s="3">
        <f t="shared" ca="1" si="173"/>
        <v>6376</v>
      </c>
      <c r="J690" s="3">
        <f t="shared" ca="1" si="174"/>
        <v>664</v>
      </c>
      <c r="K690" s="3">
        <f t="shared" ca="1" si="175"/>
        <v>38</v>
      </c>
      <c r="L690" s="3">
        <f t="shared" ca="1" si="176"/>
        <v>41</v>
      </c>
      <c r="M690" s="3">
        <f t="shared" ca="1" si="177"/>
        <v>3</v>
      </c>
      <c r="N690" s="3" t="str">
        <f t="shared" ca="1" si="178"/>
        <v>Delayed</v>
      </c>
      <c r="O690" s="3" t="str">
        <f t="shared" ca="1" si="179"/>
        <v>Low</v>
      </c>
      <c r="P690" s="3">
        <f t="shared" ca="1" si="180"/>
        <v>15.3</v>
      </c>
      <c r="Q690" s="1" t="str">
        <f ca="1">VLOOKUP(D690,Routes!$A$2:$D$31,2,FALSE)</f>
        <v>Kolkata</v>
      </c>
      <c r="R690" s="1" t="str">
        <f ca="1">VLOOKUP(D690,Routes!$A$2:$D$31,3,FALSE)</f>
        <v>Patna</v>
      </c>
      <c r="S690" s="3">
        <f ca="1">VLOOKUP(D690,Routes!$A$2:$D$31,4,FALSE)</f>
        <v>620</v>
      </c>
      <c r="T690" s="3" t="str">
        <f ca="1">VLOOKUP(E690,Vehicles!$A$2:$D$21,2,FALSE)</f>
        <v>LCV</v>
      </c>
      <c r="U690" s="3">
        <f ca="1">VLOOKUP(E690,Vehicles!$A$2:$D$21,3,FALSE)</f>
        <v>5</v>
      </c>
      <c r="V690" s="3" t="str">
        <f ca="1">VLOOKUP(E690,Vehicles!$A$2:$D$21,4,FALSE)</f>
        <v>Diesel</v>
      </c>
      <c r="W690" s="3">
        <f ca="1">VLOOKUP(V690,Fuel_Rates!$A$2:$B$3,2,FALSE)</f>
        <v>95</v>
      </c>
      <c r="X690" s="3">
        <f t="shared" ca="1" si="182"/>
        <v>36.729999999999997</v>
      </c>
      <c r="Y690" s="3">
        <f t="shared" ca="1" si="183"/>
        <v>29811</v>
      </c>
      <c r="Z690" s="3" t="str">
        <f t="shared" ca="1" si="184"/>
        <v>Jul</v>
      </c>
      <c r="AA690" s="3" t="str">
        <f t="shared" ca="1" si="185"/>
        <v>Q3</v>
      </c>
      <c r="AB690" s="4" t="str">
        <f t="shared" ca="1" si="186"/>
        <v>Medium Haul</v>
      </c>
    </row>
    <row r="691" spans="1:28" x14ac:dyDescent="0.3">
      <c r="A691" s="8" t="str">
        <f t="shared" si="181"/>
        <v>S0690</v>
      </c>
      <c r="B691" s="3">
        <f t="shared" ca="1" si="170"/>
        <v>45880</v>
      </c>
      <c r="C691" s="3" t="str">
        <f ca="1">INDEX(Customers!$A$2:$A$21,RANDBETWEEN(1,20))</f>
        <v>C012</v>
      </c>
      <c r="D691" s="3" t="str">
        <f ca="1">INDEX(Routes!$A$2:$A$31,RANDBETWEEN(1,30))</f>
        <v>R017</v>
      </c>
      <c r="E691" s="3" t="str">
        <f ca="1">INDEX(Vehicles!$A$2:$A$21,RANDBETWEEN(1,20))</f>
        <v>V009</v>
      </c>
      <c r="F691" s="3" t="str">
        <f ca="1">INDEX(Drivers!$A$2:$A$31,RANDBETWEEN(1,30))</f>
        <v>D018</v>
      </c>
      <c r="G691" s="3">
        <f t="shared" ca="1" si="171"/>
        <v>17.8</v>
      </c>
      <c r="H691" s="3">
        <f t="shared" ca="1" si="172"/>
        <v>42262</v>
      </c>
      <c r="I691" s="3">
        <f t="shared" ca="1" si="173"/>
        <v>11833</v>
      </c>
      <c r="J691" s="3">
        <f t="shared" ca="1" si="174"/>
        <v>1851</v>
      </c>
      <c r="K691" s="3">
        <f t="shared" ca="1" si="175"/>
        <v>13</v>
      </c>
      <c r="L691" s="3">
        <f t="shared" ca="1" si="176"/>
        <v>18</v>
      </c>
      <c r="M691" s="3">
        <f t="shared" ca="1" si="177"/>
        <v>5</v>
      </c>
      <c r="N691" s="3" t="str">
        <f t="shared" ca="1" si="178"/>
        <v>Delayed</v>
      </c>
      <c r="O691" s="3" t="str">
        <f t="shared" ca="1" si="179"/>
        <v>Medium</v>
      </c>
      <c r="P691" s="3">
        <f t="shared" ca="1" si="180"/>
        <v>59.3</v>
      </c>
      <c r="Q691" s="1" t="str">
        <f ca="1">VLOOKUP(D691,Routes!$A$2:$D$31,2,FALSE)</f>
        <v>Kolkata</v>
      </c>
      <c r="R691" s="1" t="str">
        <f ca="1">VLOOKUP(D691,Routes!$A$2:$D$31,3,FALSE)</f>
        <v>Patna</v>
      </c>
      <c r="S691" s="3">
        <f ca="1">VLOOKUP(D691,Routes!$A$2:$D$31,4,FALSE)</f>
        <v>620</v>
      </c>
      <c r="T691" s="3" t="str">
        <f ca="1">VLOOKUP(E691,Vehicles!$A$2:$D$21,2,FALSE)</f>
        <v>LCV</v>
      </c>
      <c r="U691" s="3">
        <f ca="1">VLOOKUP(E691,Vehicles!$A$2:$D$21,3,FALSE)</f>
        <v>5</v>
      </c>
      <c r="V691" s="3" t="str">
        <f ca="1">VLOOKUP(E691,Vehicles!$A$2:$D$21,4,FALSE)</f>
        <v>Diesel</v>
      </c>
      <c r="W691" s="3">
        <f ca="1">VLOOKUP(V691,Fuel_Rates!$A$2:$B$3,2,FALSE)</f>
        <v>95</v>
      </c>
      <c r="X691" s="3">
        <f t="shared" ca="1" si="182"/>
        <v>68.16</v>
      </c>
      <c r="Y691" s="3">
        <f t="shared" ca="1" si="183"/>
        <v>55946</v>
      </c>
      <c r="Z691" s="3" t="str">
        <f t="shared" ca="1" si="184"/>
        <v>Aug</v>
      </c>
      <c r="AA691" s="3" t="str">
        <f t="shared" ca="1" si="185"/>
        <v>Q3</v>
      </c>
      <c r="AB691" s="4" t="str">
        <f t="shared" ca="1" si="186"/>
        <v>Medium Haul</v>
      </c>
    </row>
    <row r="692" spans="1:28" x14ac:dyDescent="0.3">
      <c r="A692" s="8" t="str">
        <f t="shared" si="181"/>
        <v>S0691</v>
      </c>
      <c r="B692" s="3">
        <f t="shared" ca="1" si="170"/>
        <v>45818</v>
      </c>
      <c r="C692" s="3" t="str">
        <f ca="1">INDEX(Customers!$A$2:$A$21,RANDBETWEEN(1,20))</f>
        <v>C012</v>
      </c>
      <c r="D692" s="3" t="str">
        <f ca="1">INDEX(Routes!$A$2:$A$31,RANDBETWEEN(1,30))</f>
        <v>R018</v>
      </c>
      <c r="E692" s="3" t="str">
        <f ca="1">INDEX(Vehicles!$A$2:$A$21,RANDBETWEEN(1,20))</f>
        <v>V004</v>
      </c>
      <c r="F692" s="3" t="str">
        <f ca="1">INDEX(Drivers!$A$2:$A$31,RANDBETWEEN(1,30))</f>
        <v>D020</v>
      </c>
      <c r="G692" s="3">
        <f t="shared" ca="1" si="171"/>
        <v>9.5</v>
      </c>
      <c r="H692" s="3">
        <f t="shared" ca="1" si="172"/>
        <v>20522</v>
      </c>
      <c r="I692" s="3">
        <f t="shared" ca="1" si="173"/>
        <v>5746</v>
      </c>
      <c r="J692" s="3">
        <f t="shared" ca="1" si="174"/>
        <v>2461</v>
      </c>
      <c r="K692" s="3">
        <f t="shared" ca="1" si="175"/>
        <v>5</v>
      </c>
      <c r="L692" s="3">
        <f t="shared" ca="1" si="176"/>
        <v>12</v>
      </c>
      <c r="M692" s="3">
        <f t="shared" ca="1" si="177"/>
        <v>7</v>
      </c>
      <c r="N692" s="3" t="str">
        <f t="shared" ca="1" si="178"/>
        <v>Delayed</v>
      </c>
      <c r="O692" s="3" t="str">
        <f t="shared" ca="1" si="179"/>
        <v>Low</v>
      </c>
      <c r="P692" s="3">
        <f t="shared" ca="1" si="180"/>
        <v>31.7</v>
      </c>
      <c r="Q692" s="1" t="str">
        <f ca="1">VLOOKUP(D692,Routes!$A$2:$D$31,2,FALSE)</f>
        <v>Ahmedabad</v>
      </c>
      <c r="R692" s="1" t="str">
        <f ca="1">VLOOKUP(D692,Routes!$A$2:$D$31,3,FALSE)</f>
        <v>Jaipur</v>
      </c>
      <c r="S692" s="3">
        <f ca="1">VLOOKUP(D692,Routes!$A$2:$D$31,4,FALSE)</f>
        <v>670</v>
      </c>
      <c r="T692" s="3" t="str">
        <f ca="1">VLOOKUP(E692,Vehicles!$A$2:$D$21,2,FALSE)</f>
        <v>Trailer</v>
      </c>
      <c r="U692" s="3">
        <f ca="1">VLOOKUP(E692,Vehicles!$A$2:$D$21,3,FALSE)</f>
        <v>28</v>
      </c>
      <c r="V692" s="3" t="str">
        <f ca="1">VLOOKUP(E692,Vehicles!$A$2:$D$21,4,FALSE)</f>
        <v>Diesel</v>
      </c>
      <c r="W692" s="3">
        <f ca="1">VLOOKUP(V692,Fuel_Rates!$A$2:$B$3,2,FALSE)</f>
        <v>95</v>
      </c>
      <c r="X692" s="3">
        <f t="shared" ca="1" si="182"/>
        <v>30.63</v>
      </c>
      <c r="Y692" s="3">
        <f t="shared" ca="1" si="183"/>
        <v>28729</v>
      </c>
      <c r="Z692" s="3" t="str">
        <f t="shared" ca="1" si="184"/>
        <v>Jun</v>
      </c>
      <c r="AA692" s="3" t="str">
        <f t="shared" ca="1" si="185"/>
        <v>Q2</v>
      </c>
      <c r="AB692" s="4" t="str">
        <f t="shared" ca="1" si="186"/>
        <v>Medium Haul</v>
      </c>
    </row>
    <row r="693" spans="1:28" x14ac:dyDescent="0.3">
      <c r="A693" s="8" t="str">
        <f t="shared" si="181"/>
        <v>S0692</v>
      </c>
      <c r="B693" s="3">
        <f t="shared" ca="1" si="170"/>
        <v>45772</v>
      </c>
      <c r="C693" s="3" t="str">
        <f ca="1">INDEX(Customers!$A$2:$A$21,RANDBETWEEN(1,20))</f>
        <v>C015</v>
      </c>
      <c r="D693" s="3" t="str">
        <f ca="1">INDEX(Routes!$A$2:$A$31,RANDBETWEEN(1,30))</f>
        <v>R028</v>
      </c>
      <c r="E693" s="3" t="str">
        <f ca="1">INDEX(Vehicles!$A$2:$A$21,RANDBETWEEN(1,20))</f>
        <v>V003</v>
      </c>
      <c r="F693" s="3" t="str">
        <f ca="1">INDEX(Drivers!$A$2:$A$31,RANDBETWEEN(1,30))</f>
        <v>D008</v>
      </c>
      <c r="G693" s="3">
        <f t="shared" ca="1" si="171"/>
        <v>18.8</v>
      </c>
      <c r="H693" s="3">
        <f t="shared" ca="1" si="172"/>
        <v>45502</v>
      </c>
      <c r="I693" s="3">
        <f t="shared" ca="1" si="173"/>
        <v>12741</v>
      </c>
      <c r="J693" s="3">
        <f t="shared" ca="1" si="174"/>
        <v>3009</v>
      </c>
      <c r="K693" s="3">
        <f t="shared" ca="1" si="175"/>
        <v>44</v>
      </c>
      <c r="L693" s="3">
        <f t="shared" ca="1" si="176"/>
        <v>48</v>
      </c>
      <c r="M693" s="3">
        <f t="shared" ca="1" si="177"/>
        <v>4</v>
      </c>
      <c r="N693" s="3" t="str">
        <f t="shared" ca="1" si="178"/>
        <v>Delayed</v>
      </c>
      <c r="O693" s="3" t="str">
        <f t="shared" ca="1" si="179"/>
        <v>Low</v>
      </c>
      <c r="P693" s="3">
        <f t="shared" ca="1" si="180"/>
        <v>62.7</v>
      </c>
      <c r="Q693" s="1" t="str">
        <f ca="1">VLOOKUP(D693,Routes!$A$2:$D$31,2,FALSE)</f>
        <v>Indore</v>
      </c>
      <c r="R693" s="1" t="str">
        <f ca="1">VLOOKUP(D693,Routes!$A$2:$D$31,3,FALSE)</f>
        <v>Mumbai</v>
      </c>
      <c r="S693" s="3">
        <f ca="1">VLOOKUP(D693,Routes!$A$2:$D$31,4,FALSE)</f>
        <v>590</v>
      </c>
      <c r="T693" s="3" t="str">
        <f ca="1">VLOOKUP(E693,Vehicles!$A$2:$D$21,2,FALSE)</f>
        <v>Truck</v>
      </c>
      <c r="U693" s="3">
        <f ca="1">VLOOKUP(E693,Vehicles!$A$2:$D$21,3,FALSE)</f>
        <v>25</v>
      </c>
      <c r="V693" s="3" t="str">
        <f ca="1">VLOOKUP(E693,Vehicles!$A$2:$D$21,4,FALSE)</f>
        <v>Diesel</v>
      </c>
      <c r="W693" s="3">
        <f ca="1">VLOOKUP(V693,Fuel_Rates!$A$2:$B$3,2,FALSE)</f>
        <v>95</v>
      </c>
      <c r="X693" s="3">
        <f t="shared" ca="1" si="182"/>
        <v>77.12</v>
      </c>
      <c r="Y693" s="3">
        <f t="shared" ca="1" si="183"/>
        <v>61252</v>
      </c>
      <c r="Z693" s="3" t="str">
        <f t="shared" ca="1" si="184"/>
        <v>Apr</v>
      </c>
      <c r="AA693" s="3" t="str">
        <f t="shared" ca="1" si="185"/>
        <v>Q2</v>
      </c>
      <c r="AB693" s="4" t="str">
        <f t="shared" ca="1" si="186"/>
        <v>Medium Haul</v>
      </c>
    </row>
    <row r="694" spans="1:28" x14ac:dyDescent="0.3">
      <c r="A694" s="8" t="str">
        <f t="shared" si="181"/>
        <v>S0693</v>
      </c>
      <c r="B694" s="3">
        <f t="shared" ca="1" si="170"/>
        <v>45871</v>
      </c>
      <c r="C694" s="3" t="str">
        <f ca="1">INDEX(Customers!$A$2:$A$21,RANDBETWEEN(1,20))</f>
        <v>C015</v>
      </c>
      <c r="D694" s="3" t="str">
        <f ca="1">INDEX(Routes!$A$2:$A$31,RANDBETWEEN(1,30))</f>
        <v>R018</v>
      </c>
      <c r="E694" s="3" t="str">
        <f ca="1">INDEX(Vehicles!$A$2:$A$21,RANDBETWEEN(1,20))</f>
        <v>V015</v>
      </c>
      <c r="F694" s="3" t="str">
        <f ca="1">INDEX(Drivers!$A$2:$A$31,RANDBETWEEN(1,30))</f>
        <v>D005</v>
      </c>
      <c r="G694" s="3">
        <f t="shared" ca="1" si="171"/>
        <v>24.1</v>
      </c>
      <c r="H694" s="3">
        <f t="shared" ca="1" si="172"/>
        <v>54511</v>
      </c>
      <c r="I694" s="3">
        <f t="shared" ca="1" si="173"/>
        <v>15263</v>
      </c>
      <c r="J694" s="3">
        <f t="shared" ca="1" si="174"/>
        <v>1627</v>
      </c>
      <c r="K694" s="3">
        <f t="shared" ca="1" si="175"/>
        <v>48</v>
      </c>
      <c r="L694" s="3">
        <f t="shared" ca="1" si="176"/>
        <v>49</v>
      </c>
      <c r="M694" s="3">
        <f t="shared" ca="1" si="177"/>
        <v>1</v>
      </c>
      <c r="N694" s="3" t="str">
        <f t="shared" ca="1" si="178"/>
        <v>On Time</v>
      </c>
      <c r="O694" s="3" t="str">
        <f t="shared" ca="1" si="179"/>
        <v>Medium</v>
      </c>
      <c r="P694" s="3">
        <f t="shared" ca="1" si="180"/>
        <v>80.3</v>
      </c>
      <c r="Q694" s="1" t="str">
        <f ca="1">VLOOKUP(D694,Routes!$A$2:$D$31,2,FALSE)</f>
        <v>Ahmedabad</v>
      </c>
      <c r="R694" s="1" t="str">
        <f ca="1">VLOOKUP(D694,Routes!$A$2:$D$31,3,FALSE)</f>
        <v>Jaipur</v>
      </c>
      <c r="S694" s="3">
        <f ca="1">VLOOKUP(D694,Routes!$A$2:$D$31,4,FALSE)</f>
        <v>670</v>
      </c>
      <c r="T694" s="3" t="str">
        <f ca="1">VLOOKUP(E694,Vehicles!$A$2:$D$21,2,FALSE)</f>
        <v>Trailer</v>
      </c>
      <c r="U694" s="3">
        <f ca="1">VLOOKUP(E694,Vehicles!$A$2:$D$21,3,FALSE)</f>
        <v>30</v>
      </c>
      <c r="V694" s="3" t="str">
        <f ca="1">VLOOKUP(E694,Vehicles!$A$2:$D$21,4,FALSE)</f>
        <v>Diesel</v>
      </c>
      <c r="W694" s="3">
        <f ca="1">VLOOKUP(V694,Fuel_Rates!$A$2:$B$3,2,FALSE)</f>
        <v>95</v>
      </c>
      <c r="X694" s="3">
        <f t="shared" ca="1" si="182"/>
        <v>81.36</v>
      </c>
      <c r="Y694" s="3">
        <f t="shared" ca="1" si="183"/>
        <v>71401</v>
      </c>
      <c r="Z694" s="3" t="str">
        <f t="shared" ca="1" si="184"/>
        <v>Aug</v>
      </c>
      <c r="AA694" s="3" t="str">
        <f t="shared" ca="1" si="185"/>
        <v>Q3</v>
      </c>
      <c r="AB694" s="4" t="str">
        <f t="shared" ca="1" si="186"/>
        <v>Medium Haul</v>
      </c>
    </row>
    <row r="695" spans="1:28" x14ac:dyDescent="0.3">
      <c r="A695" s="8" t="str">
        <f t="shared" si="181"/>
        <v>S0694</v>
      </c>
      <c r="B695" s="3">
        <f t="shared" ca="1" si="170"/>
        <v>45682</v>
      </c>
      <c r="C695" s="3" t="str">
        <f ca="1">INDEX(Customers!$A$2:$A$21,RANDBETWEEN(1,20))</f>
        <v>C013</v>
      </c>
      <c r="D695" s="3" t="str">
        <f ca="1">INDEX(Routes!$A$2:$A$31,RANDBETWEEN(1,30))</f>
        <v>R012</v>
      </c>
      <c r="E695" s="3" t="str">
        <f ca="1">INDEX(Vehicles!$A$2:$A$21,RANDBETWEEN(1,20))</f>
        <v>V012</v>
      </c>
      <c r="F695" s="3" t="str">
        <f ca="1">INDEX(Drivers!$A$2:$A$31,RANDBETWEEN(1,30))</f>
        <v>D027</v>
      </c>
      <c r="G695" s="3">
        <f t="shared" ca="1" si="171"/>
        <v>29.2</v>
      </c>
      <c r="H695" s="3">
        <f t="shared" ca="1" si="172"/>
        <v>64276</v>
      </c>
      <c r="I695" s="3">
        <f t="shared" ca="1" si="173"/>
        <v>17997</v>
      </c>
      <c r="J695" s="3">
        <f t="shared" ca="1" si="174"/>
        <v>1098</v>
      </c>
      <c r="K695" s="3">
        <f t="shared" ca="1" si="175"/>
        <v>20</v>
      </c>
      <c r="L695" s="3">
        <f t="shared" ca="1" si="176"/>
        <v>25</v>
      </c>
      <c r="M695" s="3">
        <f t="shared" ca="1" si="177"/>
        <v>5</v>
      </c>
      <c r="N695" s="3" t="str">
        <f t="shared" ca="1" si="178"/>
        <v>Delayed</v>
      </c>
      <c r="O695" s="3" t="str">
        <f t="shared" ca="1" si="179"/>
        <v>Medium</v>
      </c>
      <c r="P695" s="3">
        <f t="shared" ca="1" si="180"/>
        <v>97.3</v>
      </c>
      <c r="Q695" s="1" t="str">
        <f ca="1">VLOOKUP(D695,Routes!$A$2:$D$31,2,FALSE)</f>
        <v>Chennai</v>
      </c>
      <c r="R695" s="1" t="str">
        <f ca="1">VLOOKUP(D695,Routes!$A$2:$D$31,3,FALSE)</f>
        <v>Coimbatore</v>
      </c>
      <c r="S695" s="3">
        <f ca="1">VLOOKUP(D695,Routes!$A$2:$D$31,4,FALSE)</f>
        <v>500</v>
      </c>
      <c r="T695" s="3" t="str">
        <f ca="1">VLOOKUP(E695,Vehicles!$A$2:$D$21,2,FALSE)</f>
        <v>Truck</v>
      </c>
      <c r="U695" s="3">
        <f ca="1">VLOOKUP(E695,Vehicles!$A$2:$D$21,3,FALSE)</f>
        <v>20</v>
      </c>
      <c r="V695" s="3" t="str">
        <f ca="1">VLOOKUP(E695,Vehicles!$A$2:$D$21,4,FALSE)</f>
        <v>CNG</v>
      </c>
      <c r="W695" s="3">
        <f ca="1">VLOOKUP(V695,Fuel_Rates!$A$2:$B$3,2,FALSE)</f>
        <v>78</v>
      </c>
      <c r="X695" s="3">
        <f t="shared" ca="1" si="182"/>
        <v>128.55000000000001</v>
      </c>
      <c r="Y695" s="3">
        <f t="shared" ca="1" si="183"/>
        <v>83371</v>
      </c>
      <c r="Z695" s="3" t="str">
        <f t="shared" ca="1" si="184"/>
        <v>Jan</v>
      </c>
      <c r="AA695" s="3" t="str">
        <f t="shared" ca="1" si="185"/>
        <v>Q1</v>
      </c>
      <c r="AB695" s="4" t="str">
        <f t="shared" ca="1" si="186"/>
        <v>Medium Haul</v>
      </c>
    </row>
    <row r="696" spans="1:28" x14ac:dyDescent="0.3">
      <c r="A696" s="8" t="str">
        <f t="shared" si="181"/>
        <v>S0695</v>
      </c>
      <c r="B696" s="3">
        <f t="shared" ca="1" si="170"/>
        <v>45783</v>
      </c>
      <c r="C696" s="3" t="str">
        <f ca="1">INDEX(Customers!$A$2:$A$21,RANDBETWEEN(1,20))</f>
        <v>C018</v>
      </c>
      <c r="D696" s="3" t="str">
        <f ca="1">INDEX(Routes!$A$2:$A$31,RANDBETWEEN(1,30))</f>
        <v>R008</v>
      </c>
      <c r="E696" s="3" t="str">
        <f ca="1">INDEX(Vehicles!$A$2:$A$21,RANDBETWEEN(1,20))</f>
        <v>V006</v>
      </c>
      <c r="F696" s="3" t="str">
        <f ca="1">INDEX(Drivers!$A$2:$A$31,RANDBETWEEN(1,30))</f>
        <v>D004</v>
      </c>
      <c r="G696" s="3">
        <f t="shared" ca="1" si="171"/>
        <v>20.3</v>
      </c>
      <c r="H696" s="3">
        <f t="shared" ca="1" si="172"/>
        <v>43866</v>
      </c>
      <c r="I696" s="3">
        <f t="shared" ca="1" si="173"/>
        <v>12282</v>
      </c>
      <c r="J696" s="3">
        <f t="shared" ca="1" si="174"/>
        <v>3553</v>
      </c>
      <c r="K696" s="3">
        <f t="shared" ca="1" si="175"/>
        <v>8</v>
      </c>
      <c r="L696" s="3">
        <f t="shared" ca="1" si="176"/>
        <v>12</v>
      </c>
      <c r="M696" s="3">
        <f t="shared" ca="1" si="177"/>
        <v>4</v>
      </c>
      <c r="N696" s="3" t="str">
        <f t="shared" ca="1" si="178"/>
        <v>Delayed</v>
      </c>
      <c r="O696" s="3" t="str">
        <f t="shared" ca="1" si="179"/>
        <v>Low</v>
      </c>
      <c r="P696" s="3">
        <f t="shared" ca="1" si="180"/>
        <v>67.7</v>
      </c>
      <c r="Q696" s="1" t="str">
        <f ca="1">VLOOKUP(D696,Routes!$A$2:$D$31,2,FALSE)</f>
        <v>Delhi</v>
      </c>
      <c r="R696" s="1" t="str">
        <f ca="1">VLOOKUP(D696,Routes!$A$2:$D$31,3,FALSE)</f>
        <v>Kolkata</v>
      </c>
      <c r="S696" s="3">
        <f ca="1">VLOOKUP(D696,Routes!$A$2:$D$31,4,FALSE)</f>
        <v>1500</v>
      </c>
      <c r="T696" s="3" t="str">
        <f ca="1">VLOOKUP(E696,Vehicles!$A$2:$D$21,2,FALSE)</f>
        <v>Container</v>
      </c>
      <c r="U696" s="3">
        <f ca="1">VLOOKUP(E696,Vehicles!$A$2:$D$21,3,FALSE)</f>
        <v>18</v>
      </c>
      <c r="V696" s="3" t="str">
        <f ca="1">VLOOKUP(E696,Vehicles!$A$2:$D$21,4,FALSE)</f>
        <v>Diesel</v>
      </c>
      <c r="W696" s="3">
        <f ca="1">VLOOKUP(V696,Fuel_Rates!$A$2:$B$3,2,FALSE)</f>
        <v>95</v>
      </c>
      <c r="X696" s="3">
        <f t="shared" ca="1" si="182"/>
        <v>29.24</v>
      </c>
      <c r="Y696" s="3">
        <f t="shared" ca="1" si="183"/>
        <v>59701</v>
      </c>
      <c r="Z696" s="3" t="str">
        <f t="shared" ca="1" si="184"/>
        <v>May</v>
      </c>
      <c r="AA696" s="3" t="str">
        <f t="shared" ca="1" si="185"/>
        <v>Q2</v>
      </c>
      <c r="AB696" s="4" t="str">
        <f t="shared" ca="1" si="186"/>
        <v>Long Haul</v>
      </c>
    </row>
    <row r="697" spans="1:28" x14ac:dyDescent="0.3">
      <c r="A697" s="8" t="str">
        <f t="shared" si="181"/>
        <v>S0696</v>
      </c>
      <c r="B697" s="3">
        <f t="shared" ca="1" si="170"/>
        <v>45887</v>
      </c>
      <c r="C697" s="3" t="str">
        <f ca="1">INDEX(Customers!$A$2:$A$21,RANDBETWEEN(1,20))</f>
        <v>C009</v>
      </c>
      <c r="D697" s="3" t="str">
        <f ca="1">INDEX(Routes!$A$2:$A$31,RANDBETWEEN(1,30))</f>
        <v>R005</v>
      </c>
      <c r="E697" s="3" t="str">
        <f ca="1">INDEX(Vehicles!$A$2:$A$21,RANDBETWEEN(1,20))</f>
        <v>V020</v>
      </c>
      <c r="F697" s="3" t="str">
        <f ca="1">INDEX(Drivers!$A$2:$A$31,RANDBETWEEN(1,30))</f>
        <v>D012</v>
      </c>
      <c r="G697" s="3">
        <f t="shared" ca="1" si="171"/>
        <v>21</v>
      </c>
      <c r="H697" s="3">
        <f t="shared" ca="1" si="172"/>
        <v>49547</v>
      </c>
      <c r="I697" s="3">
        <f t="shared" ca="1" si="173"/>
        <v>13873</v>
      </c>
      <c r="J697" s="3">
        <f t="shared" ca="1" si="174"/>
        <v>2165</v>
      </c>
      <c r="K697" s="3">
        <f t="shared" ca="1" si="175"/>
        <v>9</v>
      </c>
      <c r="L697" s="3">
        <f t="shared" ca="1" si="176"/>
        <v>9</v>
      </c>
      <c r="M697" s="3">
        <f t="shared" ca="1" si="177"/>
        <v>0</v>
      </c>
      <c r="N697" s="3" t="str">
        <f t="shared" ca="1" si="178"/>
        <v>On Time</v>
      </c>
      <c r="O697" s="3" t="str">
        <f t="shared" ca="1" si="179"/>
        <v>Medium</v>
      </c>
      <c r="P697" s="3">
        <f t="shared" ca="1" si="180"/>
        <v>70</v>
      </c>
      <c r="Q697" s="1" t="str">
        <f ca="1">VLOOKUP(D697,Routes!$A$2:$D$31,2,FALSE)</f>
        <v>Delhi</v>
      </c>
      <c r="R697" s="1" t="str">
        <f ca="1">VLOOKUP(D697,Routes!$A$2:$D$31,3,FALSE)</f>
        <v>Jaipur</v>
      </c>
      <c r="S697" s="3">
        <f ca="1">VLOOKUP(D697,Routes!$A$2:$D$31,4,FALSE)</f>
        <v>280</v>
      </c>
      <c r="T697" s="3" t="str">
        <f ca="1">VLOOKUP(E697,Vehicles!$A$2:$D$21,2,FALSE)</f>
        <v>Container</v>
      </c>
      <c r="U697" s="3">
        <f ca="1">VLOOKUP(E697,Vehicles!$A$2:$D$21,3,FALSE)</f>
        <v>28</v>
      </c>
      <c r="V697" s="3" t="str">
        <f ca="1">VLOOKUP(E697,Vehicles!$A$2:$D$21,4,FALSE)</f>
        <v>Diesel</v>
      </c>
      <c r="W697" s="3">
        <f ca="1">VLOOKUP(V697,Fuel_Rates!$A$2:$B$3,2,FALSE)</f>
        <v>95</v>
      </c>
      <c r="X697" s="3">
        <f t="shared" ca="1" si="182"/>
        <v>176.95</v>
      </c>
      <c r="Y697" s="3">
        <f t="shared" ca="1" si="183"/>
        <v>65585</v>
      </c>
      <c r="Z697" s="3" t="str">
        <f t="shared" ca="1" si="184"/>
        <v>Aug</v>
      </c>
      <c r="AA697" s="3" t="str">
        <f t="shared" ca="1" si="185"/>
        <v>Q3</v>
      </c>
      <c r="AB697" s="4" t="str">
        <f t="shared" ca="1" si="186"/>
        <v>Short Haul</v>
      </c>
    </row>
    <row r="698" spans="1:28" x14ac:dyDescent="0.3">
      <c r="A698" s="8" t="str">
        <f t="shared" si="181"/>
        <v>S0697</v>
      </c>
      <c r="B698" s="3">
        <f t="shared" ca="1" si="170"/>
        <v>45915</v>
      </c>
      <c r="C698" s="3" t="str">
        <f ca="1">INDEX(Customers!$A$2:$A$21,RANDBETWEEN(1,20))</f>
        <v>C015</v>
      </c>
      <c r="D698" s="3" t="str">
        <f ca="1">INDEX(Routes!$A$2:$A$31,RANDBETWEEN(1,30))</f>
        <v>R015</v>
      </c>
      <c r="E698" s="3" t="str">
        <f ca="1">INDEX(Vehicles!$A$2:$A$21,RANDBETWEEN(1,20))</f>
        <v>V008</v>
      </c>
      <c r="F698" s="3" t="str">
        <f ca="1">INDEX(Drivers!$A$2:$A$31,RANDBETWEEN(1,30))</f>
        <v>D003</v>
      </c>
      <c r="G698" s="3">
        <f t="shared" ca="1" si="171"/>
        <v>17</v>
      </c>
      <c r="H698" s="3">
        <f t="shared" ca="1" si="172"/>
        <v>36371</v>
      </c>
      <c r="I698" s="3">
        <f t="shared" ca="1" si="173"/>
        <v>10184</v>
      </c>
      <c r="J698" s="3">
        <f t="shared" ca="1" si="174"/>
        <v>2216</v>
      </c>
      <c r="K698" s="3">
        <f t="shared" ca="1" si="175"/>
        <v>39</v>
      </c>
      <c r="L698" s="3">
        <f t="shared" ca="1" si="176"/>
        <v>41</v>
      </c>
      <c r="M698" s="3">
        <f t="shared" ca="1" si="177"/>
        <v>2</v>
      </c>
      <c r="N698" s="3" t="str">
        <f t="shared" ca="1" si="178"/>
        <v>On Time</v>
      </c>
      <c r="O698" s="3" t="str">
        <f t="shared" ca="1" si="179"/>
        <v>Medium</v>
      </c>
      <c r="P698" s="3">
        <f t="shared" ca="1" si="180"/>
        <v>56.7</v>
      </c>
      <c r="Q698" s="1" t="str">
        <f ca="1">VLOOKUP(D698,Routes!$A$2:$D$31,2,FALSE)</f>
        <v>Hyderabad</v>
      </c>
      <c r="R698" s="1" t="str">
        <f ca="1">VLOOKUP(D698,Routes!$A$2:$D$31,3,FALSE)</f>
        <v>Pune</v>
      </c>
      <c r="S698" s="3">
        <f ca="1">VLOOKUP(D698,Routes!$A$2:$D$31,4,FALSE)</f>
        <v>560</v>
      </c>
      <c r="T698" s="3" t="str">
        <f ca="1">VLOOKUP(E698,Vehicles!$A$2:$D$21,2,FALSE)</f>
        <v>Container</v>
      </c>
      <c r="U698" s="3">
        <f ca="1">VLOOKUP(E698,Vehicles!$A$2:$D$21,3,FALSE)</f>
        <v>25</v>
      </c>
      <c r="V698" s="3" t="str">
        <f ca="1">VLOOKUP(E698,Vehicles!$A$2:$D$21,4,FALSE)</f>
        <v>Diesel</v>
      </c>
      <c r="W698" s="3">
        <f ca="1">VLOOKUP(V698,Fuel_Rates!$A$2:$B$3,2,FALSE)</f>
        <v>95</v>
      </c>
      <c r="X698" s="3">
        <f t="shared" ca="1" si="182"/>
        <v>64.95</v>
      </c>
      <c r="Y698" s="3">
        <f t="shared" ca="1" si="183"/>
        <v>48771</v>
      </c>
      <c r="Z698" s="3" t="str">
        <f t="shared" ca="1" si="184"/>
        <v>Sep</v>
      </c>
      <c r="AA698" s="3" t="str">
        <f t="shared" ca="1" si="185"/>
        <v>Q3</v>
      </c>
      <c r="AB698" s="4" t="str">
        <f t="shared" ca="1" si="186"/>
        <v>Medium Haul</v>
      </c>
    </row>
    <row r="699" spans="1:28" x14ac:dyDescent="0.3">
      <c r="A699" s="8" t="str">
        <f t="shared" si="181"/>
        <v>S0698</v>
      </c>
      <c r="B699" s="3">
        <f t="shared" ca="1" si="170"/>
        <v>45884</v>
      </c>
      <c r="C699" s="3" t="str">
        <f ca="1">INDEX(Customers!$A$2:$A$21,RANDBETWEEN(1,20))</f>
        <v>C005</v>
      </c>
      <c r="D699" s="3" t="str">
        <f ca="1">INDEX(Routes!$A$2:$A$31,RANDBETWEEN(1,30))</f>
        <v>R022</v>
      </c>
      <c r="E699" s="3" t="str">
        <f ca="1">INDEX(Vehicles!$A$2:$A$21,RANDBETWEEN(1,20))</f>
        <v>V012</v>
      </c>
      <c r="F699" s="3" t="str">
        <f ca="1">INDEX(Drivers!$A$2:$A$31,RANDBETWEEN(1,30))</f>
        <v>D030</v>
      </c>
      <c r="G699" s="3">
        <f t="shared" ca="1" si="171"/>
        <v>17</v>
      </c>
      <c r="H699" s="3">
        <f t="shared" ca="1" si="172"/>
        <v>45398</v>
      </c>
      <c r="I699" s="3">
        <f t="shared" ca="1" si="173"/>
        <v>12711</v>
      </c>
      <c r="J699" s="3">
        <f t="shared" ca="1" si="174"/>
        <v>531</v>
      </c>
      <c r="K699" s="3">
        <f t="shared" ca="1" si="175"/>
        <v>18</v>
      </c>
      <c r="L699" s="3">
        <f t="shared" ca="1" si="176"/>
        <v>25</v>
      </c>
      <c r="M699" s="3">
        <f t="shared" ca="1" si="177"/>
        <v>7</v>
      </c>
      <c r="N699" s="3" t="str">
        <f t="shared" ca="1" si="178"/>
        <v>Delayed</v>
      </c>
      <c r="O699" s="3" t="str">
        <f t="shared" ca="1" si="179"/>
        <v>Medium</v>
      </c>
      <c r="P699" s="3">
        <f t="shared" ca="1" si="180"/>
        <v>56.7</v>
      </c>
      <c r="Q699" s="1" t="str">
        <f ca="1">VLOOKUP(D699,Routes!$A$2:$D$31,2,FALSE)</f>
        <v>Jaipur</v>
      </c>
      <c r="R699" s="1" t="str">
        <f ca="1">VLOOKUP(D699,Routes!$A$2:$D$31,3,FALSE)</f>
        <v>Indore</v>
      </c>
      <c r="S699" s="3">
        <f ca="1">VLOOKUP(D699,Routes!$A$2:$D$31,4,FALSE)</f>
        <v>600</v>
      </c>
      <c r="T699" s="3" t="str">
        <f ca="1">VLOOKUP(E699,Vehicles!$A$2:$D$21,2,FALSE)</f>
        <v>Truck</v>
      </c>
      <c r="U699" s="3">
        <f ca="1">VLOOKUP(E699,Vehicles!$A$2:$D$21,3,FALSE)</f>
        <v>20</v>
      </c>
      <c r="V699" s="3" t="str">
        <f ca="1">VLOOKUP(E699,Vehicles!$A$2:$D$21,4,FALSE)</f>
        <v>CNG</v>
      </c>
      <c r="W699" s="3">
        <f ca="1">VLOOKUP(V699,Fuel_Rates!$A$2:$B$3,2,FALSE)</f>
        <v>78</v>
      </c>
      <c r="X699" s="3">
        <f t="shared" ca="1" si="182"/>
        <v>75.66</v>
      </c>
      <c r="Y699" s="3">
        <f t="shared" ca="1" si="183"/>
        <v>58640</v>
      </c>
      <c r="Z699" s="3" t="str">
        <f t="shared" ca="1" si="184"/>
        <v>Aug</v>
      </c>
      <c r="AA699" s="3" t="str">
        <f t="shared" ca="1" si="185"/>
        <v>Q3</v>
      </c>
      <c r="AB699" s="4" t="str">
        <f t="shared" ca="1" si="186"/>
        <v>Medium Haul</v>
      </c>
    </row>
    <row r="700" spans="1:28" x14ac:dyDescent="0.3">
      <c r="A700" s="8" t="str">
        <f t="shared" si="181"/>
        <v>S0699</v>
      </c>
      <c r="B700" s="3">
        <f t="shared" ca="1" si="170"/>
        <v>46019</v>
      </c>
      <c r="C700" s="3" t="str">
        <f ca="1">INDEX(Customers!$A$2:$A$21,RANDBETWEEN(1,20))</f>
        <v>C010</v>
      </c>
      <c r="D700" s="3" t="str">
        <f ca="1">INDEX(Routes!$A$2:$A$31,RANDBETWEEN(1,30))</f>
        <v>R029</v>
      </c>
      <c r="E700" s="3" t="str">
        <f ca="1">INDEX(Vehicles!$A$2:$A$21,RANDBETWEEN(1,20))</f>
        <v>V008</v>
      </c>
      <c r="F700" s="3" t="str">
        <f ca="1">INDEX(Drivers!$A$2:$A$31,RANDBETWEEN(1,30))</f>
        <v>D009</v>
      </c>
      <c r="G700" s="3">
        <f t="shared" ca="1" si="171"/>
        <v>17.2</v>
      </c>
      <c r="H700" s="3">
        <f t="shared" ca="1" si="172"/>
        <v>40095</v>
      </c>
      <c r="I700" s="3">
        <f t="shared" ca="1" si="173"/>
        <v>11227</v>
      </c>
      <c r="J700" s="3">
        <f t="shared" ca="1" si="174"/>
        <v>3327</v>
      </c>
      <c r="K700" s="3">
        <f t="shared" ca="1" si="175"/>
        <v>38</v>
      </c>
      <c r="L700" s="3">
        <f t="shared" ca="1" si="176"/>
        <v>40</v>
      </c>
      <c r="M700" s="3">
        <f t="shared" ca="1" si="177"/>
        <v>2</v>
      </c>
      <c r="N700" s="3" t="str">
        <f t="shared" ca="1" si="178"/>
        <v>On Time</v>
      </c>
      <c r="O700" s="3" t="str">
        <f t="shared" ca="1" si="179"/>
        <v>Medium</v>
      </c>
      <c r="P700" s="3">
        <f t="shared" ca="1" si="180"/>
        <v>57.3</v>
      </c>
      <c r="Q700" s="1" t="str">
        <f ca="1">VLOOKUP(D700,Routes!$A$2:$D$31,2,FALSE)</f>
        <v>Chandigarh</v>
      </c>
      <c r="R700" s="1" t="str">
        <f ca="1">VLOOKUP(D700,Routes!$A$2:$D$31,3,FALSE)</f>
        <v>Delhi</v>
      </c>
      <c r="S700" s="3">
        <f ca="1">VLOOKUP(D700,Routes!$A$2:$D$31,4,FALSE)</f>
        <v>250</v>
      </c>
      <c r="T700" s="3" t="str">
        <f ca="1">VLOOKUP(E700,Vehicles!$A$2:$D$21,2,FALSE)</f>
        <v>Container</v>
      </c>
      <c r="U700" s="3">
        <f ca="1">VLOOKUP(E700,Vehicles!$A$2:$D$21,3,FALSE)</f>
        <v>25</v>
      </c>
      <c r="V700" s="3" t="str">
        <f ca="1">VLOOKUP(E700,Vehicles!$A$2:$D$21,4,FALSE)</f>
        <v>Diesel</v>
      </c>
      <c r="W700" s="3">
        <f ca="1">VLOOKUP(V700,Fuel_Rates!$A$2:$B$3,2,FALSE)</f>
        <v>95</v>
      </c>
      <c r="X700" s="3">
        <f t="shared" ca="1" si="182"/>
        <v>160.38</v>
      </c>
      <c r="Y700" s="3">
        <f t="shared" ca="1" si="183"/>
        <v>54649</v>
      </c>
      <c r="Z700" s="3" t="str">
        <f t="shared" ca="1" si="184"/>
        <v>Dec</v>
      </c>
      <c r="AA700" s="3" t="str">
        <f t="shared" ca="1" si="185"/>
        <v>Q4</v>
      </c>
      <c r="AB700" s="4" t="str">
        <f t="shared" ca="1" si="186"/>
        <v>Short Haul</v>
      </c>
    </row>
    <row r="701" spans="1:28" x14ac:dyDescent="0.3">
      <c r="A701" s="8" t="str">
        <f t="shared" si="181"/>
        <v>S0700</v>
      </c>
      <c r="B701" s="3">
        <f t="shared" ca="1" si="170"/>
        <v>45862</v>
      </c>
      <c r="C701" s="3" t="str">
        <f ca="1">INDEX(Customers!$A$2:$A$21,RANDBETWEEN(1,20))</f>
        <v>C003</v>
      </c>
      <c r="D701" s="3" t="str">
        <f ca="1">INDEX(Routes!$A$2:$A$31,RANDBETWEEN(1,30))</f>
        <v>R023</v>
      </c>
      <c r="E701" s="3" t="str">
        <f ca="1">INDEX(Vehicles!$A$2:$A$21,RANDBETWEEN(1,20))</f>
        <v>V002</v>
      </c>
      <c r="F701" s="3" t="str">
        <f ca="1">INDEX(Drivers!$A$2:$A$31,RANDBETWEEN(1,30))</f>
        <v>D010</v>
      </c>
      <c r="G701" s="3">
        <f t="shared" ca="1" si="171"/>
        <v>17.2</v>
      </c>
      <c r="H701" s="3">
        <f t="shared" ca="1" si="172"/>
        <v>38989</v>
      </c>
      <c r="I701" s="3">
        <f t="shared" ca="1" si="173"/>
        <v>10917</v>
      </c>
      <c r="J701" s="3">
        <f t="shared" ca="1" si="174"/>
        <v>3368</v>
      </c>
      <c r="K701" s="3">
        <f t="shared" ca="1" si="175"/>
        <v>48</v>
      </c>
      <c r="L701" s="3">
        <f t="shared" ca="1" si="176"/>
        <v>48</v>
      </c>
      <c r="M701" s="3">
        <f t="shared" ca="1" si="177"/>
        <v>0</v>
      </c>
      <c r="N701" s="3" t="str">
        <f t="shared" ca="1" si="178"/>
        <v>On Time</v>
      </c>
      <c r="O701" s="3" t="str">
        <f t="shared" ca="1" si="179"/>
        <v>Medium</v>
      </c>
      <c r="P701" s="3">
        <f t="shared" ca="1" si="180"/>
        <v>57.3</v>
      </c>
      <c r="Q701" s="1" t="str">
        <f ca="1">VLOOKUP(D701,Routes!$A$2:$D$31,2,FALSE)</f>
        <v>Kochi</v>
      </c>
      <c r="R701" s="1" t="str">
        <f ca="1">VLOOKUP(D701,Routes!$A$2:$D$31,3,FALSE)</f>
        <v>Bengaluru</v>
      </c>
      <c r="S701" s="3">
        <f ca="1">VLOOKUP(D701,Routes!$A$2:$D$31,4,FALSE)</f>
        <v>550</v>
      </c>
      <c r="T701" s="3" t="str">
        <f ca="1">VLOOKUP(E701,Vehicles!$A$2:$D$21,2,FALSE)</f>
        <v>Truck</v>
      </c>
      <c r="U701" s="3">
        <f ca="1">VLOOKUP(E701,Vehicles!$A$2:$D$21,3,FALSE)</f>
        <v>20</v>
      </c>
      <c r="V701" s="3" t="str">
        <f ca="1">VLOOKUP(E701,Vehicles!$A$2:$D$21,4,FALSE)</f>
        <v>Diesel</v>
      </c>
      <c r="W701" s="3">
        <f ca="1">VLOOKUP(V701,Fuel_Rates!$A$2:$B$3,2,FALSE)</f>
        <v>95</v>
      </c>
      <c r="X701" s="3">
        <f t="shared" ca="1" si="182"/>
        <v>70.89</v>
      </c>
      <c r="Y701" s="3">
        <f t="shared" ca="1" si="183"/>
        <v>53274</v>
      </c>
      <c r="Z701" s="3" t="str">
        <f t="shared" ca="1" si="184"/>
        <v>Jul</v>
      </c>
      <c r="AA701" s="3" t="str">
        <f t="shared" ca="1" si="185"/>
        <v>Q3</v>
      </c>
      <c r="AB701" s="4" t="str">
        <f t="shared" ca="1" si="186"/>
        <v>Medium Haul</v>
      </c>
    </row>
    <row r="702" spans="1:28" x14ac:dyDescent="0.3">
      <c r="A702" s="8" t="str">
        <f t="shared" si="181"/>
        <v>S0701</v>
      </c>
      <c r="B702" s="3">
        <f t="shared" ca="1" si="170"/>
        <v>45864</v>
      </c>
      <c r="C702" s="3" t="str">
        <f ca="1">INDEX(Customers!$A$2:$A$21,RANDBETWEEN(1,20))</f>
        <v>C012</v>
      </c>
      <c r="D702" s="3" t="str">
        <f ca="1">INDEX(Routes!$A$2:$A$31,RANDBETWEEN(1,30))</f>
        <v>R017</v>
      </c>
      <c r="E702" s="3" t="str">
        <f ca="1">INDEX(Vehicles!$A$2:$A$21,RANDBETWEEN(1,20))</f>
        <v>V001</v>
      </c>
      <c r="F702" s="3" t="str">
        <f ca="1">INDEX(Drivers!$A$2:$A$31,RANDBETWEEN(1,30))</f>
        <v>D016</v>
      </c>
      <c r="G702" s="3">
        <f t="shared" ca="1" si="171"/>
        <v>16.399999999999999</v>
      </c>
      <c r="H702" s="3">
        <f t="shared" ca="1" si="172"/>
        <v>44269</v>
      </c>
      <c r="I702" s="3">
        <f t="shared" ca="1" si="173"/>
        <v>12395</v>
      </c>
      <c r="J702" s="3">
        <f t="shared" ca="1" si="174"/>
        <v>3398</v>
      </c>
      <c r="K702" s="3">
        <f t="shared" ca="1" si="175"/>
        <v>22</v>
      </c>
      <c r="L702" s="3">
        <f t="shared" ca="1" si="176"/>
        <v>30</v>
      </c>
      <c r="M702" s="3">
        <f t="shared" ca="1" si="177"/>
        <v>8</v>
      </c>
      <c r="N702" s="3" t="str">
        <f t="shared" ca="1" si="178"/>
        <v>Delayed</v>
      </c>
      <c r="O702" s="3" t="str">
        <f t="shared" ca="1" si="179"/>
        <v>Medium</v>
      </c>
      <c r="P702" s="3">
        <f t="shared" ca="1" si="180"/>
        <v>54.7</v>
      </c>
      <c r="Q702" s="1" t="str">
        <f ca="1">VLOOKUP(D702,Routes!$A$2:$D$31,2,FALSE)</f>
        <v>Kolkata</v>
      </c>
      <c r="R702" s="1" t="str">
        <f ca="1">VLOOKUP(D702,Routes!$A$2:$D$31,3,FALSE)</f>
        <v>Patna</v>
      </c>
      <c r="S702" s="3">
        <f ca="1">VLOOKUP(D702,Routes!$A$2:$D$31,4,FALSE)</f>
        <v>620</v>
      </c>
      <c r="T702" s="3" t="str">
        <f ca="1">VLOOKUP(E702,Vehicles!$A$2:$D$21,2,FALSE)</f>
        <v>Truck</v>
      </c>
      <c r="U702" s="3">
        <f ca="1">VLOOKUP(E702,Vehicles!$A$2:$D$21,3,FALSE)</f>
        <v>16</v>
      </c>
      <c r="V702" s="3" t="str">
        <f ca="1">VLOOKUP(E702,Vehicles!$A$2:$D$21,4,FALSE)</f>
        <v>Diesel</v>
      </c>
      <c r="W702" s="3">
        <f ca="1">VLOOKUP(V702,Fuel_Rates!$A$2:$B$3,2,FALSE)</f>
        <v>95</v>
      </c>
      <c r="X702" s="3">
        <f t="shared" ca="1" si="182"/>
        <v>71.400000000000006</v>
      </c>
      <c r="Y702" s="3">
        <f t="shared" ca="1" si="183"/>
        <v>60062</v>
      </c>
      <c r="Z702" s="3" t="str">
        <f t="shared" ca="1" si="184"/>
        <v>Jul</v>
      </c>
      <c r="AA702" s="3" t="str">
        <f t="shared" ca="1" si="185"/>
        <v>Q3</v>
      </c>
      <c r="AB702" s="4" t="str">
        <f t="shared" ca="1" si="186"/>
        <v>Medium Haul</v>
      </c>
    </row>
    <row r="703" spans="1:28" x14ac:dyDescent="0.3">
      <c r="A703" s="8" t="str">
        <f t="shared" si="181"/>
        <v>S0702</v>
      </c>
      <c r="B703" s="3">
        <f t="shared" ca="1" si="170"/>
        <v>45897</v>
      </c>
      <c r="C703" s="3" t="str">
        <f ca="1">INDEX(Customers!$A$2:$A$21,RANDBETWEEN(1,20))</f>
        <v>C017</v>
      </c>
      <c r="D703" s="3" t="str">
        <f ca="1">INDEX(Routes!$A$2:$A$31,RANDBETWEEN(1,30))</f>
        <v>R001</v>
      </c>
      <c r="E703" s="3" t="str">
        <f ca="1">INDEX(Vehicles!$A$2:$A$21,RANDBETWEEN(1,20))</f>
        <v>V015</v>
      </c>
      <c r="F703" s="3" t="str">
        <f ca="1">INDEX(Drivers!$A$2:$A$31,RANDBETWEEN(1,30))</f>
        <v>D020</v>
      </c>
      <c r="G703" s="3">
        <f t="shared" ca="1" si="171"/>
        <v>9.6999999999999993</v>
      </c>
      <c r="H703" s="3">
        <f t="shared" ca="1" si="172"/>
        <v>28593</v>
      </c>
      <c r="I703" s="3">
        <f t="shared" ca="1" si="173"/>
        <v>8006</v>
      </c>
      <c r="J703" s="3">
        <f t="shared" ca="1" si="174"/>
        <v>2490</v>
      </c>
      <c r="K703" s="3">
        <f t="shared" ca="1" si="175"/>
        <v>23</v>
      </c>
      <c r="L703" s="3">
        <f t="shared" ca="1" si="176"/>
        <v>24</v>
      </c>
      <c r="M703" s="3">
        <f t="shared" ca="1" si="177"/>
        <v>1</v>
      </c>
      <c r="N703" s="3" t="str">
        <f t="shared" ca="1" si="178"/>
        <v>On Time</v>
      </c>
      <c r="O703" s="3" t="str">
        <f t="shared" ca="1" si="179"/>
        <v>Medium</v>
      </c>
      <c r="P703" s="3">
        <f t="shared" ca="1" si="180"/>
        <v>32.299999999999997</v>
      </c>
      <c r="Q703" s="1" t="str">
        <f ca="1">VLOOKUP(D703,Routes!$A$2:$D$31,2,FALSE)</f>
        <v>Mumbai</v>
      </c>
      <c r="R703" s="1" t="str">
        <f ca="1">VLOOKUP(D703,Routes!$A$2:$D$31,3,FALSE)</f>
        <v>Pune</v>
      </c>
      <c r="S703" s="3">
        <f ca="1">VLOOKUP(D703,Routes!$A$2:$D$31,4,FALSE)</f>
        <v>150</v>
      </c>
      <c r="T703" s="3" t="str">
        <f ca="1">VLOOKUP(E703,Vehicles!$A$2:$D$21,2,FALSE)</f>
        <v>Trailer</v>
      </c>
      <c r="U703" s="3">
        <f ca="1">VLOOKUP(E703,Vehicles!$A$2:$D$21,3,FALSE)</f>
        <v>30</v>
      </c>
      <c r="V703" s="3" t="str">
        <f ca="1">VLOOKUP(E703,Vehicles!$A$2:$D$21,4,FALSE)</f>
        <v>Diesel</v>
      </c>
      <c r="W703" s="3">
        <f ca="1">VLOOKUP(V703,Fuel_Rates!$A$2:$B$3,2,FALSE)</f>
        <v>95</v>
      </c>
      <c r="X703" s="3">
        <f t="shared" ca="1" si="182"/>
        <v>190.62</v>
      </c>
      <c r="Y703" s="3">
        <f t="shared" ca="1" si="183"/>
        <v>39089</v>
      </c>
      <c r="Z703" s="3" t="str">
        <f t="shared" ca="1" si="184"/>
        <v>Aug</v>
      </c>
      <c r="AA703" s="3" t="str">
        <f t="shared" ca="1" si="185"/>
        <v>Q3</v>
      </c>
      <c r="AB703" s="4" t="str">
        <f t="shared" ca="1" si="186"/>
        <v>Short Haul</v>
      </c>
    </row>
    <row r="704" spans="1:28" x14ac:dyDescent="0.3">
      <c r="A704" s="8" t="str">
        <f t="shared" si="181"/>
        <v>S0703</v>
      </c>
      <c r="B704" s="3">
        <f t="shared" ca="1" si="170"/>
        <v>45836</v>
      </c>
      <c r="C704" s="3" t="str">
        <f ca="1">INDEX(Customers!$A$2:$A$21,RANDBETWEEN(1,20))</f>
        <v>C015</v>
      </c>
      <c r="D704" s="3" t="str">
        <f ca="1">INDEX(Routes!$A$2:$A$31,RANDBETWEEN(1,30))</f>
        <v>R019</v>
      </c>
      <c r="E704" s="3" t="str">
        <f ca="1">INDEX(Vehicles!$A$2:$A$21,RANDBETWEEN(1,20))</f>
        <v>V007</v>
      </c>
      <c r="F704" s="3" t="str">
        <f ca="1">INDEX(Drivers!$A$2:$A$31,RANDBETWEEN(1,30))</f>
        <v>D025</v>
      </c>
      <c r="G704" s="3">
        <f t="shared" ca="1" si="171"/>
        <v>25.5</v>
      </c>
      <c r="H704" s="3">
        <f t="shared" ca="1" si="172"/>
        <v>50853</v>
      </c>
      <c r="I704" s="3">
        <f t="shared" ca="1" si="173"/>
        <v>14239</v>
      </c>
      <c r="J704" s="3">
        <f t="shared" ca="1" si="174"/>
        <v>3470</v>
      </c>
      <c r="K704" s="3">
        <f t="shared" ca="1" si="175"/>
        <v>27</v>
      </c>
      <c r="L704" s="3">
        <f t="shared" ca="1" si="176"/>
        <v>28</v>
      </c>
      <c r="M704" s="3">
        <f t="shared" ca="1" si="177"/>
        <v>1</v>
      </c>
      <c r="N704" s="3" t="str">
        <f t="shared" ca="1" si="178"/>
        <v>On Time</v>
      </c>
      <c r="O704" s="3" t="str">
        <f t="shared" ca="1" si="179"/>
        <v>High</v>
      </c>
      <c r="P704" s="3">
        <f t="shared" ca="1" si="180"/>
        <v>85</v>
      </c>
      <c r="Q704" s="1" t="str">
        <f ca="1">VLOOKUP(D704,Routes!$A$2:$D$31,2,FALSE)</f>
        <v>Ahmedabad</v>
      </c>
      <c r="R704" s="1" t="str">
        <f ca="1">VLOOKUP(D704,Routes!$A$2:$D$31,3,FALSE)</f>
        <v>Indore</v>
      </c>
      <c r="S704" s="3">
        <f ca="1">VLOOKUP(D704,Routes!$A$2:$D$31,4,FALSE)</f>
        <v>390</v>
      </c>
      <c r="T704" s="3" t="str">
        <f ca="1">VLOOKUP(E704,Vehicles!$A$2:$D$21,2,FALSE)</f>
        <v>Container</v>
      </c>
      <c r="U704" s="3">
        <f ca="1">VLOOKUP(E704,Vehicles!$A$2:$D$21,3,FALSE)</f>
        <v>20</v>
      </c>
      <c r="V704" s="3" t="str">
        <f ca="1">VLOOKUP(E704,Vehicles!$A$2:$D$21,4,FALSE)</f>
        <v>Diesel</v>
      </c>
      <c r="W704" s="3">
        <f ca="1">VLOOKUP(V704,Fuel_Rates!$A$2:$B$3,2,FALSE)</f>
        <v>95</v>
      </c>
      <c r="X704" s="3">
        <f t="shared" ca="1" si="182"/>
        <v>130.38999999999999</v>
      </c>
      <c r="Y704" s="3">
        <f t="shared" ca="1" si="183"/>
        <v>68562</v>
      </c>
      <c r="Z704" s="3" t="str">
        <f t="shared" ca="1" si="184"/>
        <v>Jun</v>
      </c>
      <c r="AA704" s="3" t="str">
        <f t="shared" ca="1" si="185"/>
        <v>Q2</v>
      </c>
      <c r="AB704" s="4" t="str">
        <f t="shared" ca="1" si="186"/>
        <v>Medium Haul</v>
      </c>
    </row>
    <row r="705" spans="1:28" x14ac:dyDescent="0.3">
      <c r="A705" s="8" t="str">
        <f t="shared" si="181"/>
        <v>S0704</v>
      </c>
      <c r="B705" s="3">
        <f t="shared" ca="1" si="170"/>
        <v>45956</v>
      </c>
      <c r="C705" s="3" t="str">
        <f ca="1">INDEX(Customers!$A$2:$A$21,RANDBETWEEN(1,20))</f>
        <v>C020</v>
      </c>
      <c r="D705" s="3" t="str">
        <f ca="1">INDEX(Routes!$A$2:$A$31,RANDBETWEEN(1,30))</f>
        <v>R003</v>
      </c>
      <c r="E705" s="3" t="str">
        <f ca="1">INDEX(Vehicles!$A$2:$A$21,RANDBETWEEN(1,20))</f>
        <v>V012</v>
      </c>
      <c r="F705" s="3" t="str">
        <f ca="1">INDEX(Drivers!$A$2:$A$31,RANDBETWEEN(1,30))</f>
        <v>D029</v>
      </c>
      <c r="G705" s="3">
        <f t="shared" ca="1" si="171"/>
        <v>19.2</v>
      </c>
      <c r="H705" s="3">
        <f t="shared" ca="1" si="172"/>
        <v>39466</v>
      </c>
      <c r="I705" s="3">
        <f t="shared" ca="1" si="173"/>
        <v>11050</v>
      </c>
      <c r="J705" s="3">
        <f t="shared" ca="1" si="174"/>
        <v>1584</v>
      </c>
      <c r="K705" s="3">
        <f t="shared" ca="1" si="175"/>
        <v>27</v>
      </c>
      <c r="L705" s="3">
        <f t="shared" ca="1" si="176"/>
        <v>29</v>
      </c>
      <c r="M705" s="3">
        <f t="shared" ca="1" si="177"/>
        <v>2</v>
      </c>
      <c r="N705" s="3" t="str">
        <f t="shared" ca="1" si="178"/>
        <v>On Time</v>
      </c>
      <c r="O705" s="3" t="str">
        <f t="shared" ca="1" si="179"/>
        <v>Medium</v>
      </c>
      <c r="P705" s="3">
        <f t="shared" ca="1" si="180"/>
        <v>64</v>
      </c>
      <c r="Q705" s="1" t="str">
        <f ca="1">VLOOKUP(D705,Routes!$A$2:$D$31,2,FALSE)</f>
        <v>Mumbai</v>
      </c>
      <c r="R705" s="1" t="str">
        <f ca="1">VLOOKUP(D705,Routes!$A$2:$D$31,3,FALSE)</f>
        <v>Delhi</v>
      </c>
      <c r="S705" s="3">
        <f ca="1">VLOOKUP(D705,Routes!$A$2:$D$31,4,FALSE)</f>
        <v>1450</v>
      </c>
      <c r="T705" s="3" t="str">
        <f ca="1">VLOOKUP(E705,Vehicles!$A$2:$D$21,2,FALSE)</f>
        <v>Truck</v>
      </c>
      <c r="U705" s="3">
        <f ca="1">VLOOKUP(E705,Vehicles!$A$2:$D$21,3,FALSE)</f>
        <v>20</v>
      </c>
      <c r="V705" s="3" t="str">
        <f ca="1">VLOOKUP(E705,Vehicles!$A$2:$D$21,4,FALSE)</f>
        <v>CNG</v>
      </c>
      <c r="W705" s="3">
        <f ca="1">VLOOKUP(V705,Fuel_Rates!$A$2:$B$3,2,FALSE)</f>
        <v>78</v>
      </c>
      <c r="X705" s="3">
        <f t="shared" ca="1" si="182"/>
        <v>27.22</v>
      </c>
      <c r="Y705" s="3">
        <f t="shared" ca="1" si="183"/>
        <v>52100</v>
      </c>
      <c r="Z705" s="3" t="str">
        <f t="shared" ca="1" si="184"/>
        <v>Oct</v>
      </c>
      <c r="AA705" s="3" t="str">
        <f t="shared" ca="1" si="185"/>
        <v>Q4</v>
      </c>
      <c r="AB705" s="4" t="str">
        <f t="shared" ca="1" si="186"/>
        <v>Long Haul</v>
      </c>
    </row>
    <row r="706" spans="1:28" x14ac:dyDescent="0.3">
      <c r="A706" s="8" t="str">
        <f t="shared" si="181"/>
        <v>S0705</v>
      </c>
      <c r="B706" s="3">
        <f t="shared" ref="B706:B769" ca="1" si="187">DATE(2025,RANDBETWEEN(1,12),RANDBETWEEN(1,28))</f>
        <v>45762</v>
      </c>
      <c r="C706" s="3" t="str">
        <f ca="1">INDEX(Customers!$A$2:$A$21,RANDBETWEEN(1,20))</f>
        <v>C006</v>
      </c>
      <c r="D706" s="3" t="str">
        <f ca="1">INDEX(Routes!$A$2:$A$31,RANDBETWEEN(1,30))</f>
        <v>R028</v>
      </c>
      <c r="E706" s="3" t="str">
        <f ca="1">INDEX(Vehicles!$A$2:$A$21,RANDBETWEEN(1,20))</f>
        <v>V015</v>
      </c>
      <c r="F706" s="3" t="str">
        <f ca="1">INDEX(Drivers!$A$2:$A$31,RANDBETWEEN(1,30))</f>
        <v>D007</v>
      </c>
      <c r="G706" s="3">
        <f t="shared" ref="G706:G769" ca="1" si="188">ROUND(RANDBETWEEN(20,300)/10,1)</f>
        <v>19.600000000000001</v>
      </c>
      <c r="H706" s="3">
        <f t="shared" ref="H706:H769" ca="1" si="189">ROUND((G706*1800)+RANDBETWEEN(3000,15000),0)</f>
        <v>42117</v>
      </c>
      <c r="I706" s="3">
        <f t="shared" ref="I706:I769" ca="1" si="190">ROUND(H706*0.28,0)</f>
        <v>11793</v>
      </c>
      <c r="J706" s="3">
        <f t="shared" ref="J706:J769" ca="1" si="191">RANDBETWEEN(500,4000)</f>
        <v>730</v>
      </c>
      <c r="K706" s="3">
        <f t="shared" ref="K706:K769" ca="1" si="192">RANDBETWEEN(4,48)</f>
        <v>17</v>
      </c>
      <c r="L706" s="3">
        <f t="shared" ref="L706:L769" ca="1" si="193">K706+RANDBETWEEN(0,8)</f>
        <v>22</v>
      </c>
      <c r="M706" s="3">
        <f t="shared" ref="M706:M769" ca="1" si="194">L706-K706</f>
        <v>5</v>
      </c>
      <c r="N706" s="3" t="str">
        <f t="shared" ref="N706:N769" ca="1" si="195">IF(M706&lt;=2,"On Time","Delayed")</f>
        <v>Delayed</v>
      </c>
      <c r="O706" s="3" t="str">
        <f t="shared" ref="O706:O769" ca="1" si="196">CHOOSE(RANDBETWEEN(1,3),"High","Medium","Low")</f>
        <v>High</v>
      </c>
      <c r="P706" s="3">
        <f t="shared" ref="P706:P769" ca="1" si="197">ROUND((G706/30)*100,1)</f>
        <v>65.3</v>
      </c>
      <c r="Q706" s="1" t="str">
        <f ca="1">VLOOKUP(D706,Routes!$A$2:$D$31,2,FALSE)</f>
        <v>Indore</v>
      </c>
      <c r="R706" s="1" t="str">
        <f ca="1">VLOOKUP(D706,Routes!$A$2:$D$31,3,FALSE)</f>
        <v>Mumbai</v>
      </c>
      <c r="S706" s="3">
        <f ca="1">VLOOKUP(D706,Routes!$A$2:$D$31,4,FALSE)</f>
        <v>590</v>
      </c>
      <c r="T706" s="3" t="str">
        <f ca="1">VLOOKUP(E706,Vehicles!$A$2:$D$21,2,FALSE)</f>
        <v>Trailer</v>
      </c>
      <c r="U706" s="3">
        <f ca="1">VLOOKUP(E706,Vehicles!$A$2:$D$21,3,FALSE)</f>
        <v>30</v>
      </c>
      <c r="V706" s="3" t="str">
        <f ca="1">VLOOKUP(E706,Vehicles!$A$2:$D$21,4,FALSE)</f>
        <v>Diesel</v>
      </c>
      <c r="W706" s="3">
        <f ca="1">VLOOKUP(V706,Fuel_Rates!$A$2:$B$3,2,FALSE)</f>
        <v>95</v>
      </c>
      <c r="X706" s="3">
        <f t="shared" ca="1" si="182"/>
        <v>71.38</v>
      </c>
      <c r="Y706" s="3">
        <f t="shared" ca="1" si="183"/>
        <v>54640</v>
      </c>
      <c r="Z706" s="3" t="str">
        <f t="shared" ca="1" si="184"/>
        <v>Apr</v>
      </c>
      <c r="AA706" s="3" t="str">
        <f t="shared" ca="1" si="185"/>
        <v>Q2</v>
      </c>
      <c r="AB706" s="4" t="str">
        <f t="shared" ca="1" si="186"/>
        <v>Medium Haul</v>
      </c>
    </row>
    <row r="707" spans="1:28" x14ac:dyDescent="0.3">
      <c r="A707" s="8" t="str">
        <f t="shared" ref="A707:A770" si="198">"S"&amp;TEXT(ROW()-1,"0000")</f>
        <v>S0706</v>
      </c>
      <c r="B707" s="3">
        <f t="shared" ca="1" si="187"/>
        <v>45789</v>
      </c>
      <c r="C707" s="3" t="str">
        <f ca="1">INDEX(Customers!$A$2:$A$21,RANDBETWEEN(1,20))</f>
        <v>C014</v>
      </c>
      <c r="D707" s="3" t="str">
        <f ca="1">INDEX(Routes!$A$2:$A$31,RANDBETWEEN(1,30))</f>
        <v>R018</v>
      </c>
      <c r="E707" s="3" t="str">
        <f ca="1">INDEX(Vehicles!$A$2:$A$21,RANDBETWEEN(1,20))</f>
        <v>V011</v>
      </c>
      <c r="F707" s="3" t="str">
        <f ca="1">INDEX(Drivers!$A$2:$A$31,RANDBETWEEN(1,30))</f>
        <v>D009</v>
      </c>
      <c r="G707" s="3">
        <f t="shared" ca="1" si="188"/>
        <v>20.5</v>
      </c>
      <c r="H707" s="3">
        <f t="shared" ca="1" si="189"/>
        <v>44002</v>
      </c>
      <c r="I707" s="3">
        <f t="shared" ca="1" si="190"/>
        <v>12321</v>
      </c>
      <c r="J707" s="3">
        <f t="shared" ca="1" si="191"/>
        <v>2099</v>
      </c>
      <c r="K707" s="3">
        <f t="shared" ca="1" si="192"/>
        <v>45</v>
      </c>
      <c r="L707" s="3">
        <f t="shared" ca="1" si="193"/>
        <v>49</v>
      </c>
      <c r="M707" s="3">
        <f t="shared" ca="1" si="194"/>
        <v>4</v>
      </c>
      <c r="N707" s="3" t="str">
        <f t="shared" ca="1" si="195"/>
        <v>Delayed</v>
      </c>
      <c r="O707" s="3" t="str">
        <f t="shared" ca="1" si="196"/>
        <v>Medium</v>
      </c>
      <c r="P707" s="3">
        <f t="shared" ca="1" si="197"/>
        <v>68.3</v>
      </c>
      <c r="Q707" s="1" t="str">
        <f ca="1">VLOOKUP(D707,Routes!$A$2:$D$31,2,FALSE)</f>
        <v>Ahmedabad</v>
      </c>
      <c r="R707" s="1" t="str">
        <f ca="1">VLOOKUP(D707,Routes!$A$2:$D$31,3,FALSE)</f>
        <v>Jaipur</v>
      </c>
      <c r="S707" s="3">
        <f ca="1">VLOOKUP(D707,Routes!$A$2:$D$31,4,FALSE)</f>
        <v>670</v>
      </c>
      <c r="T707" s="3" t="str">
        <f ca="1">VLOOKUP(E707,Vehicles!$A$2:$D$21,2,FALSE)</f>
        <v>Truck</v>
      </c>
      <c r="U707" s="3">
        <f ca="1">VLOOKUP(E707,Vehicles!$A$2:$D$21,3,FALSE)</f>
        <v>18</v>
      </c>
      <c r="V707" s="3" t="str">
        <f ca="1">VLOOKUP(E707,Vehicles!$A$2:$D$21,4,FALSE)</f>
        <v>CNG</v>
      </c>
      <c r="W707" s="3">
        <f ca="1">VLOOKUP(V707,Fuel_Rates!$A$2:$B$3,2,FALSE)</f>
        <v>78</v>
      </c>
      <c r="X707" s="3">
        <f t="shared" ref="X707:X770" ca="1" si="199">ROUND(H707/S707,2)</f>
        <v>65.67</v>
      </c>
      <c r="Y707" s="3">
        <f t="shared" ref="Y707:Y770" ca="1" si="200">H707+I707+J707</f>
        <v>58422</v>
      </c>
      <c r="Z707" s="3" t="str">
        <f t="shared" ref="Z707:Z770" ca="1" si="201">TEXT(B707,"mmm")</f>
        <v>May</v>
      </c>
      <c r="AA707" s="3" t="str">
        <f t="shared" ref="AA707:AA770" ca="1" si="202">"Q"&amp;ROUNDUP(MONTH(B707)/3,0)</f>
        <v>Q2</v>
      </c>
      <c r="AB707" s="4" t="str">
        <f t="shared" ref="AB707:AB770" ca="1" si="203">IF(S707&lt;300,"Short Haul",IF(S707&lt;800,"Medium Haul","Long Haul"))</f>
        <v>Medium Haul</v>
      </c>
    </row>
    <row r="708" spans="1:28" x14ac:dyDescent="0.3">
      <c r="A708" s="8" t="str">
        <f t="shared" si="198"/>
        <v>S0707</v>
      </c>
      <c r="B708" s="3">
        <f t="shared" ca="1" si="187"/>
        <v>45803</v>
      </c>
      <c r="C708" s="3" t="str">
        <f ca="1">INDEX(Customers!$A$2:$A$21,RANDBETWEEN(1,20))</f>
        <v>C019</v>
      </c>
      <c r="D708" s="3" t="str">
        <f ca="1">INDEX(Routes!$A$2:$A$31,RANDBETWEEN(1,30))</f>
        <v>R020</v>
      </c>
      <c r="E708" s="3" t="str">
        <f ca="1">INDEX(Vehicles!$A$2:$A$21,RANDBETWEEN(1,20))</f>
        <v>V013</v>
      </c>
      <c r="F708" s="3" t="str">
        <f ca="1">INDEX(Drivers!$A$2:$A$31,RANDBETWEEN(1,30))</f>
        <v>D029</v>
      </c>
      <c r="G708" s="3">
        <f t="shared" ca="1" si="188"/>
        <v>9.4</v>
      </c>
      <c r="H708" s="3">
        <f t="shared" ca="1" si="189"/>
        <v>21657</v>
      </c>
      <c r="I708" s="3">
        <f t="shared" ca="1" si="190"/>
        <v>6064</v>
      </c>
      <c r="J708" s="3">
        <f t="shared" ca="1" si="191"/>
        <v>1576</v>
      </c>
      <c r="K708" s="3">
        <f t="shared" ca="1" si="192"/>
        <v>23</v>
      </c>
      <c r="L708" s="3">
        <f t="shared" ca="1" si="193"/>
        <v>30</v>
      </c>
      <c r="M708" s="3">
        <f t="shared" ca="1" si="194"/>
        <v>7</v>
      </c>
      <c r="N708" s="3" t="str">
        <f t="shared" ca="1" si="195"/>
        <v>Delayed</v>
      </c>
      <c r="O708" s="3" t="str">
        <f t="shared" ca="1" si="196"/>
        <v>Low</v>
      </c>
      <c r="P708" s="3">
        <f t="shared" ca="1" si="197"/>
        <v>31.3</v>
      </c>
      <c r="Q708" s="1" t="str">
        <f ca="1">VLOOKUP(D708,Routes!$A$2:$D$31,2,FALSE)</f>
        <v>Pune</v>
      </c>
      <c r="R708" s="1" t="str">
        <f ca="1">VLOOKUP(D708,Routes!$A$2:$D$31,3,FALSE)</f>
        <v>Nagpur</v>
      </c>
      <c r="S708" s="3">
        <f ca="1">VLOOKUP(D708,Routes!$A$2:$D$31,4,FALSE)</f>
        <v>720</v>
      </c>
      <c r="T708" s="3" t="str">
        <f ca="1">VLOOKUP(E708,Vehicles!$A$2:$D$21,2,FALSE)</f>
        <v>LCV</v>
      </c>
      <c r="U708" s="3">
        <f ca="1">VLOOKUP(E708,Vehicles!$A$2:$D$21,3,FALSE)</f>
        <v>4</v>
      </c>
      <c r="V708" s="3" t="str">
        <f ca="1">VLOOKUP(E708,Vehicles!$A$2:$D$21,4,FALSE)</f>
        <v>CNG</v>
      </c>
      <c r="W708" s="3">
        <f ca="1">VLOOKUP(V708,Fuel_Rates!$A$2:$B$3,2,FALSE)</f>
        <v>78</v>
      </c>
      <c r="X708" s="3">
        <f t="shared" ca="1" si="199"/>
        <v>30.08</v>
      </c>
      <c r="Y708" s="3">
        <f t="shared" ca="1" si="200"/>
        <v>29297</v>
      </c>
      <c r="Z708" s="3" t="str">
        <f t="shared" ca="1" si="201"/>
        <v>May</v>
      </c>
      <c r="AA708" s="3" t="str">
        <f t="shared" ca="1" si="202"/>
        <v>Q2</v>
      </c>
      <c r="AB708" s="4" t="str">
        <f t="shared" ca="1" si="203"/>
        <v>Medium Haul</v>
      </c>
    </row>
    <row r="709" spans="1:28" x14ac:dyDescent="0.3">
      <c r="A709" s="8" t="str">
        <f t="shared" si="198"/>
        <v>S0708</v>
      </c>
      <c r="B709" s="3">
        <f t="shared" ca="1" si="187"/>
        <v>45997</v>
      </c>
      <c r="C709" s="3" t="str">
        <f ca="1">INDEX(Customers!$A$2:$A$21,RANDBETWEEN(1,20))</f>
        <v>C008</v>
      </c>
      <c r="D709" s="3" t="str">
        <f ca="1">INDEX(Routes!$A$2:$A$31,RANDBETWEEN(1,30))</f>
        <v>R019</v>
      </c>
      <c r="E709" s="3" t="str">
        <f ca="1">INDEX(Vehicles!$A$2:$A$21,RANDBETWEEN(1,20))</f>
        <v>V014</v>
      </c>
      <c r="F709" s="3" t="str">
        <f ca="1">INDEX(Drivers!$A$2:$A$31,RANDBETWEEN(1,30))</f>
        <v>D015</v>
      </c>
      <c r="G709" s="3">
        <f t="shared" ca="1" si="188"/>
        <v>13.1</v>
      </c>
      <c r="H709" s="3">
        <f t="shared" ca="1" si="189"/>
        <v>36324</v>
      </c>
      <c r="I709" s="3">
        <f t="shared" ca="1" si="190"/>
        <v>10171</v>
      </c>
      <c r="J709" s="3">
        <f t="shared" ca="1" si="191"/>
        <v>2700</v>
      </c>
      <c r="K709" s="3">
        <f t="shared" ca="1" si="192"/>
        <v>24</v>
      </c>
      <c r="L709" s="3">
        <f t="shared" ca="1" si="193"/>
        <v>24</v>
      </c>
      <c r="M709" s="3">
        <f t="shared" ca="1" si="194"/>
        <v>0</v>
      </c>
      <c r="N709" s="3" t="str">
        <f t="shared" ca="1" si="195"/>
        <v>On Time</v>
      </c>
      <c r="O709" s="3" t="str">
        <f t="shared" ca="1" si="196"/>
        <v>High</v>
      </c>
      <c r="P709" s="3">
        <f t="shared" ca="1" si="197"/>
        <v>43.7</v>
      </c>
      <c r="Q709" s="1" t="str">
        <f ca="1">VLOOKUP(D709,Routes!$A$2:$D$31,2,FALSE)</f>
        <v>Ahmedabad</v>
      </c>
      <c r="R709" s="1" t="str">
        <f ca="1">VLOOKUP(D709,Routes!$A$2:$D$31,3,FALSE)</f>
        <v>Indore</v>
      </c>
      <c r="S709" s="3">
        <f ca="1">VLOOKUP(D709,Routes!$A$2:$D$31,4,FALSE)</f>
        <v>390</v>
      </c>
      <c r="T709" s="3" t="str">
        <f ca="1">VLOOKUP(E709,Vehicles!$A$2:$D$21,2,FALSE)</f>
        <v>LCV</v>
      </c>
      <c r="U709" s="3">
        <f ca="1">VLOOKUP(E709,Vehicles!$A$2:$D$21,3,FALSE)</f>
        <v>6</v>
      </c>
      <c r="V709" s="3" t="str">
        <f ca="1">VLOOKUP(E709,Vehicles!$A$2:$D$21,4,FALSE)</f>
        <v>CNG</v>
      </c>
      <c r="W709" s="3">
        <f ca="1">VLOOKUP(V709,Fuel_Rates!$A$2:$B$3,2,FALSE)</f>
        <v>78</v>
      </c>
      <c r="X709" s="3">
        <f t="shared" ca="1" si="199"/>
        <v>93.14</v>
      </c>
      <c r="Y709" s="3">
        <f t="shared" ca="1" si="200"/>
        <v>49195</v>
      </c>
      <c r="Z709" s="3" t="str">
        <f t="shared" ca="1" si="201"/>
        <v>Dec</v>
      </c>
      <c r="AA709" s="3" t="str">
        <f t="shared" ca="1" si="202"/>
        <v>Q4</v>
      </c>
      <c r="AB709" s="4" t="str">
        <f t="shared" ca="1" si="203"/>
        <v>Medium Haul</v>
      </c>
    </row>
    <row r="710" spans="1:28" x14ac:dyDescent="0.3">
      <c r="A710" s="8" t="str">
        <f t="shared" si="198"/>
        <v>S0709</v>
      </c>
      <c r="B710" s="3">
        <f t="shared" ca="1" si="187"/>
        <v>45717</v>
      </c>
      <c r="C710" s="3" t="str">
        <f ca="1">INDEX(Customers!$A$2:$A$21,RANDBETWEEN(1,20))</f>
        <v>C006</v>
      </c>
      <c r="D710" s="3" t="str">
        <f ca="1">INDEX(Routes!$A$2:$A$31,RANDBETWEEN(1,30))</f>
        <v>R029</v>
      </c>
      <c r="E710" s="3" t="str">
        <f ca="1">INDEX(Vehicles!$A$2:$A$21,RANDBETWEEN(1,20))</f>
        <v>V006</v>
      </c>
      <c r="F710" s="3" t="str">
        <f ca="1">INDEX(Drivers!$A$2:$A$31,RANDBETWEEN(1,30))</f>
        <v>D007</v>
      </c>
      <c r="G710" s="3">
        <f t="shared" ca="1" si="188"/>
        <v>28.2</v>
      </c>
      <c r="H710" s="3">
        <f t="shared" ca="1" si="189"/>
        <v>65702</v>
      </c>
      <c r="I710" s="3">
        <f t="shared" ca="1" si="190"/>
        <v>18397</v>
      </c>
      <c r="J710" s="3">
        <f t="shared" ca="1" si="191"/>
        <v>3221</v>
      </c>
      <c r="K710" s="3">
        <f t="shared" ca="1" si="192"/>
        <v>34</v>
      </c>
      <c r="L710" s="3">
        <f t="shared" ca="1" si="193"/>
        <v>34</v>
      </c>
      <c r="M710" s="3">
        <f t="shared" ca="1" si="194"/>
        <v>0</v>
      </c>
      <c r="N710" s="3" t="str">
        <f t="shared" ca="1" si="195"/>
        <v>On Time</v>
      </c>
      <c r="O710" s="3" t="str">
        <f t="shared" ca="1" si="196"/>
        <v>Low</v>
      </c>
      <c r="P710" s="3">
        <f t="shared" ca="1" si="197"/>
        <v>94</v>
      </c>
      <c r="Q710" s="1" t="str">
        <f ca="1">VLOOKUP(D710,Routes!$A$2:$D$31,2,FALSE)</f>
        <v>Chandigarh</v>
      </c>
      <c r="R710" s="1" t="str">
        <f ca="1">VLOOKUP(D710,Routes!$A$2:$D$31,3,FALSE)</f>
        <v>Delhi</v>
      </c>
      <c r="S710" s="3">
        <f ca="1">VLOOKUP(D710,Routes!$A$2:$D$31,4,FALSE)</f>
        <v>250</v>
      </c>
      <c r="T710" s="3" t="str">
        <f ca="1">VLOOKUP(E710,Vehicles!$A$2:$D$21,2,FALSE)</f>
        <v>Container</v>
      </c>
      <c r="U710" s="3">
        <f ca="1">VLOOKUP(E710,Vehicles!$A$2:$D$21,3,FALSE)</f>
        <v>18</v>
      </c>
      <c r="V710" s="3" t="str">
        <f ca="1">VLOOKUP(E710,Vehicles!$A$2:$D$21,4,FALSE)</f>
        <v>Diesel</v>
      </c>
      <c r="W710" s="3">
        <f ca="1">VLOOKUP(V710,Fuel_Rates!$A$2:$B$3,2,FALSE)</f>
        <v>95</v>
      </c>
      <c r="X710" s="3">
        <f t="shared" ca="1" si="199"/>
        <v>262.81</v>
      </c>
      <c r="Y710" s="3">
        <f t="shared" ca="1" si="200"/>
        <v>87320</v>
      </c>
      <c r="Z710" s="3" t="str">
        <f t="shared" ca="1" si="201"/>
        <v>Mar</v>
      </c>
      <c r="AA710" s="3" t="str">
        <f t="shared" ca="1" si="202"/>
        <v>Q1</v>
      </c>
      <c r="AB710" s="4" t="str">
        <f t="shared" ca="1" si="203"/>
        <v>Short Haul</v>
      </c>
    </row>
    <row r="711" spans="1:28" x14ac:dyDescent="0.3">
      <c r="A711" s="8" t="str">
        <f t="shared" si="198"/>
        <v>S0710</v>
      </c>
      <c r="B711" s="3">
        <f t="shared" ca="1" si="187"/>
        <v>46012</v>
      </c>
      <c r="C711" s="3" t="str">
        <f ca="1">INDEX(Customers!$A$2:$A$21,RANDBETWEEN(1,20))</f>
        <v>C010</v>
      </c>
      <c r="D711" s="3" t="str">
        <f ca="1">INDEX(Routes!$A$2:$A$31,RANDBETWEEN(1,30))</f>
        <v>R005</v>
      </c>
      <c r="E711" s="3" t="str">
        <f ca="1">INDEX(Vehicles!$A$2:$A$21,RANDBETWEEN(1,20))</f>
        <v>V003</v>
      </c>
      <c r="F711" s="3" t="str">
        <f ca="1">INDEX(Drivers!$A$2:$A$31,RANDBETWEEN(1,30))</f>
        <v>D025</v>
      </c>
      <c r="G711" s="3">
        <f t="shared" ca="1" si="188"/>
        <v>29.4</v>
      </c>
      <c r="H711" s="3">
        <f t="shared" ca="1" si="189"/>
        <v>66489</v>
      </c>
      <c r="I711" s="3">
        <f t="shared" ca="1" si="190"/>
        <v>18617</v>
      </c>
      <c r="J711" s="3">
        <f t="shared" ca="1" si="191"/>
        <v>2729</v>
      </c>
      <c r="K711" s="3">
        <f t="shared" ca="1" si="192"/>
        <v>44</v>
      </c>
      <c r="L711" s="3">
        <f t="shared" ca="1" si="193"/>
        <v>50</v>
      </c>
      <c r="M711" s="3">
        <f t="shared" ca="1" si="194"/>
        <v>6</v>
      </c>
      <c r="N711" s="3" t="str">
        <f t="shared" ca="1" si="195"/>
        <v>Delayed</v>
      </c>
      <c r="O711" s="3" t="str">
        <f t="shared" ca="1" si="196"/>
        <v>Low</v>
      </c>
      <c r="P711" s="3">
        <f t="shared" ca="1" si="197"/>
        <v>98</v>
      </c>
      <c r="Q711" s="1" t="str">
        <f ca="1">VLOOKUP(D711,Routes!$A$2:$D$31,2,FALSE)</f>
        <v>Delhi</v>
      </c>
      <c r="R711" s="1" t="str">
        <f ca="1">VLOOKUP(D711,Routes!$A$2:$D$31,3,FALSE)</f>
        <v>Jaipur</v>
      </c>
      <c r="S711" s="3">
        <f ca="1">VLOOKUP(D711,Routes!$A$2:$D$31,4,FALSE)</f>
        <v>280</v>
      </c>
      <c r="T711" s="3" t="str">
        <f ca="1">VLOOKUP(E711,Vehicles!$A$2:$D$21,2,FALSE)</f>
        <v>Truck</v>
      </c>
      <c r="U711" s="3">
        <f ca="1">VLOOKUP(E711,Vehicles!$A$2:$D$21,3,FALSE)</f>
        <v>25</v>
      </c>
      <c r="V711" s="3" t="str">
        <f ca="1">VLOOKUP(E711,Vehicles!$A$2:$D$21,4,FALSE)</f>
        <v>Diesel</v>
      </c>
      <c r="W711" s="3">
        <f ca="1">VLOOKUP(V711,Fuel_Rates!$A$2:$B$3,2,FALSE)</f>
        <v>95</v>
      </c>
      <c r="X711" s="3">
        <f t="shared" ca="1" si="199"/>
        <v>237.46</v>
      </c>
      <c r="Y711" s="3">
        <f t="shared" ca="1" si="200"/>
        <v>87835</v>
      </c>
      <c r="Z711" s="3" t="str">
        <f t="shared" ca="1" si="201"/>
        <v>Dec</v>
      </c>
      <c r="AA711" s="3" t="str">
        <f t="shared" ca="1" si="202"/>
        <v>Q4</v>
      </c>
      <c r="AB711" s="4" t="str">
        <f t="shared" ca="1" si="203"/>
        <v>Short Haul</v>
      </c>
    </row>
    <row r="712" spans="1:28" x14ac:dyDescent="0.3">
      <c r="A712" s="8" t="str">
        <f t="shared" si="198"/>
        <v>S0711</v>
      </c>
      <c r="B712" s="3">
        <f t="shared" ca="1" si="187"/>
        <v>45732</v>
      </c>
      <c r="C712" s="3" t="str">
        <f ca="1">INDEX(Customers!$A$2:$A$21,RANDBETWEEN(1,20))</f>
        <v>C012</v>
      </c>
      <c r="D712" s="3" t="str">
        <f ca="1">INDEX(Routes!$A$2:$A$31,RANDBETWEEN(1,30))</f>
        <v>R021</v>
      </c>
      <c r="E712" s="3" t="str">
        <f ca="1">INDEX(Vehicles!$A$2:$A$21,RANDBETWEEN(1,20))</f>
        <v>V003</v>
      </c>
      <c r="F712" s="3" t="str">
        <f ca="1">INDEX(Drivers!$A$2:$A$31,RANDBETWEEN(1,30))</f>
        <v>D023</v>
      </c>
      <c r="G712" s="3">
        <f t="shared" ca="1" si="188"/>
        <v>15.1</v>
      </c>
      <c r="H712" s="3">
        <f t="shared" ca="1" si="189"/>
        <v>35265</v>
      </c>
      <c r="I712" s="3">
        <f t="shared" ca="1" si="190"/>
        <v>9874</v>
      </c>
      <c r="J712" s="3">
        <f t="shared" ca="1" si="191"/>
        <v>1544</v>
      </c>
      <c r="K712" s="3">
        <f t="shared" ca="1" si="192"/>
        <v>36</v>
      </c>
      <c r="L712" s="3">
        <f t="shared" ca="1" si="193"/>
        <v>37</v>
      </c>
      <c r="M712" s="3">
        <f t="shared" ca="1" si="194"/>
        <v>1</v>
      </c>
      <c r="N712" s="3" t="str">
        <f t="shared" ca="1" si="195"/>
        <v>On Time</v>
      </c>
      <c r="O712" s="3" t="str">
        <f t="shared" ca="1" si="196"/>
        <v>Low</v>
      </c>
      <c r="P712" s="3">
        <f t="shared" ca="1" si="197"/>
        <v>50.3</v>
      </c>
      <c r="Q712" s="1" t="str">
        <f ca="1">VLOOKUP(D712,Routes!$A$2:$D$31,2,FALSE)</f>
        <v>Lucknow</v>
      </c>
      <c r="R712" s="1" t="str">
        <f ca="1">VLOOKUP(D712,Routes!$A$2:$D$31,3,FALSE)</f>
        <v>Kanpur</v>
      </c>
      <c r="S712" s="3">
        <f ca="1">VLOOKUP(D712,Routes!$A$2:$D$31,4,FALSE)</f>
        <v>90</v>
      </c>
      <c r="T712" s="3" t="str">
        <f ca="1">VLOOKUP(E712,Vehicles!$A$2:$D$21,2,FALSE)</f>
        <v>Truck</v>
      </c>
      <c r="U712" s="3">
        <f ca="1">VLOOKUP(E712,Vehicles!$A$2:$D$21,3,FALSE)</f>
        <v>25</v>
      </c>
      <c r="V712" s="3" t="str">
        <f ca="1">VLOOKUP(E712,Vehicles!$A$2:$D$21,4,FALSE)</f>
        <v>Diesel</v>
      </c>
      <c r="W712" s="3">
        <f ca="1">VLOOKUP(V712,Fuel_Rates!$A$2:$B$3,2,FALSE)</f>
        <v>95</v>
      </c>
      <c r="X712" s="3">
        <f t="shared" ca="1" si="199"/>
        <v>391.83</v>
      </c>
      <c r="Y712" s="3">
        <f t="shared" ca="1" si="200"/>
        <v>46683</v>
      </c>
      <c r="Z712" s="3" t="str">
        <f t="shared" ca="1" si="201"/>
        <v>Mar</v>
      </c>
      <c r="AA712" s="3" t="str">
        <f t="shared" ca="1" si="202"/>
        <v>Q1</v>
      </c>
      <c r="AB712" s="4" t="str">
        <f t="shared" ca="1" si="203"/>
        <v>Short Haul</v>
      </c>
    </row>
    <row r="713" spans="1:28" x14ac:dyDescent="0.3">
      <c r="A713" s="8" t="str">
        <f t="shared" si="198"/>
        <v>S0712</v>
      </c>
      <c r="B713" s="3">
        <f t="shared" ca="1" si="187"/>
        <v>46010</v>
      </c>
      <c r="C713" s="3" t="str">
        <f ca="1">INDEX(Customers!$A$2:$A$21,RANDBETWEEN(1,20))</f>
        <v>C016</v>
      </c>
      <c r="D713" s="3" t="str">
        <f ca="1">INDEX(Routes!$A$2:$A$31,RANDBETWEEN(1,30))</f>
        <v>R006</v>
      </c>
      <c r="E713" s="3" t="str">
        <f ca="1">INDEX(Vehicles!$A$2:$A$21,RANDBETWEEN(1,20))</f>
        <v>V004</v>
      </c>
      <c r="F713" s="3" t="str">
        <f ca="1">INDEX(Drivers!$A$2:$A$31,RANDBETWEEN(1,30))</f>
        <v>D001</v>
      </c>
      <c r="G713" s="3">
        <f t="shared" ca="1" si="188"/>
        <v>10.9</v>
      </c>
      <c r="H713" s="3">
        <f t="shared" ca="1" si="189"/>
        <v>24350</v>
      </c>
      <c r="I713" s="3">
        <f t="shared" ca="1" si="190"/>
        <v>6818</v>
      </c>
      <c r="J713" s="3">
        <f t="shared" ca="1" si="191"/>
        <v>3216</v>
      </c>
      <c r="K713" s="3">
        <f t="shared" ca="1" si="192"/>
        <v>27</v>
      </c>
      <c r="L713" s="3">
        <f t="shared" ca="1" si="193"/>
        <v>29</v>
      </c>
      <c r="M713" s="3">
        <f t="shared" ca="1" si="194"/>
        <v>2</v>
      </c>
      <c r="N713" s="3" t="str">
        <f t="shared" ca="1" si="195"/>
        <v>On Time</v>
      </c>
      <c r="O713" s="3" t="str">
        <f t="shared" ca="1" si="196"/>
        <v>High</v>
      </c>
      <c r="P713" s="3">
        <f t="shared" ca="1" si="197"/>
        <v>36.299999999999997</v>
      </c>
      <c r="Q713" s="1" t="str">
        <f ca="1">VLOOKUP(D713,Routes!$A$2:$D$31,2,FALSE)</f>
        <v>Delhi</v>
      </c>
      <c r="R713" s="1" t="str">
        <f ca="1">VLOOKUP(D713,Routes!$A$2:$D$31,3,FALSE)</f>
        <v>Lucknow</v>
      </c>
      <c r="S713" s="3">
        <f ca="1">VLOOKUP(D713,Routes!$A$2:$D$31,4,FALSE)</f>
        <v>550</v>
      </c>
      <c r="T713" s="3" t="str">
        <f ca="1">VLOOKUP(E713,Vehicles!$A$2:$D$21,2,FALSE)</f>
        <v>Trailer</v>
      </c>
      <c r="U713" s="3">
        <f ca="1">VLOOKUP(E713,Vehicles!$A$2:$D$21,3,FALSE)</f>
        <v>28</v>
      </c>
      <c r="V713" s="3" t="str">
        <f ca="1">VLOOKUP(E713,Vehicles!$A$2:$D$21,4,FALSE)</f>
        <v>Diesel</v>
      </c>
      <c r="W713" s="3">
        <f ca="1">VLOOKUP(V713,Fuel_Rates!$A$2:$B$3,2,FALSE)</f>
        <v>95</v>
      </c>
      <c r="X713" s="3">
        <f t="shared" ca="1" si="199"/>
        <v>44.27</v>
      </c>
      <c r="Y713" s="3">
        <f t="shared" ca="1" si="200"/>
        <v>34384</v>
      </c>
      <c r="Z713" s="3" t="str">
        <f t="shared" ca="1" si="201"/>
        <v>Dec</v>
      </c>
      <c r="AA713" s="3" t="str">
        <f t="shared" ca="1" si="202"/>
        <v>Q4</v>
      </c>
      <c r="AB713" s="4" t="str">
        <f t="shared" ca="1" si="203"/>
        <v>Medium Haul</v>
      </c>
    </row>
    <row r="714" spans="1:28" x14ac:dyDescent="0.3">
      <c r="A714" s="8" t="str">
        <f t="shared" si="198"/>
        <v>S0713</v>
      </c>
      <c r="B714" s="3">
        <f t="shared" ca="1" si="187"/>
        <v>45865</v>
      </c>
      <c r="C714" s="3" t="str">
        <f ca="1">INDEX(Customers!$A$2:$A$21,RANDBETWEEN(1,20))</f>
        <v>C013</v>
      </c>
      <c r="D714" s="3" t="str">
        <f ca="1">INDEX(Routes!$A$2:$A$31,RANDBETWEEN(1,30))</f>
        <v>R005</v>
      </c>
      <c r="E714" s="3" t="str">
        <f ca="1">INDEX(Vehicles!$A$2:$A$21,RANDBETWEEN(1,20))</f>
        <v>V017</v>
      </c>
      <c r="F714" s="3" t="str">
        <f ca="1">INDEX(Drivers!$A$2:$A$31,RANDBETWEEN(1,30))</f>
        <v>D008</v>
      </c>
      <c r="G714" s="3">
        <f t="shared" ca="1" si="188"/>
        <v>5.6</v>
      </c>
      <c r="H714" s="3">
        <f t="shared" ca="1" si="189"/>
        <v>21617</v>
      </c>
      <c r="I714" s="3">
        <f t="shared" ca="1" si="190"/>
        <v>6053</v>
      </c>
      <c r="J714" s="3">
        <f t="shared" ca="1" si="191"/>
        <v>2678</v>
      </c>
      <c r="K714" s="3">
        <f t="shared" ca="1" si="192"/>
        <v>5</v>
      </c>
      <c r="L714" s="3">
        <f t="shared" ca="1" si="193"/>
        <v>11</v>
      </c>
      <c r="M714" s="3">
        <f t="shared" ca="1" si="194"/>
        <v>6</v>
      </c>
      <c r="N714" s="3" t="str">
        <f t="shared" ca="1" si="195"/>
        <v>Delayed</v>
      </c>
      <c r="O714" s="3" t="str">
        <f t="shared" ca="1" si="196"/>
        <v>Low</v>
      </c>
      <c r="P714" s="3">
        <f t="shared" ca="1" si="197"/>
        <v>18.7</v>
      </c>
      <c r="Q714" s="1" t="str">
        <f ca="1">VLOOKUP(D714,Routes!$A$2:$D$31,2,FALSE)</f>
        <v>Delhi</v>
      </c>
      <c r="R714" s="1" t="str">
        <f ca="1">VLOOKUP(D714,Routes!$A$2:$D$31,3,FALSE)</f>
        <v>Jaipur</v>
      </c>
      <c r="S714" s="3">
        <f ca="1">VLOOKUP(D714,Routes!$A$2:$D$31,4,FALSE)</f>
        <v>280</v>
      </c>
      <c r="T714" s="3" t="str">
        <f ca="1">VLOOKUP(E714,Vehicles!$A$2:$D$21,2,FALSE)</f>
        <v>Truck</v>
      </c>
      <c r="U714" s="3">
        <f ca="1">VLOOKUP(E714,Vehicles!$A$2:$D$21,3,FALSE)</f>
        <v>24</v>
      </c>
      <c r="V714" s="3" t="str">
        <f ca="1">VLOOKUP(E714,Vehicles!$A$2:$D$21,4,FALSE)</f>
        <v>Diesel</v>
      </c>
      <c r="W714" s="3">
        <f ca="1">VLOOKUP(V714,Fuel_Rates!$A$2:$B$3,2,FALSE)</f>
        <v>95</v>
      </c>
      <c r="X714" s="3">
        <f t="shared" ca="1" si="199"/>
        <v>77.2</v>
      </c>
      <c r="Y714" s="3">
        <f t="shared" ca="1" si="200"/>
        <v>30348</v>
      </c>
      <c r="Z714" s="3" t="str">
        <f t="shared" ca="1" si="201"/>
        <v>Jul</v>
      </c>
      <c r="AA714" s="3" t="str">
        <f t="shared" ca="1" si="202"/>
        <v>Q3</v>
      </c>
      <c r="AB714" s="4" t="str">
        <f t="shared" ca="1" si="203"/>
        <v>Short Haul</v>
      </c>
    </row>
    <row r="715" spans="1:28" x14ac:dyDescent="0.3">
      <c r="A715" s="8" t="str">
        <f t="shared" si="198"/>
        <v>S0714</v>
      </c>
      <c r="B715" s="3">
        <f t="shared" ca="1" si="187"/>
        <v>45949</v>
      </c>
      <c r="C715" s="3" t="str">
        <f ca="1">INDEX(Customers!$A$2:$A$21,RANDBETWEEN(1,20))</f>
        <v>C008</v>
      </c>
      <c r="D715" s="3" t="str">
        <f ca="1">INDEX(Routes!$A$2:$A$31,RANDBETWEEN(1,30))</f>
        <v>R017</v>
      </c>
      <c r="E715" s="3" t="str">
        <f ca="1">INDEX(Vehicles!$A$2:$A$21,RANDBETWEEN(1,20))</f>
        <v>V009</v>
      </c>
      <c r="F715" s="3" t="str">
        <f ca="1">INDEX(Drivers!$A$2:$A$31,RANDBETWEEN(1,30))</f>
        <v>D022</v>
      </c>
      <c r="G715" s="3">
        <f t="shared" ca="1" si="188"/>
        <v>25</v>
      </c>
      <c r="H715" s="3">
        <f t="shared" ca="1" si="189"/>
        <v>55394</v>
      </c>
      <c r="I715" s="3">
        <f t="shared" ca="1" si="190"/>
        <v>15510</v>
      </c>
      <c r="J715" s="3">
        <f t="shared" ca="1" si="191"/>
        <v>1011</v>
      </c>
      <c r="K715" s="3">
        <f t="shared" ca="1" si="192"/>
        <v>30</v>
      </c>
      <c r="L715" s="3">
        <f t="shared" ca="1" si="193"/>
        <v>34</v>
      </c>
      <c r="M715" s="3">
        <f t="shared" ca="1" si="194"/>
        <v>4</v>
      </c>
      <c r="N715" s="3" t="str">
        <f t="shared" ca="1" si="195"/>
        <v>Delayed</v>
      </c>
      <c r="O715" s="3" t="str">
        <f t="shared" ca="1" si="196"/>
        <v>Medium</v>
      </c>
      <c r="P715" s="3">
        <f t="shared" ca="1" si="197"/>
        <v>83.3</v>
      </c>
      <c r="Q715" s="1" t="str">
        <f ca="1">VLOOKUP(D715,Routes!$A$2:$D$31,2,FALSE)</f>
        <v>Kolkata</v>
      </c>
      <c r="R715" s="1" t="str">
        <f ca="1">VLOOKUP(D715,Routes!$A$2:$D$31,3,FALSE)</f>
        <v>Patna</v>
      </c>
      <c r="S715" s="3">
        <f ca="1">VLOOKUP(D715,Routes!$A$2:$D$31,4,FALSE)</f>
        <v>620</v>
      </c>
      <c r="T715" s="3" t="str">
        <f ca="1">VLOOKUP(E715,Vehicles!$A$2:$D$21,2,FALSE)</f>
        <v>LCV</v>
      </c>
      <c r="U715" s="3">
        <f ca="1">VLOOKUP(E715,Vehicles!$A$2:$D$21,3,FALSE)</f>
        <v>5</v>
      </c>
      <c r="V715" s="3" t="str">
        <f ca="1">VLOOKUP(E715,Vehicles!$A$2:$D$21,4,FALSE)</f>
        <v>Diesel</v>
      </c>
      <c r="W715" s="3">
        <f ca="1">VLOOKUP(V715,Fuel_Rates!$A$2:$B$3,2,FALSE)</f>
        <v>95</v>
      </c>
      <c r="X715" s="3">
        <f t="shared" ca="1" si="199"/>
        <v>89.35</v>
      </c>
      <c r="Y715" s="3">
        <f t="shared" ca="1" si="200"/>
        <v>71915</v>
      </c>
      <c r="Z715" s="3" t="str">
        <f t="shared" ca="1" si="201"/>
        <v>Oct</v>
      </c>
      <c r="AA715" s="3" t="str">
        <f t="shared" ca="1" si="202"/>
        <v>Q4</v>
      </c>
      <c r="AB715" s="4" t="str">
        <f t="shared" ca="1" si="203"/>
        <v>Medium Haul</v>
      </c>
    </row>
    <row r="716" spans="1:28" x14ac:dyDescent="0.3">
      <c r="A716" s="8" t="str">
        <f t="shared" si="198"/>
        <v>S0715</v>
      </c>
      <c r="B716" s="3">
        <f t="shared" ca="1" si="187"/>
        <v>46006</v>
      </c>
      <c r="C716" s="3" t="str">
        <f ca="1">INDEX(Customers!$A$2:$A$21,RANDBETWEEN(1,20))</f>
        <v>C019</v>
      </c>
      <c r="D716" s="3" t="str">
        <f ca="1">INDEX(Routes!$A$2:$A$31,RANDBETWEEN(1,30))</f>
        <v>R019</v>
      </c>
      <c r="E716" s="3" t="str">
        <f ca="1">INDEX(Vehicles!$A$2:$A$21,RANDBETWEEN(1,20))</f>
        <v>V007</v>
      </c>
      <c r="F716" s="3" t="str">
        <f ca="1">INDEX(Drivers!$A$2:$A$31,RANDBETWEEN(1,30))</f>
        <v>D019</v>
      </c>
      <c r="G716" s="3">
        <f t="shared" ca="1" si="188"/>
        <v>26.8</v>
      </c>
      <c r="H716" s="3">
        <f t="shared" ca="1" si="189"/>
        <v>56173</v>
      </c>
      <c r="I716" s="3">
        <f t="shared" ca="1" si="190"/>
        <v>15728</v>
      </c>
      <c r="J716" s="3">
        <f t="shared" ca="1" si="191"/>
        <v>1905</v>
      </c>
      <c r="K716" s="3">
        <f t="shared" ca="1" si="192"/>
        <v>31</v>
      </c>
      <c r="L716" s="3">
        <f t="shared" ca="1" si="193"/>
        <v>34</v>
      </c>
      <c r="M716" s="3">
        <f t="shared" ca="1" si="194"/>
        <v>3</v>
      </c>
      <c r="N716" s="3" t="str">
        <f t="shared" ca="1" si="195"/>
        <v>Delayed</v>
      </c>
      <c r="O716" s="3" t="str">
        <f t="shared" ca="1" si="196"/>
        <v>Low</v>
      </c>
      <c r="P716" s="3">
        <f t="shared" ca="1" si="197"/>
        <v>89.3</v>
      </c>
      <c r="Q716" s="1" t="str">
        <f ca="1">VLOOKUP(D716,Routes!$A$2:$D$31,2,FALSE)</f>
        <v>Ahmedabad</v>
      </c>
      <c r="R716" s="1" t="str">
        <f ca="1">VLOOKUP(D716,Routes!$A$2:$D$31,3,FALSE)</f>
        <v>Indore</v>
      </c>
      <c r="S716" s="3">
        <f ca="1">VLOOKUP(D716,Routes!$A$2:$D$31,4,FALSE)</f>
        <v>390</v>
      </c>
      <c r="T716" s="3" t="str">
        <f ca="1">VLOOKUP(E716,Vehicles!$A$2:$D$21,2,FALSE)</f>
        <v>Container</v>
      </c>
      <c r="U716" s="3">
        <f ca="1">VLOOKUP(E716,Vehicles!$A$2:$D$21,3,FALSE)</f>
        <v>20</v>
      </c>
      <c r="V716" s="3" t="str">
        <f ca="1">VLOOKUP(E716,Vehicles!$A$2:$D$21,4,FALSE)</f>
        <v>Diesel</v>
      </c>
      <c r="W716" s="3">
        <f ca="1">VLOOKUP(V716,Fuel_Rates!$A$2:$B$3,2,FALSE)</f>
        <v>95</v>
      </c>
      <c r="X716" s="3">
        <f t="shared" ca="1" si="199"/>
        <v>144.03</v>
      </c>
      <c r="Y716" s="3">
        <f t="shared" ca="1" si="200"/>
        <v>73806</v>
      </c>
      <c r="Z716" s="3" t="str">
        <f t="shared" ca="1" si="201"/>
        <v>Dec</v>
      </c>
      <c r="AA716" s="3" t="str">
        <f t="shared" ca="1" si="202"/>
        <v>Q4</v>
      </c>
      <c r="AB716" s="4" t="str">
        <f t="shared" ca="1" si="203"/>
        <v>Medium Haul</v>
      </c>
    </row>
    <row r="717" spans="1:28" x14ac:dyDescent="0.3">
      <c r="A717" s="8" t="str">
        <f t="shared" si="198"/>
        <v>S0716</v>
      </c>
      <c r="B717" s="3">
        <f t="shared" ca="1" si="187"/>
        <v>45924</v>
      </c>
      <c r="C717" s="3" t="str">
        <f ca="1">INDEX(Customers!$A$2:$A$21,RANDBETWEEN(1,20))</f>
        <v>C002</v>
      </c>
      <c r="D717" s="3" t="str">
        <f ca="1">INDEX(Routes!$A$2:$A$31,RANDBETWEEN(1,30))</f>
        <v>R014</v>
      </c>
      <c r="E717" s="3" t="str">
        <f ca="1">INDEX(Vehicles!$A$2:$A$21,RANDBETWEEN(1,20))</f>
        <v>V006</v>
      </c>
      <c r="F717" s="3" t="str">
        <f ca="1">INDEX(Drivers!$A$2:$A$31,RANDBETWEEN(1,30))</f>
        <v>D021</v>
      </c>
      <c r="G717" s="3">
        <f t="shared" ca="1" si="188"/>
        <v>23.8</v>
      </c>
      <c r="H717" s="3">
        <f t="shared" ca="1" si="189"/>
        <v>48878</v>
      </c>
      <c r="I717" s="3">
        <f t="shared" ca="1" si="190"/>
        <v>13686</v>
      </c>
      <c r="J717" s="3">
        <f t="shared" ca="1" si="191"/>
        <v>1360</v>
      </c>
      <c r="K717" s="3">
        <f t="shared" ca="1" si="192"/>
        <v>35</v>
      </c>
      <c r="L717" s="3">
        <f t="shared" ca="1" si="193"/>
        <v>39</v>
      </c>
      <c r="M717" s="3">
        <f t="shared" ca="1" si="194"/>
        <v>4</v>
      </c>
      <c r="N717" s="3" t="str">
        <f t="shared" ca="1" si="195"/>
        <v>Delayed</v>
      </c>
      <c r="O717" s="3" t="str">
        <f t="shared" ca="1" si="196"/>
        <v>Medium</v>
      </c>
      <c r="P717" s="3">
        <f t="shared" ca="1" si="197"/>
        <v>79.3</v>
      </c>
      <c r="Q717" s="1" t="str">
        <f ca="1">VLOOKUP(D717,Routes!$A$2:$D$31,2,FALSE)</f>
        <v>Hyderabad</v>
      </c>
      <c r="R717" s="1" t="str">
        <f ca="1">VLOOKUP(D717,Routes!$A$2:$D$31,3,FALSE)</f>
        <v>Nagpur</v>
      </c>
      <c r="S717" s="3">
        <f ca="1">VLOOKUP(D717,Routes!$A$2:$D$31,4,FALSE)</f>
        <v>500</v>
      </c>
      <c r="T717" s="3" t="str">
        <f ca="1">VLOOKUP(E717,Vehicles!$A$2:$D$21,2,FALSE)</f>
        <v>Container</v>
      </c>
      <c r="U717" s="3">
        <f ca="1">VLOOKUP(E717,Vehicles!$A$2:$D$21,3,FALSE)</f>
        <v>18</v>
      </c>
      <c r="V717" s="3" t="str">
        <f ca="1">VLOOKUP(E717,Vehicles!$A$2:$D$21,4,FALSE)</f>
        <v>Diesel</v>
      </c>
      <c r="W717" s="3">
        <f ca="1">VLOOKUP(V717,Fuel_Rates!$A$2:$B$3,2,FALSE)</f>
        <v>95</v>
      </c>
      <c r="X717" s="3">
        <f t="shared" ca="1" si="199"/>
        <v>97.76</v>
      </c>
      <c r="Y717" s="3">
        <f t="shared" ca="1" si="200"/>
        <v>63924</v>
      </c>
      <c r="Z717" s="3" t="str">
        <f t="shared" ca="1" si="201"/>
        <v>Sep</v>
      </c>
      <c r="AA717" s="3" t="str">
        <f t="shared" ca="1" si="202"/>
        <v>Q3</v>
      </c>
      <c r="AB717" s="4" t="str">
        <f t="shared" ca="1" si="203"/>
        <v>Medium Haul</v>
      </c>
    </row>
    <row r="718" spans="1:28" x14ac:dyDescent="0.3">
      <c r="A718" s="8" t="str">
        <f t="shared" si="198"/>
        <v>S0717</v>
      </c>
      <c r="B718" s="3">
        <f t="shared" ca="1" si="187"/>
        <v>45780</v>
      </c>
      <c r="C718" s="3" t="str">
        <f ca="1">INDEX(Customers!$A$2:$A$21,RANDBETWEEN(1,20))</f>
        <v>C019</v>
      </c>
      <c r="D718" s="3" t="str">
        <f ca="1">INDEX(Routes!$A$2:$A$31,RANDBETWEEN(1,30))</f>
        <v>R013</v>
      </c>
      <c r="E718" s="3" t="str">
        <f ca="1">INDEX(Vehicles!$A$2:$A$21,RANDBETWEEN(1,20))</f>
        <v>V001</v>
      </c>
      <c r="F718" s="3" t="str">
        <f ca="1">INDEX(Drivers!$A$2:$A$31,RANDBETWEEN(1,30))</f>
        <v>D010</v>
      </c>
      <c r="G718" s="3">
        <f t="shared" ca="1" si="188"/>
        <v>12</v>
      </c>
      <c r="H718" s="3">
        <f t="shared" ca="1" si="189"/>
        <v>24779</v>
      </c>
      <c r="I718" s="3">
        <f t="shared" ca="1" si="190"/>
        <v>6938</v>
      </c>
      <c r="J718" s="3">
        <f t="shared" ca="1" si="191"/>
        <v>2103</v>
      </c>
      <c r="K718" s="3">
        <f t="shared" ca="1" si="192"/>
        <v>19</v>
      </c>
      <c r="L718" s="3">
        <f t="shared" ca="1" si="193"/>
        <v>26</v>
      </c>
      <c r="M718" s="3">
        <f t="shared" ca="1" si="194"/>
        <v>7</v>
      </c>
      <c r="N718" s="3" t="str">
        <f t="shared" ca="1" si="195"/>
        <v>Delayed</v>
      </c>
      <c r="O718" s="3" t="str">
        <f t="shared" ca="1" si="196"/>
        <v>Medium</v>
      </c>
      <c r="P718" s="3">
        <f t="shared" ca="1" si="197"/>
        <v>40</v>
      </c>
      <c r="Q718" s="1" t="str">
        <f ca="1">VLOOKUP(D718,Routes!$A$2:$D$31,2,FALSE)</f>
        <v>Chennai</v>
      </c>
      <c r="R718" s="1" t="str">
        <f ca="1">VLOOKUP(D718,Routes!$A$2:$D$31,3,FALSE)</f>
        <v>Hyderabad</v>
      </c>
      <c r="S718" s="3">
        <f ca="1">VLOOKUP(D718,Routes!$A$2:$D$31,4,FALSE)</f>
        <v>630</v>
      </c>
      <c r="T718" s="3" t="str">
        <f ca="1">VLOOKUP(E718,Vehicles!$A$2:$D$21,2,FALSE)</f>
        <v>Truck</v>
      </c>
      <c r="U718" s="3">
        <f ca="1">VLOOKUP(E718,Vehicles!$A$2:$D$21,3,FALSE)</f>
        <v>16</v>
      </c>
      <c r="V718" s="3" t="str">
        <f ca="1">VLOOKUP(E718,Vehicles!$A$2:$D$21,4,FALSE)</f>
        <v>Diesel</v>
      </c>
      <c r="W718" s="3">
        <f ca="1">VLOOKUP(V718,Fuel_Rates!$A$2:$B$3,2,FALSE)</f>
        <v>95</v>
      </c>
      <c r="X718" s="3">
        <f t="shared" ca="1" si="199"/>
        <v>39.33</v>
      </c>
      <c r="Y718" s="3">
        <f t="shared" ca="1" si="200"/>
        <v>33820</v>
      </c>
      <c r="Z718" s="3" t="str">
        <f t="shared" ca="1" si="201"/>
        <v>May</v>
      </c>
      <c r="AA718" s="3" t="str">
        <f t="shared" ca="1" si="202"/>
        <v>Q2</v>
      </c>
      <c r="AB718" s="4" t="str">
        <f t="shared" ca="1" si="203"/>
        <v>Medium Haul</v>
      </c>
    </row>
    <row r="719" spans="1:28" x14ac:dyDescent="0.3">
      <c r="A719" s="8" t="str">
        <f t="shared" si="198"/>
        <v>S0718</v>
      </c>
      <c r="B719" s="3">
        <f t="shared" ca="1" si="187"/>
        <v>45717</v>
      </c>
      <c r="C719" s="3" t="str">
        <f ca="1">INDEX(Customers!$A$2:$A$21,RANDBETWEEN(1,20))</f>
        <v>C004</v>
      </c>
      <c r="D719" s="3" t="str">
        <f ca="1">INDEX(Routes!$A$2:$A$31,RANDBETWEEN(1,30))</f>
        <v>R011</v>
      </c>
      <c r="E719" s="3" t="str">
        <f ca="1">INDEX(Vehicles!$A$2:$A$21,RANDBETWEEN(1,20))</f>
        <v>V015</v>
      </c>
      <c r="F719" s="3" t="str">
        <f ca="1">INDEX(Drivers!$A$2:$A$31,RANDBETWEEN(1,30))</f>
        <v>D030</v>
      </c>
      <c r="G719" s="3">
        <f t="shared" ca="1" si="188"/>
        <v>4.4000000000000004</v>
      </c>
      <c r="H719" s="3">
        <f t="shared" ca="1" si="189"/>
        <v>20708</v>
      </c>
      <c r="I719" s="3">
        <f t="shared" ca="1" si="190"/>
        <v>5798</v>
      </c>
      <c r="J719" s="3">
        <f t="shared" ca="1" si="191"/>
        <v>1486</v>
      </c>
      <c r="K719" s="3">
        <f t="shared" ca="1" si="192"/>
        <v>18</v>
      </c>
      <c r="L719" s="3">
        <f t="shared" ca="1" si="193"/>
        <v>20</v>
      </c>
      <c r="M719" s="3">
        <f t="shared" ca="1" si="194"/>
        <v>2</v>
      </c>
      <c r="N719" s="3" t="str">
        <f t="shared" ca="1" si="195"/>
        <v>On Time</v>
      </c>
      <c r="O719" s="3" t="str">
        <f t="shared" ca="1" si="196"/>
        <v>Low</v>
      </c>
      <c r="P719" s="3">
        <f t="shared" ca="1" si="197"/>
        <v>14.7</v>
      </c>
      <c r="Q719" s="1" t="str">
        <f ca="1">VLOOKUP(D719,Routes!$A$2:$D$31,2,FALSE)</f>
        <v>Bengaluru</v>
      </c>
      <c r="R719" s="1" t="str">
        <f ca="1">VLOOKUP(D719,Routes!$A$2:$D$31,3,FALSE)</f>
        <v>Kochi</v>
      </c>
      <c r="S719" s="3">
        <f ca="1">VLOOKUP(D719,Routes!$A$2:$D$31,4,FALSE)</f>
        <v>550</v>
      </c>
      <c r="T719" s="3" t="str">
        <f ca="1">VLOOKUP(E719,Vehicles!$A$2:$D$21,2,FALSE)</f>
        <v>Trailer</v>
      </c>
      <c r="U719" s="3">
        <f ca="1">VLOOKUP(E719,Vehicles!$A$2:$D$21,3,FALSE)</f>
        <v>30</v>
      </c>
      <c r="V719" s="3" t="str">
        <f ca="1">VLOOKUP(E719,Vehicles!$A$2:$D$21,4,FALSE)</f>
        <v>Diesel</v>
      </c>
      <c r="W719" s="3">
        <f ca="1">VLOOKUP(V719,Fuel_Rates!$A$2:$B$3,2,FALSE)</f>
        <v>95</v>
      </c>
      <c r="X719" s="3">
        <f t="shared" ca="1" si="199"/>
        <v>37.65</v>
      </c>
      <c r="Y719" s="3">
        <f t="shared" ca="1" si="200"/>
        <v>27992</v>
      </c>
      <c r="Z719" s="3" t="str">
        <f t="shared" ca="1" si="201"/>
        <v>Mar</v>
      </c>
      <c r="AA719" s="3" t="str">
        <f t="shared" ca="1" si="202"/>
        <v>Q1</v>
      </c>
      <c r="AB719" s="4" t="str">
        <f t="shared" ca="1" si="203"/>
        <v>Medium Haul</v>
      </c>
    </row>
    <row r="720" spans="1:28" x14ac:dyDescent="0.3">
      <c r="A720" s="8" t="str">
        <f t="shared" si="198"/>
        <v>S0719</v>
      </c>
      <c r="B720" s="3">
        <f t="shared" ca="1" si="187"/>
        <v>46003</v>
      </c>
      <c r="C720" s="3" t="str">
        <f ca="1">INDEX(Customers!$A$2:$A$21,RANDBETWEEN(1,20))</f>
        <v>C020</v>
      </c>
      <c r="D720" s="3" t="str">
        <f ca="1">INDEX(Routes!$A$2:$A$31,RANDBETWEEN(1,30))</f>
        <v>R003</v>
      </c>
      <c r="E720" s="3" t="str">
        <f ca="1">INDEX(Vehicles!$A$2:$A$21,RANDBETWEEN(1,20))</f>
        <v>V004</v>
      </c>
      <c r="F720" s="3" t="str">
        <f ca="1">INDEX(Drivers!$A$2:$A$31,RANDBETWEEN(1,30))</f>
        <v>D029</v>
      </c>
      <c r="G720" s="3">
        <f t="shared" ca="1" si="188"/>
        <v>2.9</v>
      </c>
      <c r="H720" s="3">
        <f t="shared" ca="1" si="189"/>
        <v>14322</v>
      </c>
      <c r="I720" s="3">
        <f t="shared" ca="1" si="190"/>
        <v>4010</v>
      </c>
      <c r="J720" s="3">
        <f t="shared" ca="1" si="191"/>
        <v>1559</v>
      </c>
      <c r="K720" s="3">
        <f t="shared" ca="1" si="192"/>
        <v>42</v>
      </c>
      <c r="L720" s="3">
        <f t="shared" ca="1" si="193"/>
        <v>45</v>
      </c>
      <c r="M720" s="3">
        <f t="shared" ca="1" si="194"/>
        <v>3</v>
      </c>
      <c r="N720" s="3" t="str">
        <f t="shared" ca="1" si="195"/>
        <v>Delayed</v>
      </c>
      <c r="O720" s="3" t="str">
        <f t="shared" ca="1" si="196"/>
        <v>Medium</v>
      </c>
      <c r="P720" s="3">
        <f t="shared" ca="1" si="197"/>
        <v>9.6999999999999993</v>
      </c>
      <c r="Q720" s="1" t="str">
        <f ca="1">VLOOKUP(D720,Routes!$A$2:$D$31,2,FALSE)</f>
        <v>Mumbai</v>
      </c>
      <c r="R720" s="1" t="str">
        <f ca="1">VLOOKUP(D720,Routes!$A$2:$D$31,3,FALSE)</f>
        <v>Delhi</v>
      </c>
      <c r="S720" s="3">
        <f ca="1">VLOOKUP(D720,Routes!$A$2:$D$31,4,FALSE)</f>
        <v>1450</v>
      </c>
      <c r="T720" s="3" t="str">
        <f ca="1">VLOOKUP(E720,Vehicles!$A$2:$D$21,2,FALSE)</f>
        <v>Trailer</v>
      </c>
      <c r="U720" s="3">
        <f ca="1">VLOOKUP(E720,Vehicles!$A$2:$D$21,3,FALSE)</f>
        <v>28</v>
      </c>
      <c r="V720" s="3" t="str">
        <f ca="1">VLOOKUP(E720,Vehicles!$A$2:$D$21,4,FALSE)</f>
        <v>Diesel</v>
      </c>
      <c r="W720" s="3">
        <f ca="1">VLOOKUP(V720,Fuel_Rates!$A$2:$B$3,2,FALSE)</f>
        <v>95</v>
      </c>
      <c r="X720" s="3">
        <f t="shared" ca="1" si="199"/>
        <v>9.8800000000000008</v>
      </c>
      <c r="Y720" s="3">
        <f t="shared" ca="1" si="200"/>
        <v>19891</v>
      </c>
      <c r="Z720" s="3" t="str">
        <f t="shared" ca="1" si="201"/>
        <v>Dec</v>
      </c>
      <c r="AA720" s="3" t="str">
        <f t="shared" ca="1" si="202"/>
        <v>Q4</v>
      </c>
      <c r="AB720" s="4" t="str">
        <f t="shared" ca="1" si="203"/>
        <v>Long Haul</v>
      </c>
    </row>
    <row r="721" spans="1:28" x14ac:dyDescent="0.3">
      <c r="A721" s="8" t="str">
        <f t="shared" si="198"/>
        <v>S0720</v>
      </c>
      <c r="B721" s="3">
        <f t="shared" ca="1" si="187"/>
        <v>45728</v>
      </c>
      <c r="C721" s="3" t="str">
        <f ca="1">INDEX(Customers!$A$2:$A$21,RANDBETWEEN(1,20))</f>
        <v>C001</v>
      </c>
      <c r="D721" s="3" t="str">
        <f ca="1">INDEX(Routes!$A$2:$A$31,RANDBETWEEN(1,30))</f>
        <v>R018</v>
      </c>
      <c r="E721" s="3" t="str">
        <f ca="1">INDEX(Vehicles!$A$2:$A$21,RANDBETWEEN(1,20))</f>
        <v>V019</v>
      </c>
      <c r="F721" s="3" t="str">
        <f ca="1">INDEX(Drivers!$A$2:$A$31,RANDBETWEEN(1,30))</f>
        <v>D010</v>
      </c>
      <c r="G721" s="3">
        <f t="shared" ca="1" si="188"/>
        <v>29.4</v>
      </c>
      <c r="H721" s="3">
        <f t="shared" ca="1" si="189"/>
        <v>64830</v>
      </c>
      <c r="I721" s="3">
        <f t="shared" ca="1" si="190"/>
        <v>18152</v>
      </c>
      <c r="J721" s="3">
        <f t="shared" ca="1" si="191"/>
        <v>1577</v>
      </c>
      <c r="K721" s="3">
        <f t="shared" ca="1" si="192"/>
        <v>40</v>
      </c>
      <c r="L721" s="3">
        <f t="shared" ca="1" si="193"/>
        <v>45</v>
      </c>
      <c r="M721" s="3">
        <f t="shared" ca="1" si="194"/>
        <v>5</v>
      </c>
      <c r="N721" s="3" t="str">
        <f t="shared" ca="1" si="195"/>
        <v>Delayed</v>
      </c>
      <c r="O721" s="3" t="str">
        <f t="shared" ca="1" si="196"/>
        <v>Low</v>
      </c>
      <c r="P721" s="3">
        <f t="shared" ca="1" si="197"/>
        <v>98</v>
      </c>
      <c r="Q721" s="1" t="str">
        <f ca="1">VLOOKUP(D721,Routes!$A$2:$D$31,2,FALSE)</f>
        <v>Ahmedabad</v>
      </c>
      <c r="R721" s="1" t="str">
        <f ca="1">VLOOKUP(D721,Routes!$A$2:$D$31,3,FALSE)</f>
        <v>Jaipur</v>
      </c>
      <c r="S721" s="3">
        <f ca="1">VLOOKUP(D721,Routes!$A$2:$D$31,4,FALSE)</f>
        <v>670</v>
      </c>
      <c r="T721" s="3" t="str">
        <f ca="1">VLOOKUP(E721,Vehicles!$A$2:$D$21,2,FALSE)</f>
        <v>Trailer</v>
      </c>
      <c r="U721" s="3">
        <f ca="1">VLOOKUP(E721,Vehicles!$A$2:$D$21,3,FALSE)</f>
        <v>35</v>
      </c>
      <c r="V721" s="3" t="str">
        <f ca="1">VLOOKUP(E721,Vehicles!$A$2:$D$21,4,FALSE)</f>
        <v>Diesel</v>
      </c>
      <c r="W721" s="3">
        <f ca="1">VLOOKUP(V721,Fuel_Rates!$A$2:$B$3,2,FALSE)</f>
        <v>95</v>
      </c>
      <c r="X721" s="3">
        <f t="shared" ca="1" si="199"/>
        <v>96.76</v>
      </c>
      <c r="Y721" s="3">
        <f t="shared" ca="1" si="200"/>
        <v>84559</v>
      </c>
      <c r="Z721" s="3" t="str">
        <f t="shared" ca="1" si="201"/>
        <v>Mar</v>
      </c>
      <c r="AA721" s="3" t="str">
        <f t="shared" ca="1" si="202"/>
        <v>Q1</v>
      </c>
      <c r="AB721" s="4" t="str">
        <f t="shared" ca="1" si="203"/>
        <v>Medium Haul</v>
      </c>
    </row>
    <row r="722" spans="1:28" x14ac:dyDescent="0.3">
      <c r="A722" s="8" t="str">
        <f t="shared" si="198"/>
        <v>S0721</v>
      </c>
      <c r="B722" s="3">
        <f t="shared" ca="1" si="187"/>
        <v>45897</v>
      </c>
      <c r="C722" s="3" t="str">
        <f ca="1">INDEX(Customers!$A$2:$A$21,RANDBETWEEN(1,20))</f>
        <v>C015</v>
      </c>
      <c r="D722" s="3" t="str">
        <f ca="1">INDEX(Routes!$A$2:$A$31,RANDBETWEEN(1,30))</f>
        <v>R026</v>
      </c>
      <c r="E722" s="3" t="str">
        <f ca="1">INDEX(Vehicles!$A$2:$A$21,RANDBETWEEN(1,20))</f>
        <v>V002</v>
      </c>
      <c r="F722" s="3" t="str">
        <f ca="1">INDEX(Drivers!$A$2:$A$31,RANDBETWEEN(1,30))</f>
        <v>D011</v>
      </c>
      <c r="G722" s="3">
        <f t="shared" ca="1" si="188"/>
        <v>29</v>
      </c>
      <c r="H722" s="3">
        <f t="shared" ca="1" si="189"/>
        <v>62616</v>
      </c>
      <c r="I722" s="3">
        <f t="shared" ca="1" si="190"/>
        <v>17532</v>
      </c>
      <c r="J722" s="3">
        <f t="shared" ca="1" si="191"/>
        <v>941</v>
      </c>
      <c r="K722" s="3">
        <f t="shared" ca="1" si="192"/>
        <v>15</v>
      </c>
      <c r="L722" s="3">
        <f t="shared" ca="1" si="193"/>
        <v>20</v>
      </c>
      <c r="M722" s="3">
        <f t="shared" ca="1" si="194"/>
        <v>5</v>
      </c>
      <c r="N722" s="3" t="str">
        <f t="shared" ca="1" si="195"/>
        <v>Delayed</v>
      </c>
      <c r="O722" s="3" t="str">
        <f t="shared" ca="1" si="196"/>
        <v>High</v>
      </c>
      <c r="P722" s="3">
        <f t="shared" ca="1" si="197"/>
        <v>96.7</v>
      </c>
      <c r="Q722" s="1" t="str">
        <f ca="1">VLOOKUP(D722,Routes!$A$2:$D$31,2,FALSE)</f>
        <v>Nagpur</v>
      </c>
      <c r="R722" s="1" t="str">
        <f ca="1">VLOOKUP(D722,Routes!$A$2:$D$31,3,FALSE)</f>
        <v>Bhopal</v>
      </c>
      <c r="S722" s="3">
        <f ca="1">VLOOKUP(D722,Routes!$A$2:$D$31,4,FALSE)</f>
        <v>350</v>
      </c>
      <c r="T722" s="3" t="str">
        <f ca="1">VLOOKUP(E722,Vehicles!$A$2:$D$21,2,FALSE)</f>
        <v>Truck</v>
      </c>
      <c r="U722" s="3">
        <f ca="1">VLOOKUP(E722,Vehicles!$A$2:$D$21,3,FALSE)</f>
        <v>20</v>
      </c>
      <c r="V722" s="3" t="str">
        <f ca="1">VLOOKUP(E722,Vehicles!$A$2:$D$21,4,FALSE)</f>
        <v>Diesel</v>
      </c>
      <c r="W722" s="3">
        <f ca="1">VLOOKUP(V722,Fuel_Rates!$A$2:$B$3,2,FALSE)</f>
        <v>95</v>
      </c>
      <c r="X722" s="3">
        <f t="shared" ca="1" si="199"/>
        <v>178.9</v>
      </c>
      <c r="Y722" s="3">
        <f t="shared" ca="1" si="200"/>
        <v>81089</v>
      </c>
      <c r="Z722" s="3" t="str">
        <f t="shared" ca="1" si="201"/>
        <v>Aug</v>
      </c>
      <c r="AA722" s="3" t="str">
        <f t="shared" ca="1" si="202"/>
        <v>Q3</v>
      </c>
      <c r="AB722" s="4" t="str">
        <f t="shared" ca="1" si="203"/>
        <v>Medium Haul</v>
      </c>
    </row>
    <row r="723" spans="1:28" x14ac:dyDescent="0.3">
      <c r="A723" s="8" t="str">
        <f t="shared" si="198"/>
        <v>S0722</v>
      </c>
      <c r="B723" s="3">
        <f t="shared" ca="1" si="187"/>
        <v>45901</v>
      </c>
      <c r="C723" s="3" t="str">
        <f ca="1">INDEX(Customers!$A$2:$A$21,RANDBETWEEN(1,20))</f>
        <v>C006</v>
      </c>
      <c r="D723" s="3" t="str">
        <f ca="1">INDEX(Routes!$A$2:$A$31,RANDBETWEEN(1,30))</f>
        <v>R027</v>
      </c>
      <c r="E723" s="3" t="str">
        <f ca="1">INDEX(Vehicles!$A$2:$A$21,RANDBETWEEN(1,20))</f>
        <v>V002</v>
      </c>
      <c r="F723" s="3" t="str">
        <f ca="1">INDEX(Drivers!$A$2:$A$31,RANDBETWEEN(1,30))</f>
        <v>D002</v>
      </c>
      <c r="G723" s="3">
        <f t="shared" ca="1" si="188"/>
        <v>11.9</v>
      </c>
      <c r="H723" s="3">
        <f t="shared" ca="1" si="189"/>
        <v>30381</v>
      </c>
      <c r="I723" s="3">
        <f t="shared" ca="1" si="190"/>
        <v>8507</v>
      </c>
      <c r="J723" s="3">
        <f t="shared" ca="1" si="191"/>
        <v>3147</v>
      </c>
      <c r="K723" s="3">
        <f t="shared" ca="1" si="192"/>
        <v>6</v>
      </c>
      <c r="L723" s="3">
        <f t="shared" ca="1" si="193"/>
        <v>12</v>
      </c>
      <c r="M723" s="3">
        <f t="shared" ca="1" si="194"/>
        <v>6</v>
      </c>
      <c r="N723" s="3" t="str">
        <f t="shared" ca="1" si="195"/>
        <v>Delayed</v>
      </c>
      <c r="O723" s="3" t="str">
        <f t="shared" ca="1" si="196"/>
        <v>Low</v>
      </c>
      <c r="P723" s="3">
        <f t="shared" ca="1" si="197"/>
        <v>39.700000000000003</v>
      </c>
      <c r="Q723" s="1" t="str">
        <f ca="1">VLOOKUP(D723,Routes!$A$2:$D$31,2,FALSE)</f>
        <v>Patna</v>
      </c>
      <c r="R723" s="1" t="str">
        <f ca="1">VLOOKUP(D723,Routes!$A$2:$D$31,3,FALSE)</f>
        <v>Ranchi</v>
      </c>
      <c r="S723" s="3">
        <f ca="1">VLOOKUP(D723,Routes!$A$2:$D$31,4,FALSE)</f>
        <v>330</v>
      </c>
      <c r="T723" s="3" t="str">
        <f ca="1">VLOOKUP(E723,Vehicles!$A$2:$D$21,2,FALSE)</f>
        <v>Truck</v>
      </c>
      <c r="U723" s="3">
        <f ca="1">VLOOKUP(E723,Vehicles!$A$2:$D$21,3,FALSE)</f>
        <v>20</v>
      </c>
      <c r="V723" s="3" t="str">
        <f ca="1">VLOOKUP(E723,Vehicles!$A$2:$D$21,4,FALSE)</f>
        <v>Diesel</v>
      </c>
      <c r="W723" s="3">
        <f ca="1">VLOOKUP(V723,Fuel_Rates!$A$2:$B$3,2,FALSE)</f>
        <v>95</v>
      </c>
      <c r="X723" s="3">
        <f t="shared" ca="1" si="199"/>
        <v>92.06</v>
      </c>
      <c r="Y723" s="3">
        <f t="shared" ca="1" si="200"/>
        <v>42035</v>
      </c>
      <c r="Z723" s="3" t="str">
        <f t="shared" ca="1" si="201"/>
        <v>Sep</v>
      </c>
      <c r="AA723" s="3" t="str">
        <f t="shared" ca="1" si="202"/>
        <v>Q3</v>
      </c>
      <c r="AB723" s="4" t="str">
        <f t="shared" ca="1" si="203"/>
        <v>Medium Haul</v>
      </c>
    </row>
    <row r="724" spans="1:28" x14ac:dyDescent="0.3">
      <c r="A724" s="8" t="str">
        <f t="shared" si="198"/>
        <v>S0723</v>
      </c>
      <c r="B724" s="3">
        <f t="shared" ca="1" si="187"/>
        <v>45800</v>
      </c>
      <c r="C724" s="3" t="str">
        <f ca="1">INDEX(Customers!$A$2:$A$21,RANDBETWEEN(1,20))</f>
        <v>C012</v>
      </c>
      <c r="D724" s="3" t="str">
        <f ca="1">INDEX(Routes!$A$2:$A$31,RANDBETWEEN(1,30))</f>
        <v>R003</v>
      </c>
      <c r="E724" s="3" t="str">
        <f ca="1">INDEX(Vehicles!$A$2:$A$21,RANDBETWEEN(1,20))</f>
        <v>V007</v>
      </c>
      <c r="F724" s="3" t="str">
        <f ca="1">INDEX(Drivers!$A$2:$A$31,RANDBETWEEN(1,30))</f>
        <v>D006</v>
      </c>
      <c r="G724" s="3">
        <f t="shared" ca="1" si="188"/>
        <v>19.5</v>
      </c>
      <c r="H724" s="3">
        <f t="shared" ca="1" si="189"/>
        <v>40655</v>
      </c>
      <c r="I724" s="3">
        <f t="shared" ca="1" si="190"/>
        <v>11383</v>
      </c>
      <c r="J724" s="3">
        <f t="shared" ca="1" si="191"/>
        <v>3260</v>
      </c>
      <c r="K724" s="3">
        <f t="shared" ca="1" si="192"/>
        <v>37</v>
      </c>
      <c r="L724" s="3">
        <f t="shared" ca="1" si="193"/>
        <v>45</v>
      </c>
      <c r="M724" s="3">
        <f t="shared" ca="1" si="194"/>
        <v>8</v>
      </c>
      <c r="N724" s="3" t="str">
        <f t="shared" ca="1" si="195"/>
        <v>Delayed</v>
      </c>
      <c r="O724" s="3" t="str">
        <f t="shared" ca="1" si="196"/>
        <v>Medium</v>
      </c>
      <c r="P724" s="3">
        <f t="shared" ca="1" si="197"/>
        <v>65</v>
      </c>
      <c r="Q724" s="1" t="str">
        <f ca="1">VLOOKUP(D724,Routes!$A$2:$D$31,2,FALSE)</f>
        <v>Mumbai</v>
      </c>
      <c r="R724" s="1" t="str">
        <f ca="1">VLOOKUP(D724,Routes!$A$2:$D$31,3,FALSE)</f>
        <v>Delhi</v>
      </c>
      <c r="S724" s="3">
        <f ca="1">VLOOKUP(D724,Routes!$A$2:$D$31,4,FALSE)</f>
        <v>1450</v>
      </c>
      <c r="T724" s="3" t="str">
        <f ca="1">VLOOKUP(E724,Vehicles!$A$2:$D$21,2,FALSE)</f>
        <v>Container</v>
      </c>
      <c r="U724" s="3">
        <f ca="1">VLOOKUP(E724,Vehicles!$A$2:$D$21,3,FALSE)</f>
        <v>20</v>
      </c>
      <c r="V724" s="3" t="str">
        <f ca="1">VLOOKUP(E724,Vehicles!$A$2:$D$21,4,FALSE)</f>
        <v>Diesel</v>
      </c>
      <c r="W724" s="3">
        <f ca="1">VLOOKUP(V724,Fuel_Rates!$A$2:$B$3,2,FALSE)</f>
        <v>95</v>
      </c>
      <c r="X724" s="3">
        <f t="shared" ca="1" si="199"/>
        <v>28.04</v>
      </c>
      <c r="Y724" s="3">
        <f t="shared" ca="1" si="200"/>
        <v>55298</v>
      </c>
      <c r="Z724" s="3" t="str">
        <f t="shared" ca="1" si="201"/>
        <v>May</v>
      </c>
      <c r="AA724" s="3" t="str">
        <f t="shared" ca="1" si="202"/>
        <v>Q2</v>
      </c>
      <c r="AB724" s="4" t="str">
        <f t="shared" ca="1" si="203"/>
        <v>Long Haul</v>
      </c>
    </row>
    <row r="725" spans="1:28" x14ac:dyDescent="0.3">
      <c r="A725" s="8" t="str">
        <f t="shared" si="198"/>
        <v>S0724</v>
      </c>
      <c r="B725" s="3">
        <f t="shared" ca="1" si="187"/>
        <v>45948</v>
      </c>
      <c r="C725" s="3" t="str">
        <f ca="1">INDEX(Customers!$A$2:$A$21,RANDBETWEEN(1,20))</f>
        <v>C003</v>
      </c>
      <c r="D725" s="3" t="str">
        <f ca="1">INDEX(Routes!$A$2:$A$31,RANDBETWEEN(1,30))</f>
        <v>R013</v>
      </c>
      <c r="E725" s="3" t="str">
        <f ca="1">INDEX(Vehicles!$A$2:$A$21,RANDBETWEEN(1,20))</f>
        <v>V018</v>
      </c>
      <c r="F725" s="3" t="str">
        <f ca="1">INDEX(Drivers!$A$2:$A$31,RANDBETWEEN(1,30))</f>
        <v>D025</v>
      </c>
      <c r="G725" s="3">
        <f t="shared" ca="1" si="188"/>
        <v>22.5</v>
      </c>
      <c r="H725" s="3">
        <f t="shared" ca="1" si="189"/>
        <v>48511</v>
      </c>
      <c r="I725" s="3">
        <f t="shared" ca="1" si="190"/>
        <v>13583</v>
      </c>
      <c r="J725" s="3">
        <f t="shared" ca="1" si="191"/>
        <v>1793</v>
      </c>
      <c r="K725" s="3">
        <f t="shared" ca="1" si="192"/>
        <v>21</v>
      </c>
      <c r="L725" s="3">
        <f t="shared" ca="1" si="193"/>
        <v>24</v>
      </c>
      <c r="M725" s="3">
        <f t="shared" ca="1" si="194"/>
        <v>3</v>
      </c>
      <c r="N725" s="3" t="str">
        <f t="shared" ca="1" si="195"/>
        <v>Delayed</v>
      </c>
      <c r="O725" s="3" t="str">
        <f t="shared" ca="1" si="196"/>
        <v>High</v>
      </c>
      <c r="P725" s="3">
        <f t="shared" ca="1" si="197"/>
        <v>75</v>
      </c>
      <c r="Q725" s="1" t="str">
        <f ca="1">VLOOKUP(D725,Routes!$A$2:$D$31,2,FALSE)</f>
        <v>Chennai</v>
      </c>
      <c r="R725" s="1" t="str">
        <f ca="1">VLOOKUP(D725,Routes!$A$2:$D$31,3,FALSE)</f>
        <v>Hyderabad</v>
      </c>
      <c r="S725" s="3">
        <f ca="1">VLOOKUP(D725,Routes!$A$2:$D$31,4,FALSE)</f>
        <v>630</v>
      </c>
      <c r="T725" s="3" t="str">
        <f ca="1">VLOOKUP(E725,Vehicles!$A$2:$D$21,2,FALSE)</f>
        <v>Truck</v>
      </c>
      <c r="U725" s="3">
        <f ca="1">VLOOKUP(E725,Vehicles!$A$2:$D$21,3,FALSE)</f>
        <v>26</v>
      </c>
      <c r="V725" s="3" t="str">
        <f ca="1">VLOOKUP(E725,Vehicles!$A$2:$D$21,4,FALSE)</f>
        <v>Diesel</v>
      </c>
      <c r="W725" s="3">
        <f ca="1">VLOOKUP(V725,Fuel_Rates!$A$2:$B$3,2,FALSE)</f>
        <v>95</v>
      </c>
      <c r="X725" s="3">
        <f t="shared" ca="1" si="199"/>
        <v>77</v>
      </c>
      <c r="Y725" s="3">
        <f t="shared" ca="1" si="200"/>
        <v>63887</v>
      </c>
      <c r="Z725" s="3" t="str">
        <f t="shared" ca="1" si="201"/>
        <v>Oct</v>
      </c>
      <c r="AA725" s="3" t="str">
        <f t="shared" ca="1" si="202"/>
        <v>Q4</v>
      </c>
      <c r="AB725" s="4" t="str">
        <f t="shared" ca="1" si="203"/>
        <v>Medium Haul</v>
      </c>
    </row>
    <row r="726" spans="1:28" x14ac:dyDescent="0.3">
      <c r="A726" s="8" t="str">
        <f t="shared" si="198"/>
        <v>S0725</v>
      </c>
      <c r="B726" s="3">
        <f t="shared" ca="1" si="187"/>
        <v>45812</v>
      </c>
      <c r="C726" s="3" t="str">
        <f ca="1">INDEX(Customers!$A$2:$A$21,RANDBETWEEN(1,20))</f>
        <v>C012</v>
      </c>
      <c r="D726" s="3" t="str">
        <f ca="1">INDEX(Routes!$A$2:$A$31,RANDBETWEEN(1,30))</f>
        <v>R001</v>
      </c>
      <c r="E726" s="3" t="str">
        <f ca="1">INDEX(Vehicles!$A$2:$A$21,RANDBETWEEN(1,20))</f>
        <v>V006</v>
      </c>
      <c r="F726" s="3" t="str">
        <f ca="1">INDEX(Drivers!$A$2:$A$31,RANDBETWEEN(1,30))</f>
        <v>D029</v>
      </c>
      <c r="G726" s="3">
        <f t="shared" ca="1" si="188"/>
        <v>11.6</v>
      </c>
      <c r="H726" s="3">
        <f t="shared" ca="1" si="189"/>
        <v>31636</v>
      </c>
      <c r="I726" s="3">
        <f t="shared" ca="1" si="190"/>
        <v>8858</v>
      </c>
      <c r="J726" s="3">
        <f t="shared" ca="1" si="191"/>
        <v>896</v>
      </c>
      <c r="K726" s="3">
        <f t="shared" ca="1" si="192"/>
        <v>38</v>
      </c>
      <c r="L726" s="3">
        <f t="shared" ca="1" si="193"/>
        <v>46</v>
      </c>
      <c r="M726" s="3">
        <f t="shared" ca="1" si="194"/>
        <v>8</v>
      </c>
      <c r="N726" s="3" t="str">
        <f t="shared" ca="1" si="195"/>
        <v>Delayed</v>
      </c>
      <c r="O726" s="3" t="str">
        <f t="shared" ca="1" si="196"/>
        <v>Low</v>
      </c>
      <c r="P726" s="3">
        <f t="shared" ca="1" si="197"/>
        <v>38.700000000000003</v>
      </c>
      <c r="Q726" s="1" t="str">
        <f ca="1">VLOOKUP(D726,Routes!$A$2:$D$31,2,FALSE)</f>
        <v>Mumbai</v>
      </c>
      <c r="R726" s="1" t="str">
        <f ca="1">VLOOKUP(D726,Routes!$A$2:$D$31,3,FALSE)</f>
        <v>Pune</v>
      </c>
      <c r="S726" s="3">
        <f ca="1">VLOOKUP(D726,Routes!$A$2:$D$31,4,FALSE)</f>
        <v>150</v>
      </c>
      <c r="T726" s="3" t="str">
        <f ca="1">VLOOKUP(E726,Vehicles!$A$2:$D$21,2,FALSE)</f>
        <v>Container</v>
      </c>
      <c r="U726" s="3">
        <f ca="1">VLOOKUP(E726,Vehicles!$A$2:$D$21,3,FALSE)</f>
        <v>18</v>
      </c>
      <c r="V726" s="3" t="str">
        <f ca="1">VLOOKUP(E726,Vehicles!$A$2:$D$21,4,FALSE)</f>
        <v>Diesel</v>
      </c>
      <c r="W726" s="3">
        <f ca="1">VLOOKUP(V726,Fuel_Rates!$A$2:$B$3,2,FALSE)</f>
        <v>95</v>
      </c>
      <c r="X726" s="3">
        <f t="shared" ca="1" si="199"/>
        <v>210.91</v>
      </c>
      <c r="Y726" s="3">
        <f t="shared" ca="1" si="200"/>
        <v>41390</v>
      </c>
      <c r="Z726" s="3" t="str">
        <f t="shared" ca="1" si="201"/>
        <v>Jun</v>
      </c>
      <c r="AA726" s="3" t="str">
        <f t="shared" ca="1" si="202"/>
        <v>Q2</v>
      </c>
      <c r="AB726" s="4" t="str">
        <f t="shared" ca="1" si="203"/>
        <v>Short Haul</v>
      </c>
    </row>
    <row r="727" spans="1:28" x14ac:dyDescent="0.3">
      <c r="A727" s="8" t="str">
        <f t="shared" si="198"/>
        <v>S0726</v>
      </c>
      <c r="B727" s="3">
        <f t="shared" ca="1" si="187"/>
        <v>45934</v>
      </c>
      <c r="C727" s="3" t="str">
        <f ca="1">INDEX(Customers!$A$2:$A$21,RANDBETWEEN(1,20))</f>
        <v>C005</v>
      </c>
      <c r="D727" s="3" t="str">
        <f ca="1">INDEX(Routes!$A$2:$A$31,RANDBETWEEN(1,30))</f>
        <v>R008</v>
      </c>
      <c r="E727" s="3" t="str">
        <f ca="1">INDEX(Vehicles!$A$2:$A$21,RANDBETWEEN(1,20))</f>
        <v>V016</v>
      </c>
      <c r="F727" s="3" t="str">
        <f ca="1">INDEX(Drivers!$A$2:$A$31,RANDBETWEEN(1,30))</f>
        <v>D017</v>
      </c>
      <c r="G727" s="3">
        <f t="shared" ca="1" si="188"/>
        <v>18.3</v>
      </c>
      <c r="H727" s="3">
        <f t="shared" ca="1" si="189"/>
        <v>40319</v>
      </c>
      <c r="I727" s="3">
        <f t="shared" ca="1" si="190"/>
        <v>11289</v>
      </c>
      <c r="J727" s="3">
        <f t="shared" ca="1" si="191"/>
        <v>898</v>
      </c>
      <c r="K727" s="3">
        <f t="shared" ca="1" si="192"/>
        <v>20</v>
      </c>
      <c r="L727" s="3">
        <f t="shared" ca="1" si="193"/>
        <v>26</v>
      </c>
      <c r="M727" s="3">
        <f t="shared" ca="1" si="194"/>
        <v>6</v>
      </c>
      <c r="N727" s="3" t="str">
        <f t="shared" ca="1" si="195"/>
        <v>Delayed</v>
      </c>
      <c r="O727" s="3" t="str">
        <f t="shared" ca="1" si="196"/>
        <v>Low</v>
      </c>
      <c r="P727" s="3">
        <f t="shared" ca="1" si="197"/>
        <v>61</v>
      </c>
      <c r="Q727" s="1" t="str">
        <f ca="1">VLOOKUP(D727,Routes!$A$2:$D$31,2,FALSE)</f>
        <v>Delhi</v>
      </c>
      <c r="R727" s="1" t="str">
        <f ca="1">VLOOKUP(D727,Routes!$A$2:$D$31,3,FALSE)</f>
        <v>Kolkata</v>
      </c>
      <c r="S727" s="3">
        <f ca="1">VLOOKUP(D727,Routes!$A$2:$D$31,4,FALSE)</f>
        <v>1500</v>
      </c>
      <c r="T727" s="3" t="str">
        <f ca="1">VLOOKUP(E727,Vehicles!$A$2:$D$21,2,FALSE)</f>
        <v>Container</v>
      </c>
      <c r="U727" s="3">
        <f ca="1">VLOOKUP(E727,Vehicles!$A$2:$D$21,3,FALSE)</f>
        <v>22</v>
      </c>
      <c r="V727" s="3" t="str">
        <f ca="1">VLOOKUP(E727,Vehicles!$A$2:$D$21,4,FALSE)</f>
        <v>Diesel</v>
      </c>
      <c r="W727" s="3">
        <f ca="1">VLOOKUP(V727,Fuel_Rates!$A$2:$B$3,2,FALSE)</f>
        <v>95</v>
      </c>
      <c r="X727" s="3">
        <f t="shared" ca="1" si="199"/>
        <v>26.88</v>
      </c>
      <c r="Y727" s="3">
        <f t="shared" ca="1" si="200"/>
        <v>52506</v>
      </c>
      <c r="Z727" s="3" t="str">
        <f t="shared" ca="1" si="201"/>
        <v>Oct</v>
      </c>
      <c r="AA727" s="3" t="str">
        <f t="shared" ca="1" si="202"/>
        <v>Q4</v>
      </c>
      <c r="AB727" s="4" t="str">
        <f t="shared" ca="1" si="203"/>
        <v>Long Haul</v>
      </c>
    </row>
    <row r="728" spans="1:28" x14ac:dyDescent="0.3">
      <c r="A728" s="8" t="str">
        <f t="shared" si="198"/>
        <v>S0727</v>
      </c>
      <c r="B728" s="3">
        <f t="shared" ca="1" si="187"/>
        <v>45689</v>
      </c>
      <c r="C728" s="3" t="str">
        <f ca="1">INDEX(Customers!$A$2:$A$21,RANDBETWEEN(1,20))</f>
        <v>C006</v>
      </c>
      <c r="D728" s="3" t="str">
        <f ca="1">INDEX(Routes!$A$2:$A$31,RANDBETWEEN(1,30))</f>
        <v>R021</v>
      </c>
      <c r="E728" s="3" t="str">
        <f ca="1">INDEX(Vehicles!$A$2:$A$21,RANDBETWEEN(1,20))</f>
        <v>V011</v>
      </c>
      <c r="F728" s="3" t="str">
        <f ca="1">INDEX(Drivers!$A$2:$A$31,RANDBETWEEN(1,30))</f>
        <v>D021</v>
      </c>
      <c r="G728" s="3">
        <f t="shared" ca="1" si="188"/>
        <v>16.399999999999999</v>
      </c>
      <c r="H728" s="3">
        <f t="shared" ca="1" si="189"/>
        <v>43915</v>
      </c>
      <c r="I728" s="3">
        <f t="shared" ca="1" si="190"/>
        <v>12296</v>
      </c>
      <c r="J728" s="3">
        <f t="shared" ca="1" si="191"/>
        <v>3720</v>
      </c>
      <c r="K728" s="3">
        <f t="shared" ca="1" si="192"/>
        <v>45</v>
      </c>
      <c r="L728" s="3">
        <f t="shared" ca="1" si="193"/>
        <v>51</v>
      </c>
      <c r="M728" s="3">
        <f t="shared" ca="1" si="194"/>
        <v>6</v>
      </c>
      <c r="N728" s="3" t="str">
        <f t="shared" ca="1" si="195"/>
        <v>Delayed</v>
      </c>
      <c r="O728" s="3" t="str">
        <f t="shared" ca="1" si="196"/>
        <v>Medium</v>
      </c>
      <c r="P728" s="3">
        <f t="shared" ca="1" si="197"/>
        <v>54.7</v>
      </c>
      <c r="Q728" s="1" t="str">
        <f ca="1">VLOOKUP(D728,Routes!$A$2:$D$31,2,FALSE)</f>
        <v>Lucknow</v>
      </c>
      <c r="R728" s="1" t="str">
        <f ca="1">VLOOKUP(D728,Routes!$A$2:$D$31,3,FALSE)</f>
        <v>Kanpur</v>
      </c>
      <c r="S728" s="3">
        <f ca="1">VLOOKUP(D728,Routes!$A$2:$D$31,4,FALSE)</f>
        <v>90</v>
      </c>
      <c r="T728" s="3" t="str">
        <f ca="1">VLOOKUP(E728,Vehicles!$A$2:$D$21,2,FALSE)</f>
        <v>Truck</v>
      </c>
      <c r="U728" s="3">
        <f ca="1">VLOOKUP(E728,Vehicles!$A$2:$D$21,3,FALSE)</f>
        <v>18</v>
      </c>
      <c r="V728" s="3" t="str">
        <f ca="1">VLOOKUP(E728,Vehicles!$A$2:$D$21,4,FALSE)</f>
        <v>CNG</v>
      </c>
      <c r="W728" s="3">
        <f ca="1">VLOOKUP(V728,Fuel_Rates!$A$2:$B$3,2,FALSE)</f>
        <v>78</v>
      </c>
      <c r="X728" s="3">
        <f t="shared" ca="1" si="199"/>
        <v>487.94</v>
      </c>
      <c r="Y728" s="3">
        <f t="shared" ca="1" si="200"/>
        <v>59931</v>
      </c>
      <c r="Z728" s="3" t="str">
        <f t="shared" ca="1" si="201"/>
        <v>Feb</v>
      </c>
      <c r="AA728" s="3" t="str">
        <f t="shared" ca="1" si="202"/>
        <v>Q1</v>
      </c>
      <c r="AB728" s="4" t="str">
        <f t="shared" ca="1" si="203"/>
        <v>Short Haul</v>
      </c>
    </row>
    <row r="729" spans="1:28" x14ac:dyDescent="0.3">
      <c r="A729" s="8" t="str">
        <f t="shared" si="198"/>
        <v>S0728</v>
      </c>
      <c r="B729" s="3">
        <f t="shared" ca="1" si="187"/>
        <v>45842</v>
      </c>
      <c r="C729" s="3" t="str">
        <f ca="1">INDEX(Customers!$A$2:$A$21,RANDBETWEEN(1,20))</f>
        <v>C011</v>
      </c>
      <c r="D729" s="3" t="str">
        <f ca="1">INDEX(Routes!$A$2:$A$31,RANDBETWEEN(1,30))</f>
        <v>R003</v>
      </c>
      <c r="E729" s="3" t="str">
        <f ca="1">INDEX(Vehicles!$A$2:$A$21,RANDBETWEEN(1,20))</f>
        <v>V005</v>
      </c>
      <c r="F729" s="3" t="str">
        <f ca="1">INDEX(Drivers!$A$2:$A$31,RANDBETWEEN(1,30))</f>
        <v>D024</v>
      </c>
      <c r="G729" s="3">
        <f t="shared" ca="1" si="188"/>
        <v>14.8</v>
      </c>
      <c r="H729" s="3">
        <f t="shared" ca="1" si="189"/>
        <v>38979</v>
      </c>
      <c r="I729" s="3">
        <f t="shared" ca="1" si="190"/>
        <v>10914</v>
      </c>
      <c r="J729" s="3">
        <f t="shared" ca="1" si="191"/>
        <v>663</v>
      </c>
      <c r="K729" s="3">
        <f t="shared" ca="1" si="192"/>
        <v>41</v>
      </c>
      <c r="L729" s="3">
        <f t="shared" ca="1" si="193"/>
        <v>45</v>
      </c>
      <c r="M729" s="3">
        <f t="shared" ca="1" si="194"/>
        <v>4</v>
      </c>
      <c r="N729" s="3" t="str">
        <f t="shared" ca="1" si="195"/>
        <v>Delayed</v>
      </c>
      <c r="O729" s="3" t="str">
        <f t="shared" ca="1" si="196"/>
        <v>High</v>
      </c>
      <c r="P729" s="3">
        <f t="shared" ca="1" si="197"/>
        <v>49.3</v>
      </c>
      <c r="Q729" s="1" t="str">
        <f ca="1">VLOOKUP(D729,Routes!$A$2:$D$31,2,FALSE)</f>
        <v>Mumbai</v>
      </c>
      <c r="R729" s="1" t="str">
        <f ca="1">VLOOKUP(D729,Routes!$A$2:$D$31,3,FALSE)</f>
        <v>Delhi</v>
      </c>
      <c r="S729" s="3">
        <f ca="1">VLOOKUP(D729,Routes!$A$2:$D$31,4,FALSE)</f>
        <v>1450</v>
      </c>
      <c r="T729" s="3" t="str">
        <f ca="1">VLOOKUP(E729,Vehicles!$A$2:$D$21,2,FALSE)</f>
        <v>Trailer</v>
      </c>
      <c r="U729" s="3">
        <f ca="1">VLOOKUP(E729,Vehicles!$A$2:$D$21,3,FALSE)</f>
        <v>32</v>
      </c>
      <c r="V729" s="3" t="str">
        <f ca="1">VLOOKUP(E729,Vehicles!$A$2:$D$21,4,FALSE)</f>
        <v>Diesel</v>
      </c>
      <c r="W729" s="3">
        <f ca="1">VLOOKUP(V729,Fuel_Rates!$A$2:$B$3,2,FALSE)</f>
        <v>95</v>
      </c>
      <c r="X729" s="3">
        <f t="shared" ca="1" si="199"/>
        <v>26.88</v>
      </c>
      <c r="Y729" s="3">
        <f t="shared" ca="1" si="200"/>
        <v>50556</v>
      </c>
      <c r="Z729" s="3" t="str">
        <f t="shared" ca="1" si="201"/>
        <v>Jul</v>
      </c>
      <c r="AA729" s="3" t="str">
        <f t="shared" ca="1" si="202"/>
        <v>Q3</v>
      </c>
      <c r="AB729" s="4" t="str">
        <f t="shared" ca="1" si="203"/>
        <v>Long Haul</v>
      </c>
    </row>
    <row r="730" spans="1:28" x14ac:dyDescent="0.3">
      <c r="A730" s="8" t="str">
        <f t="shared" si="198"/>
        <v>S0729</v>
      </c>
      <c r="B730" s="3">
        <f t="shared" ca="1" si="187"/>
        <v>45859</v>
      </c>
      <c r="C730" s="3" t="str">
        <f ca="1">INDEX(Customers!$A$2:$A$21,RANDBETWEEN(1,20))</f>
        <v>C015</v>
      </c>
      <c r="D730" s="3" t="str">
        <f ca="1">INDEX(Routes!$A$2:$A$31,RANDBETWEEN(1,30))</f>
        <v>R028</v>
      </c>
      <c r="E730" s="3" t="str">
        <f ca="1">INDEX(Vehicles!$A$2:$A$21,RANDBETWEEN(1,20))</f>
        <v>V019</v>
      </c>
      <c r="F730" s="3" t="str">
        <f ca="1">INDEX(Drivers!$A$2:$A$31,RANDBETWEEN(1,30))</f>
        <v>D023</v>
      </c>
      <c r="G730" s="3">
        <f t="shared" ca="1" si="188"/>
        <v>14.7</v>
      </c>
      <c r="H730" s="3">
        <f t="shared" ca="1" si="189"/>
        <v>40348</v>
      </c>
      <c r="I730" s="3">
        <f t="shared" ca="1" si="190"/>
        <v>11297</v>
      </c>
      <c r="J730" s="3">
        <f t="shared" ca="1" si="191"/>
        <v>1927</v>
      </c>
      <c r="K730" s="3">
        <f t="shared" ca="1" si="192"/>
        <v>30</v>
      </c>
      <c r="L730" s="3">
        <f t="shared" ca="1" si="193"/>
        <v>37</v>
      </c>
      <c r="M730" s="3">
        <f t="shared" ca="1" si="194"/>
        <v>7</v>
      </c>
      <c r="N730" s="3" t="str">
        <f t="shared" ca="1" si="195"/>
        <v>Delayed</v>
      </c>
      <c r="O730" s="3" t="str">
        <f t="shared" ca="1" si="196"/>
        <v>Low</v>
      </c>
      <c r="P730" s="3">
        <f t="shared" ca="1" si="197"/>
        <v>49</v>
      </c>
      <c r="Q730" s="1" t="str">
        <f ca="1">VLOOKUP(D730,Routes!$A$2:$D$31,2,FALSE)</f>
        <v>Indore</v>
      </c>
      <c r="R730" s="1" t="str">
        <f ca="1">VLOOKUP(D730,Routes!$A$2:$D$31,3,FALSE)</f>
        <v>Mumbai</v>
      </c>
      <c r="S730" s="3">
        <f ca="1">VLOOKUP(D730,Routes!$A$2:$D$31,4,FALSE)</f>
        <v>590</v>
      </c>
      <c r="T730" s="3" t="str">
        <f ca="1">VLOOKUP(E730,Vehicles!$A$2:$D$21,2,FALSE)</f>
        <v>Trailer</v>
      </c>
      <c r="U730" s="3">
        <f ca="1">VLOOKUP(E730,Vehicles!$A$2:$D$21,3,FALSE)</f>
        <v>35</v>
      </c>
      <c r="V730" s="3" t="str">
        <f ca="1">VLOOKUP(E730,Vehicles!$A$2:$D$21,4,FALSE)</f>
        <v>Diesel</v>
      </c>
      <c r="W730" s="3">
        <f ca="1">VLOOKUP(V730,Fuel_Rates!$A$2:$B$3,2,FALSE)</f>
        <v>95</v>
      </c>
      <c r="X730" s="3">
        <f t="shared" ca="1" si="199"/>
        <v>68.39</v>
      </c>
      <c r="Y730" s="3">
        <f t="shared" ca="1" si="200"/>
        <v>53572</v>
      </c>
      <c r="Z730" s="3" t="str">
        <f t="shared" ca="1" si="201"/>
        <v>Jul</v>
      </c>
      <c r="AA730" s="3" t="str">
        <f t="shared" ca="1" si="202"/>
        <v>Q3</v>
      </c>
      <c r="AB730" s="4" t="str">
        <f t="shared" ca="1" si="203"/>
        <v>Medium Haul</v>
      </c>
    </row>
    <row r="731" spans="1:28" x14ac:dyDescent="0.3">
      <c r="A731" s="8" t="str">
        <f t="shared" si="198"/>
        <v>S0730</v>
      </c>
      <c r="B731" s="3">
        <f t="shared" ca="1" si="187"/>
        <v>45733</v>
      </c>
      <c r="C731" s="3" t="str">
        <f ca="1">INDEX(Customers!$A$2:$A$21,RANDBETWEEN(1,20))</f>
        <v>C006</v>
      </c>
      <c r="D731" s="3" t="str">
        <f ca="1">INDEX(Routes!$A$2:$A$31,RANDBETWEEN(1,30))</f>
        <v>R014</v>
      </c>
      <c r="E731" s="3" t="str">
        <f ca="1">INDEX(Vehicles!$A$2:$A$21,RANDBETWEEN(1,20))</f>
        <v>V018</v>
      </c>
      <c r="F731" s="3" t="str">
        <f ca="1">INDEX(Drivers!$A$2:$A$31,RANDBETWEEN(1,30))</f>
        <v>D018</v>
      </c>
      <c r="G731" s="3">
        <f t="shared" ca="1" si="188"/>
        <v>11.3</v>
      </c>
      <c r="H731" s="3">
        <f t="shared" ca="1" si="189"/>
        <v>25010</v>
      </c>
      <c r="I731" s="3">
        <f t="shared" ca="1" si="190"/>
        <v>7003</v>
      </c>
      <c r="J731" s="3">
        <f t="shared" ca="1" si="191"/>
        <v>1733</v>
      </c>
      <c r="K731" s="3">
        <f t="shared" ca="1" si="192"/>
        <v>25</v>
      </c>
      <c r="L731" s="3">
        <f t="shared" ca="1" si="193"/>
        <v>29</v>
      </c>
      <c r="M731" s="3">
        <f t="shared" ca="1" si="194"/>
        <v>4</v>
      </c>
      <c r="N731" s="3" t="str">
        <f t="shared" ca="1" si="195"/>
        <v>Delayed</v>
      </c>
      <c r="O731" s="3" t="str">
        <f t="shared" ca="1" si="196"/>
        <v>Low</v>
      </c>
      <c r="P731" s="3">
        <f t="shared" ca="1" si="197"/>
        <v>37.700000000000003</v>
      </c>
      <c r="Q731" s="1" t="str">
        <f ca="1">VLOOKUP(D731,Routes!$A$2:$D$31,2,FALSE)</f>
        <v>Hyderabad</v>
      </c>
      <c r="R731" s="1" t="str">
        <f ca="1">VLOOKUP(D731,Routes!$A$2:$D$31,3,FALSE)</f>
        <v>Nagpur</v>
      </c>
      <c r="S731" s="3">
        <f ca="1">VLOOKUP(D731,Routes!$A$2:$D$31,4,FALSE)</f>
        <v>500</v>
      </c>
      <c r="T731" s="3" t="str">
        <f ca="1">VLOOKUP(E731,Vehicles!$A$2:$D$21,2,FALSE)</f>
        <v>Truck</v>
      </c>
      <c r="U731" s="3">
        <f ca="1">VLOOKUP(E731,Vehicles!$A$2:$D$21,3,FALSE)</f>
        <v>26</v>
      </c>
      <c r="V731" s="3" t="str">
        <f ca="1">VLOOKUP(E731,Vehicles!$A$2:$D$21,4,FALSE)</f>
        <v>Diesel</v>
      </c>
      <c r="W731" s="3">
        <f ca="1">VLOOKUP(V731,Fuel_Rates!$A$2:$B$3,2,FALSE)</f>
        <v>95</v>
      </c>
      <c r="X731" s="3">
        <f t="shared" ca="1" si="199"/>
        <v>50.02</v>
      </c>
      <c r="Y731" s="3">
        <f t="shared" ca="1" si="200"/>
        <v>33746</v>
      </c>
      <c r="Z731" s="3" t="str">
        <f t="shared" ca="1" si="201"/>
        <v>Mar</v>
      </c>
      <c r="AA731" s="3" t="str">
        <f t="shared" ca="1" si="202"/>
        <v>Q1</v>
      </c>
      <c r="AB731" s="4" t="str">
        <f t="shared" ca="1" si="203"/>
        <v>Medium Haul</v>
      </c>
    </row>
    <row r="732" spans="1:28" x14ac:dyDescent="0.3">
      <c r="A732" s="8" t="str">
        <f t="shared" si="198"/>
        <v>S0731</v>
      </c>
      <c r="B732" s="3">
        <f t="shared" ca="1" si="187"/>
        <v>45844</v>
      </c>
      <c r="C732" s="3" t="str">
        <f ca="1">INDEX(Customers!$A$2:$A$21,RANDBETWEEN(1,20))</f>
        <v>C008</v>
      </c>
      <c r="D732" s="3" t="str">
        <f ca="1">INDEX(Routes!$A$2:$A$31,RANDBETWEEN(1,30))</f>
        <v>R007</v>
      </c>
      <c r="E732" s="3" t="str">
        <f ca="1">INDEX(Vehicles!$A$2:$A$21,RANDBETWEEN(1,20))</f>
        <v>V020</v>
      </c>
      <c r="F732" s="3" t="str">
        <f ca="1">INDEX(Drivers!$A$2:$A$31,RANDBETWEEN(1,30))</f>
        <v>D015</v>
      </c>
      <c r="G732" s="3">
        <f t="shared" ca="1" si="188"/>
        <v>6.7</v>
      </c>
      <c r="H732" s="3">
        <f t="shared" ca="1" si="189"/>
        <v>18534</v>
      </c>
      <c r="I732" s="3">
        <f t="shared" ca="1" si="190"/>
        <v>5190</v>
      </c>
      <c r="J732" s="3">
        <f t="shared" ca="1" si="191"/>
        <v>719</v>
      </c>
      <c r="K732" s="3">
        <f t="shared" ca="1" si="192"/>
        <v>47</v>
      </c>
      <c r="L732" s="3">
        <f t="shared" ca="1" si="193"/>
        <v>50</v>
      </c>
      <c r="M732" s="3">
        <f t="shared" ca="1" si="194"/>
        <v>3</v>
      </c>
      <c r="N732" s="3" t="str">
        <f t="shared" ca="1" si="195"/>
        <v>Delayed</v>
      </c>
      <c r="O732" s="3" t="str">
        <f t="shared" ca="1" si="196"/>
        <v>Low</v>
      </c>
      <c r="P732" s="3">
        <f t="shared" ca="1" si="197"/>
        <v>22.3</v>
      </c>
      <c r="Q732" s="1" t="str">
        <f ca="1">VLOOKUP(D732,Routes!$A$2:$D$31,2,FALSE)</f>
        <v>Delhi</v>
      </c>
      <c r="R732" s="1" t="str">
        <f ca="1">VLOOKUP(D732,Routes!$A$2:$D$31,3,FALSE)</f>
        <v>Chandigarh</v>
      </c>
      <c r="S732" s="3">
        <f ca="1">VLOOKUP(D732,Routes!$A$2:$D$31,4,FALSE)</f>
        <v>250</v>
      </c>
      <c r="T732" s="3" t="str">
        <f ca="1">VLOOKUP(E732,Vehicles!$A$2:$D$21,2,FALSE)</f>
        <v>Container</v>
      </c>
      <c r="U732" s="3">
        <f ca="1">VLOOKUP(E732,Vehicles!$A$2:$D$21,3,FALSE)</f>
        <v>28</v>
      </c>
      <c r="V732" s="3" t="str">
        <f ca="1">VLOOKUP(E732,Vehicles!$A$2:$D$21,4,FALSE)</f>
        <v>Diesel</v>
      </c>
      <c r="W732" s="3">
        <f ca="1">VLOOKUP(V732,Fuel_Rates!$A$2:$B$3,2,FALSE)</f>
        <v>95</v>
      </c>
      <c r="X732" s="3">
        <f t="shared" ca="1" si="199"/>
        <v>74.14</v>
      </c>
      <c r="Y732" s="3">
        <f t="shared" ca="1" si="200"/>
        <v>24443</v>
      </c>
      <c r="Z732" s="3" t="str">
        <f t="shared" ca="1" si="201"/>
        <v>Jul</v>
      </c>
      <c r="AA732" s="3" t="str">
        <f t="shared" ca="1" si="202"/>
        <v>Q3</v>
      </c>
      <c r="AB732" s="4" t="str">
        <f t="shared" ca="1" si="203"/>
        <v>Short Haul</v>
      </c>
    </row>
    <row r="733" spans="1:28" x14ac:dyDescent="0.3">
      <c r="A733" s="8" t="str">
        <f t="shared" si="198"/>
        <v>S0732</v>
      </c>
      <c r="B733" s="3">
        <f t="shared" ca="1" si="187"/>
        <v>45866</v>
      </c>
      <c r="C733" s="3" t="str">
        <f ca="1">INDEX(Customers!$A$2:$A$21,RANDBETWEEN(1,20))</f>
        <v>C009</v>
      </c>
      <c r="D733" s="3" t="str">
        <f ca="1">INDEX(Routes!$A$2:$A$31,RANDBETWEEN(1,30))</f>
        <v>R021</v>
      </c>
      <c r="E733" s="3" t="str">
        <f ca="1">INDEX(Vehicles!$A$2:$A$21,RANDBETWEEN(1,20))</f>
        <v>V002</v>
      </c>
      <c r="F733" s="3" t="str">
        <f ca="1">INDEX(Drivers!$A$2:$A$31,RANDBETWEEN(1,30))</f>
        <v>D006</v>
      </c>
      <c r="G733" s="3">
        <f t="shared" ca="1" si="188"/>
        <v>29</v>
      </c>
      <c r="H733" s="3">
        <f t="shared" ca="1" si="189"/>
        <v>60407</v>
      </c>
      <c r="I733" s="3">
        <f t="shared" ca="1" si="190"/>
        <v>16914</v>
      </c>
      <c r="J733" s="3">
        <f t="shared" ca="1" si="191"/>
        <v>1265</v>
      </c>
      <c r="K733" s="3">
        <f t="shared" ca="1" si="192"/>
        <v>26</v>
      </c>
      <c r="L733" s="3">
        <f t="shared" ca="1" si="193"/>
        <v>27</v>
      </c>
      <c r="M733" s="3">
        <f t="shared" ca="1" si="194"/>
        <v>1</v>
      </c>
      <c r="N733" s="3" t="str">
        <f t="shared" ca="1" si="195"/>
        <v>On Time</v>
      </c>
      <c r="O733" s="3" t="str">
        <f t="shared" ca="1" si="196"/>
        <v>Medium</v>
      </c>
      <c r="P733" s="3">
        <f t="shared" ca="1" si="197"/>
        <v>96.7</v>
      </c>
      <c r="Q733" s="1" t="str">
        <f ca="1">VLOOKUP(D733,Routes!$A$2:$D$31,2,FALSE)</f>
        <v>Lucknow</v>
      </c>
      <c r="R733" s="1" t="str">
        <f ca="1">VLOOKUP(D733,Routes!$A$2:$D$31,3,FALSE)</f>
        <v>Kanpur</v>
      </c>
      <c r="S733" s="3">
        <f ca="1">VLOOKUP(D733,Routes!$A$2:$D$31,4,FALSE)</f>
        <v>90</v>
      </c>
      <c r="T733" s="3" t="str">
        <f ca="1">VLOOKUP(E733,Vehicles!$A$2:$D$21,2,FALSE)</f>
        <v>Truck</v>
      </c>
      <c r="U733" s="3">
        <f ca="1">VLOOKUP(E733,Vehicles!$A$2:$D$21,3,FALSE)</f>
        <v>20</v>
      </c>
      <c r="V733" s="3" t="str">
        <f ca="1">VLOOKUP(E733,Vehicles!$A$2:$D$21,4,FALSE)</f>
        <v>Diesel</v>
      </c>
      <c r="W733" s="3">
        <f ca="1">VLOOKUP(V733,Fuel_Rates!$A$2:$B$3,2,FALSE)</f>
        <v>95</v>
      </c>
      <c r="X733" s="3">
        <f t="shared" ca="1" si="199"/>
        <v>671.19</v>
      </c>
      <c r="Y733" s="3">
        <f t="shared" ca="1" si="200"/>
        <v>78586</v>
      </c>
      <c r="Z733" s="3" t="str">
        <f t="shared" ca="1" si="201"/>
        <v>Jul</v>
      </c>
      <c r="AA733" s="3" t="str">
        <f t="shared" ca="1" si="202"/>
        <v>Q3</v>
      </c>
      <c r="AB733" s="4" t="str">
        <f t="shared" ca="1" si="203"/>
        <v>Short Haul</v>
      </c>
    </row>
    <row r="734" spans="1:28" x14ac:dyDescent="0.3">
      <c r="A734" s="8" t="str">
        <f t="shared" si="198"/>
        <v>S0733</v>
      </c>
      <c r="B734" s="3">
        <f t="shared" ca="1" si="187"/>
        <v>45864</v>
      </c>
      <c r="C734" s="3" t="str">
        <f ca="1">INDEX(Customers!$A$2:$A$21,RANDBETWEEN(1,20))</f>
        <v>C002</v>
      </c>
      <c r="D734" s="3" t="str">
        <f ca="1">INDEX(Routes!$A$2:$A$31,RANDBETWEEN(1,30))</f>
        <v>R014</v>
      </c>
      <c r="E734" s="3" t="str">
        <f ca="1">INDEX(Vehicles!$A$2:$A$21,RANDBETWEEN(1,20))</f>
        <v>V002</v>
      </c>
      <c r="F734" s="3" t="str">
        <f ca="1">INDEX(Drivers!$A$2:$A$31,RANDBETWEEN(1,30))</f>
        <v>D028</v>
      </c>
      <c r="G734" s="3">
        <f t="shared" ca="1" si="188"/>
        <v>26.7</v>
      </c>
      <c r="H734" s="3">
        <f t="shared" ca="1" si="189"/>
        <v>58049</v>
      </c>
      <c r="I734" s="3">
        <f t="shared" ca="1" si="190"/>
        <v>16254</v>
      </c>
      <c r="J734" s="3">
        <f t="shared" ca="1" si="191"/>
        <v>596</v>
      </c>
      <c r="K734" s="3">
        <f t="shared" ca="1" si="192"/>
        <v>10</v>
      </c>
      <c r="L734" s="3">
        <f t="shared" ca="1" si="193"/>
        <v>13</v>
      </c>
      <c r="M734" s="3">
        <f t="shared" ca="1" si="194"/>
        <v>3</v>
      </c>
      <c r="N734" s="3" t="str">
        <f t="shared" ca="1" si="195"/>
        <v>Delayed</v>
      </c>
      <c r="O734" s="3" t="str">
        <f t="shared" ca="1" si="196"/>
        <v>Medium</v>
      </c>
      <c r="P734" s="3">
        <f t="shared" ca="1" si="197"/>
        <v>89</v>
      </c>
      <c r="Q734" s="1" t="str">
        <f ca="1">VLOOKUP(D734,Routes!$A$2:$D$31,2,FALSE)</f>
        <v>Hyderabad</v>
      </c>
      <c r="R734" s="1" t="str">
        <f ca="1">VLOOKUP(D734,Routes!$A$2:$D$31,3,FALSE)</f>
        <v>Nagpur</v>
      </c>
      <c r="S734" s="3">
        <f ca="1">VLOOKUP(D734,Routes!$A$2:$D$31,4,FALSE)</f>
        <v>500</v>
      </c>
      <c r="T734" s="3" t="str">
        <f ca="1">VLOOKUP(E734,Vehicles!$A$2:$D$21,2,FALSE)</f>
        <v>Truck</v>
      </c>
      <c r="U734" s="3">
        <f ca="1">VLOOKUP(E734,Vehicles!$A$2:$D$21,3,FALSE)</f>
        <v>20</v>
      </c>
      <c r="V734" s="3" t="str">
        <f ca="1">VLOOKUP(E734,Vehicles!$A$2:$D$21,4,FALSE)</f>
        <v>Diesel</v>
      </c>
      <c r="W734" s="3">
        <f ca="1">VLOOKUP(V734,Fuel_Rates!$A$2:$B$3,2,FALSE)</f>
        <v>95</v>
      </c>
      <c r="X734" s="3">
        <f t="shared" ca="1" si="199"/>
        <v>116.1</v>
      </c>
      <c r="Y734" s="3">
        <f t="shared" ca="1" si="200"/>
        <v>74899</v>
      </c>
      <c r="Z734" s="3" t="str">
        <f t="shared" ca="1" si="201"/>
        <v>Jul</v>
      </c>
      <c r="AA734" s="3" t="str">
        <f t="shared" ca="1" si="202"/>
        <v>Q3</v>
      </c>
      <c r="AB734" s="4" t="str">
        <f t="shared" ca="1" si="203"/>
        <v>Medium Haul</v>
      </c>
    </row>
    <row r="735" spans="1:28" x14ac:dyDescent="0.3">
      <c r="A735" s="8" t="str">
        <f t="shared" si="198"/>
        <v>S0734</v>
      </c>
      <c r="B735" s="3">
        <f t="shared" ca="1" si="187"/>
        <v>45833</v>
      </c>
      <c r="C735" s="3" t="str">
        <f ca="1">INDEX(Customers!$A$2:$A$21,RANDBETWEEN(1,20))</f>
        <v>C003</v>
      </c>
      <c r="D735" s="3" t="str">
        <f ca="1">INDEX(Routes!$A$2:$A$31,RANDBETWEEN(1,30))</f>
        <v>R017</v>
      </c>
      <c r="E735" s="3" t="str">
        <f ca="1">INDEX(Vehicles!$A$2:$A$21,RANDBETWEEN(1,20))</f>
        <v>V004</v>
      </c>
      <c r="F735" s="3" t="str">
        <f ca="1">INDEX(Drivers!$A$2:$A$31,RANDBETWEEN(1,30))</f>
        <v>D022</v>
      </c>
      <c r="G735" s="3">
        <f t="shared" ca="1" si="188"/>
        <v>24.4</v>
      </c>
      <c r="H735" s="3">
        <f t="shared" ca="1" si="189"/>
        <v>49646</v>
      </c>
      <c r="I735" s="3">
        <f t="shared" ca="1" si="190"/>
        <v>13901</v>
      </c>
      <c r="J735" s="3">
        <f t="shared" ca="1" si="191"/>
        <v>2720</v>
      </c>
      <c r="K735" s="3">
        <f t="shared" ca="1" si="192"/>
        <v>32</v>
      </c>
      <c r="L735" s="3">
        <f t="shared" ca="1" si="193"/>
        <v>36</v>
      </c>
      <c r="M735" s="3">
        <f t="shared" ca="1" si="194"/>
        <v>4</v>
      </c>
      <c r="N735" s="3" t="str">
        <f t="shared" ca="1" si="195"/>
        <v>Delayed</v>
      </c>
      <c r="O735" s="3" t="str">
        <f t="shared" ca="1" si="196"/>
        <v>Low</v>
      </c>
      <c r="P735" s="3">
        <f t="shared" ca="1" si="197"/>
        <v>81.3</v>
      </c>
      <c r="Q735" s="1" t="str">
        <f ca="1">VLOOKUP(D735,Routes!$A$2:$D$31,2,FALSE)</f>
        <v>Kolkata</v>
      </c>
      <c r="R735" s="1" t="str">
        <f ca="1">VLOOKUP(D735,Routes!$A$2:$D$31,3,FALSE)</f>
        <v>Patna</v>
      </c>
      <c r="S735" s="3">
        <f ca="1">VLOOKUP(D735,Routes!$A$2:$D$31,4,FALSE)</f>
        <v>620</v>
      </c>
      <c r="T735" s="3" t="str">
        <f ca="1">VLOOKUP(E735,Vehicles!$A$2:$D$21,2,FALSE)</f>
        <v>Trailer</v>
      </c>
      <c r="U735" s="3">
        <f ca="1">VLOOKUP(E735,Vehicles!$A$2:$D$21,3,FALSE)</f>
        <v>28</v>
      </c>
      <c r="V735" s="3" t="str">
        <f ca="1">VLOOKUP(E735,Vehicles!$A$2:$D$21,4,FALSE)</f>
        <v>Diesel</v>
      </c>
      <c r="W735" s="3">
        <f ca="1">VLOOKUP(V735,Fuel_Rates!$A$2:$B$3,2,FALSE)</f>
        <v>95</v>
      </c>
      <c r="X735" s="3">
        <f t="shared" ca="1" si="199"/>
        <v>80.069999999999993</v>
      </c>
      <c r="Y735" s="3">
        <f t="shared" ca="1" si="200"/>
        <v>66267</v>
      </c>
      <c r="Z735" s="3" t="str">
        <f t="shared" ca="1" si="201"/>
        <v>Jun</v>
      </c>
      <c r="AA735" s="3" t="str">
        <f t="shared" ca="1" si="202"/>
        <v>Q2</v>
      </c>
      <c r="AB735" s="4" t="str">
        <f t="shared" ca="1" si="203"/>
        <v>Medium Haul</v>
      </c>
    </row>
    <row r="736" spans="1:28" x14ac:dyDescent="0.3">
      <c r="A736" s="8" t="str">
        <f t="shared" si="198"/>
        <v>S0735</v>
      </c>
      <c r="B736" s="3">
        <f t="shared" ca="1" si="187"/>
        <v>45677</v>
      </c>
      <c r="C736" s="3" t="str">
        <f ca="1">INDEX(Customers!$A$2:$A$21,RANDBETWEEN(1,20))</f>
        <v>C013</v>
      </c>
      <c r="D736" s="3" t="str">
        <f ca="1">INDEX(Routes!$A$2:$A$31,RANDBETWEEN(1,30))</f>
        <v>R020</v>
      </c>
      <c r="E736" s="3" t="str">
        <f ca="1">INDEX(Vehicles!$A$2:$A$21,RANDBETWEEN(1,20))</f>
        <v>V004</v>
      </c>
      <c r="F736" s="3" t="str">
        <f ca="1">INDEX(Drivers!$A$2:$A$31,RANDBETWEEN(1,30))</f>
        <v>D024</v>
      </c>
      <c r="G736" s="3">
        <f t="shared" ca="1" si="188"/>
        <v>12</v>
      </c>
      <c r="H736" s="3">
        <f t="shared" ca="1" si="189"/>
        <v>29076</v>
      </c>
      <c r="I736" s="3">
        <f t="shared" ca="1" si="190"/>
        <v>8141</v>
      </c>
      <c r="J736" s="3">
        <f t="shared" ca="1" si="191"/>
        <v>2161</v>
      </c>
      <c r="K736" s="3">
        <f t="shared" ca="1" si="192"/>
        <v>7</v>
      </c>
      <c r="L736" s="3">
        <f t="shared" ca="1" si="193"/>
        <v>8</v>
      </c>
      <c r="M736" s="3">
        <f t="shared" ca="1" si="194"/>
        <v>1</v>
      </c>
      <c r="N736" s="3" t="str">
        <f t="shared" ca="1" si="195"/>
        <v>On Time</v>
      </c>
      <c r="O736" s="3" t="str">
        <f t="shared" ca="1" si="196"/>
        <v>High</v>
      </c>
      <c r="P736" s="3">
        <f t="shared" ca="1" si="197"/>
        <v>40</v>
      </c>
      <c r="Q736" s="1" t="str">
        <f ca="1">VLOOKUP(D736,Routes!$A$2:$D$31,2,FALSE)</f>
        <v>Pune</v>
      </c>
      <c r="R736" s="1" t="str">
        <f ca="1">VLOOKUP(D736,Routes!$A$2:$D$31,3,FALSE)</f>
        <v>Nagpur</v>
      </c>
      <c r="S736" s="3">
        <f ca="1">VLOOKUP(D736,Routes!$A$2:$D$31,4,FALSE)</f>
        <v>720</v>
      </c>
      <c r="T736" s="3" t="str">
        <f ca="1">VLOOKUP(E736,Vehicles!$A$2:$D$21,2,FALSE)</f>
        <v>Trailer</v>
      </c>
      <c r="U736" s="3">
        <f ca="1">VLOOKUP(E736,Vehicles!$A$2:$D$21,3,FALSE)</f>
        <v>28</v>
      </c>
      <c r="V736" s="3" t="str">
        <f ca="1">VLOOKUP(E736,Vehicles!$A$2:$D$21,4,FALSE)</f>
        <v>Diesel</v>
      </c>
      <c r="W736" s="3">
        <f ca="1">VLOOKUP(V736,Fuel_Rates!$A$2:$B$3,2,FALSE)</f>
        <v>95</v>
      </c>
      <c r="X736" s="3">
        <f t="shared" ca="1" si="199"/>
        <v>40.380000000000003</v>
      </c>
      <c r="Y736" s="3">
        <f t="shared" ca="1" si="200"/>
        <v>39378</v>
      </c>
      <c r="Z736" s="3" t="str">
        <f t="shared" ca="1" si="201"/>
        <v>Jan</v>
      </c>
      <c r="AA736" s="3" t="str">
        <f t="shared" ca="1" si="202"/>
        <v>Q1</v>
      </c>
      <c r="AB736" s="4" t="str">
        <f t="shared" ca="1" si="203"/>
        <v>Medium Haul</v>
      </c>
    </row>
    <row r="737" spans="1:28" x14ac:dyDescent="0.3">
      <c r="A737" s="8" t="str">
        <f t="shared" si="198"/>
        <v>S0736</v>
      </c>
      <c r="B737" s="3">
        <f t="shared" ca="1" si="187"/>
        <v>45920</v>
      </c>
      <c r="C737" s="3" t="str">
        <f ca="1">INDEX(Customers!$A$2:$A$21,RANDBETWEEN(1,20))</f>
        <v>C020</v>
      </c>
      <c r="D737" s="3" t="str">
        <f ca="1">INDEX(Routes!$A$2:$A$31,RANDBETWEEN(1,30))</f>
        <v>R008</v>
      </c>
      <c r="E737" s="3" t="str">
        <f ca="1">INDEX(Vehicles!$A$2:$A$21,RANDBETWEEN(1,20))</f>
        <v>V003</v>
      </c>
      <c r="F737" s="3" t="str">
        <f ca="1">INDEX(Drivers!$A$2:$A$31,RANDBETWEEN(1,30))</f>
        <v>D029</v>
      </c>
      <c r="G737" s="3">
        <f t="shared" ca="1" si="188"/>
        <v>12</v>
      </c>
      <c r="H737" s="3">
        <f t="shared" ca="1" si="189"/>
        <v>34198</v>
      </c>
      <c r="I737" s="3">
        <f t="shared" ca="1" si="190"/>
        <v>9575</v>
      </c>
      <c r="J737" s="3">
        <f t="shared" ca="1" si="191"/>
        <v>3126</v>
      </c>
      <c r="K737" s="3">
        <f t="shared" ca="1" si="192"/>
        <v>24</v>
      </c>
      <c r="L737" s="3">
        <f t="shared" ca="1" si="193"/>
        <v>31</v>
      </c>
      <c r="M737" s="3">
        <f t="shared" ca="1" si="194"/>
        <v>7</v>
      </c>
      <c r="N737" s="3" t="str">
        <f t="shared" ca="1" si="195"/>
        <v>Delayed</v>
      </c>
      <c r="O737" s="3" t="str">
        <f t="shared" ca="1" si="196"/>
        <v>Low</v>
      </c>
      <c r="P737" s="3">
        <f t="shared" ca="1" si="197"/>
        <v>40</v>
      </c>
      <c r="Q737" s="1" t="str">
        <f ca="1">VLOOKUP(D737,Routes!$A$2:$D$31,2,FALSE)</f>
        <v>Delhi</v>
      </c>
      <c r="R737" s="1" t="str">
        <f ca="1">VLOOKUP(D737,Routes!$A$2:$D$31,3,FALSE)</f>
        <v>Kolkata</v>
      </c>
      <c r="S737" s="3">
        <f ca="1">VLOOKUP(D737,Routes!$A$2:$D$31,4,FALSE)</f>
        <v>1500</v>
      </c>
      <c r="T737" s="3" t="str">
        <f ca="1">VLOOKUP(E737,Vehicles!$A$2:$D$21,2,FALSE)</f>
        <v>Truck</v>
      </c>
      <c r="U737" s="3">
        <f ca="1">VLOOKUP(E737,Vehicles!$A$2:$D$21,3,FALSE)</f>
        <v>25</v>
      </c>
      <c r="V737" s="3" t="str">
        <f ca="1">VLOOKUP(E737,Vehicles!$A$2:$D$21,4,FALSE)</f>
        <v>Diesel</v>
      </c>
      <c r="W737" s="3">
        <f ca="1">VLOOKUP(V737,Fuel_Rates!$A$2:$B$3,2,FALSE)</f>
        <v>95</v>
      </c>
      <c r="X737" s="3">
        <f t="shared" ca="1" si="199"/>
        <v>22.8</v>
      </c>
      <c r="Y737" s="3">
        <f t="shared" ca="1" si="200"/>
        <v>46899</v>
      </c>
      <c r="Z737" s="3" t="str">
        <f t="shared" ca="1" si="201"/>
        <v>Sep</v>
      </c>
      <c r="AA737" s="3" t="str">
        <f t="shared" ca="1" si="202"/>
        <v>Q3</v>
      </c>
      <c r="AB737" s="4" t="str">
        <f t="shared" ca="1" si="203"/>
        <v>Long Haul</v>
      </c>
    </row>
    <row r="738" spans="1:28" x14ac:dyDescent="0.3">
      <c r="A738" s="8" t="str">
        <f t="shared" si="198"/>
        <v>S0737</v>
      </c>
      <c r="B738" s="3">
        <f t="shared" ca="1" si="187"/>
        <v>45921</v>
      </c>
      <c r="C738" s="3" t="str">
        <f ca="1">INDEX(Customers!$A$2:$A$21,RANDBETWEEN(1,20))</f>
        <v>C007</v>
      </c>
      <c r="D738" s="3" t="str">
        <f ca="1">INDEX(Routes!$A$2:$A$31,RANDBETWEEN(1,30))</f>
        <v>R004</v>
      </c>
      <c r="E738" s="3" t="str">
        <f ca="1">INDEX(Vehicles!$A$2:$A$21,RANDBETWEEN(1,20))</f>
        <v>V007</v>
      </c>
      <c r="F738" s="3" t="str">
        <f ca="1">INDEX(Drivers!$A$2:$A$31,RANDBETWEEN(1,30))</f>
        <v>D002</v>
      </c>
      <c r="G738" s="3">
        <f t="shared" ca="1" si="188"/>
        <v>13.2</v>
      </c>
      <c r="H738" s="3">
        <f t="shared" ca="1" si="189"/>
        <v>38332</v>
      </c>
      <c r="I738" s="3">
        <f t="shared" ca="1" si="190"/>
        <v>10733</v>
      </c>
      <c r="J738" s="3">
        <f t="shared" ca="1" si="191"/>
        <v>1221</v>
      </c>
      <c r="K738" s="3">
        <f t="shared" ca="1" si="192"/>
        <v>31</v>
      </c>
      <c r="L738" s="3">
        <f t="shared" ca="1" si="193"/>
        <v>39</v>
      </c>
      <c r="M738" s="3">
        <f t="shared" ca="1" si="194"/>
        <v>8</v>
      </c>
      <c r="N738" s="3" t="str">
        <f t="shared" ca="1" si="195"/>
        <v>Delayed</v>
      </c>
      <c r="O738" s="3" t="str">
        <f t="shared" ca="1" si="196"/>
        <v>Medium</v>
      </c>
      <c r="P738" s="3">
        <f t="shared" ca="1" si="197"/>
        <v>44</v>
      </c>
      <c r="Q738" s="1" t="str">
        <f ca="1">VLOOKUP(D738,Routes!$A$2:$D$31,2,FALSE)</f>
        <v>Mumbai</v>
      </c>
      <c r="R738" s="1" t="str">
        <f ca="1">VLOOKUP(D738,Routes!$A$2:$D$31,3,FALSE)</f>
        <v>Bengaluru</v>
      </c>
      <c r="S738" s="3">
        <f ca="1">VLOOKUP(D738,Routes!$A$2:$D$31,4,FALSE)</f>
        <v>980</v>
      </c>
      <c r="T738" s="3" t="str">
        <f ca="1">VLOOKUP(E738,Vehicles!$A$2:$D$21,2,FALSE)</f>
        <v>Container</v>
      </c>
      <c r="U738" s="3">
        <f ca="1">VLOOKUP(E738,Vehicles!$A$2:$D$21,3,FALSE)</f>
        <v>20</v>
      </c>
      <c r="V738" s="3" t="str">
        <f ca="1">VLOOKUP(E738,Vehicles!$A$2:$D$21,4,FALSE)</f>
        <v>Diesel</v>
      </c>
      <c r="W738" s="3">
        <f ca="1">VLOOKUP(V738,Fuel_Rates!$A$2:$B$3,2,FALSE)</f>
        <v>95</v>
      </c>
      <c r="X738" s="3">
        <f t="shared" ca="1" si="199"/>
        <v>39.11</v>
      </c>
      <c r="Y738" s="3">
        <f t="shared" ca="1" si="200"/>
        <v>50286</v>
      </c>
      <c r="Z738" s="3" t="str">
        <f t="shared" ca="1" si="201"/>
        <v>Sep</v>
      </c>
      <c r="AA738" s="3" t="str">
        <f t="shared" ca="1" si="202"/>
        <v>Q3</v>
      </c>
      <c r="AB738" s="4" t="str">
        <f t="shared" ca="1" si="203"/>
        <v>Long Haul</v>
      </c>
    </row>
    <row r="739" spans="1:28" x14ac:dyDescent="0.3">
      <c r="A739" s="8" t="str">
        <f t="shared" si="198"/>
        <v>S0738</v>
      </c>
      <c r="B739" s="3">
        <f t="shared" ca="1" si="187"/>
        <v>45848</v>
      </c>
      <c r="C739" s="3" t="str">
        <f ca="1">INDEX(Customers!$A$2:$A$21,RANDBETWEEN(1,20))</f>
        <v>C008</v>
      </c>
      <c r="D739" s="3" t="str">
        <f ca="1">INDEX(Routes!$A$2:$A$31,RANDBETWEEN(1,30))</f>
        <v>R006</v>
      </c>
      <c r="E739" s="3" t="str">
        <f ca="1">INDEX(Vehicles!$A$2:$A$21,RANDBETWEEN(1,20))</f>
        <v>V004</v>
      </c>
      <c r="F739" s="3" t="str">
        <f ca="1">INDEX(Drivers!$A$2:$A$31,RANDBETWEEN(1,30))</f>
        <v>D016</v>
      </c>
      <c r="G739" s="3">
        <f t="shared" ca="1" si="188"/>
        <v>8.5</v>
      </c>
      <c r="H739" s="3">
        <f t="shared" ca="1" si="189"/>
        <v>22350</v>
      </c>
      <c r="I739" s="3">
        <f t="shared" ca="1" si="190"/>
        <v>6258</v>
      </c>
      <c r="J739" s="3">
        <f t="shared" ca="1" si="191"/>
        <v>2667</v>
      </c>
      <c r="K739" s="3">
        <f t="shared" ca="1" si="192"/>
        <v>13</v>
      </c>
      <c r="L739" s="3">
        <f t="shared" ca="1" si="193"/>
        <v>20</v>
      </c>
      <c r="M739" s="3">
        <f t="shared" ca="1" si="194"/>
        <v>7</v>
      </c>
      <c r="N739" s="3" t="str">
        <f t="shared" ca="1" si="195"/>
        <v>Delayed</v>
      </c>
      <c r="O739" s="3" t="str">
        <f t="shared" ca="1" si="196"/>
        <v>Low</v>
      </c>
      <c r="P739" s="3">
        <f t="shared" ca="1" si="197"/>
        <v>28.3</v>
      </c>
      <c r="Q739" s="1" t="str">
        <f ca="1">VLOOKUP(D739,Routes!$A$2:$D$31,2,FALSE)</f>
        <v>Delhi</v>
      </c>
      <c r="R739" s="1" t="str">
        <f ca="1">VLOOKUP(D739,Routes!$A$2:$D$31,3,FALSE)</f>
        <v>Lucknow</v>
      </c>
      <c r="S739" s="3">
        <f ca="1">VLOOKUP(D739,Routes!$A$2:$D$31,4,FALSE)</f>
        <v>550</v>
      </c>
      <c r="T739" s="3" t="str">
        <f ca="1">VLOOKUP(E739,Vehicles!$A$2:$D$21,2,FALSE)</f>
        <v>Trailer</v>
      </c>
      <c r="U739" s="3">
        <f ca="1">VLOOKUP(E739,Vehicles!$A$2:$D$21,3,FALSE)</f>
        <v>28</v>
      </c>
      <c r="V739" s="3" t="str">
        <f ca="1">VLOOKUP(E739,Vehicles!$A$2:$D$21,4,FALSE)</f>
        <v>Diesel</v>
      </c>
      <c r="W739" s="3">
        <f ca="1">VLOOKUP(V739,Fuel_Rates!$A$2:$B$3,2,FALSE)</f>
        <v>95</v>
      </c>
      <c r="X739" s="3">
        <f t="shared" ca="1" si="199"/>
        <v>40.64</v>
      </c>
      <c r="Y739" s="3">
        <f t="shared" ca="1" si="200"/>
        <v>31275</v>
      </c>
      <c r="Z739" s="3" t="str">
        <f t="shared" ca="1" si="201"/>
        <v>Jul</v>
      </c>
      <c r="AA739" s="3" t="str">
        <f t="shared" ca="1" si="202"/>
        <v>Q3</v>
      </c>
      <c r="AB739" s="4" t="str">
        <f t="shared" ca="1" si="203"/>
        <v>Medium Haul</v>
      </c>
    </row>
    <row r="740" spans="1:28" x14ac:dyDescent="0.3">
      <c r="A740" s="8" t="str">
        <f t="shared" si="198"/>
        <v>S0739</v>
      </c>
      <c r="B740" s="3">
        <f t="shared" ca="1" si="187"/>
        <v>45794</v>
      </c>
      <c r="C740" s="3" t="str">
        <f ca="1">INDEX(Customers!$A$2:$A$21,RANDBETWEEN(1,20))</f>
        <v>C013</v>
      </c>
      <c r="D740" s="3" t="str">
        <f ca="1">INDEX(Routes!$A$2:$A$31,RANDBETWEEN(1,30))</f>
        <v>R004</v>
      </c>
      <c r="E740" s="3" t="str">
        <f ca="1">INDEX(Vehicles!$A$2:$A$21,RANDBETWEEN(1,20))</f>
        <v>V006</v>
      </c>
      <c r="F740" s="3" t="str">
        <f ca="1">INDEX(Drivers!$A$2:$A$31,RANDBETWEEN(1,30))</f>
        <v>D017</v>
      </c>
      <c r="G740" s="3">
        <f t="shared" ca="1" si="188"/>
        <v>15.1</v>
      </c>
      <c r="H740" s="3">
        <f t="shared" ca="1" si="189"/>
        <v>33064</v>
      </c>
      <c r="I740" s="3">
        <f t="shared" ca="1" si="190"/>
        <v>9258</v>
      </c>
      <c r="J740" s="3">
        <f t="shared" ca="1" si="191"/>
        <v>796</v>
      </c>
      <c r="K740" s="3">
        <f t="shared" ca="1" si="192"/>
        <v>8</v>
      </c>
      <c r="L740" s="3">
        <f t="shared" ca="1" si="193"/>
        <v>9</v>
      </c>
      <c r="M740" s="3">
        <f t="shared" ca="1" si="194"/>
        <v>1</v>
      </c>
      <c r="N740" s="3" t="str">
        <f t="shared" ca="1" si="195"/>
        <v>On Time</v>
      </c>
      <c r="O740" s="3" t="str">
        <f t="shared" ca="1" si="196"/>
        <v>Low</v>
      </c>
      <c r="P740" s="3">
        <f t="shared" ca="1" si="197"/>
        <v>50.3</v>
      </c>
      <c r="Q740" s="1" t="str">
        <f ca="1">VLOOKUP(D740,Routes!$A$2:$D$31,2,FALSE)</f>
        <v>Mumbai</v>
      </c>
      <c r="R740" s="1" t="str">
        <f ca="1">VLOOKUP(D740,Routes!$A$2:$D$31,3,FALSE)</f>
        <v>Bengaluru</v>
      </c>
      <c r="S740" s="3">
        <f ca="1">VLOOKUP(D740,Routes!$A$2:$D$31,4,FALSE)</f>
        <v>980</v>
      </c>
      <c r="T740" s="3" t="str">
        <f ca="1">VLOOKUP(E740,Vehicles!$A$2:$D$21,2,FALSE)</f>
        <v>Container</v>
      </c>
      <c r="U740" s="3">
        <f ca="1">VLOOKUP(E740,Vehicles!$A$2:$D$21,3,FALSE)</f>
        <v>18</v>
      </c>
      <c r="V740" s="3" t="str">
        <f ca="1">VLOOKUP(E740,Vehicles!$A$2:$D$21,4,FALSE)</f>
        <v>Diesel</v>
      </c>
      <c r="W740" s="3">
        <f ca="1">VLOOKUP(V740,Fuel_Rates!$A$2:$B$3,2,FALSE)</f>
        <v>95</v>
      </c>
      <c r="X740" s="3">
        <f t="shared" ca="1" si="199"/>
        <v>33.74</v>
      </c>
      <c r="Y740" s="3">
        <f t="shared" ca="1" si="200"/>
        <v>43118</v>
      </c>
      <c r="Z740" s="3" t="str">
        <f t="shared" ca="1" si="201"/>
        <v>May</v>
      </c>
      <c r="AA740" s="3" t="str">
        <f t="shared" ca="1" si="202"/>
        <v>Q2</v>
      </c>
      <c r="AB740" s="4" t="str">
        <f t="shared" ca="1" si="203"/>
        <v>Long Haul</v>
      </c>
    </row>
    <row r="741" spans="1:28" x14ac:dyDescent="0.3">
      <c r="A741" s="8" t="str">
        <f t="shared" si="198"/>
        <v>S0740</v>
      </c>
      <c r="B741" s="3">
        <f t="shared" ca="1" si="187"/>
        <v>45767</v>
      </c>
      <c r="C741" s="3" t="str">
        <f ca="1">INDEX(Customers!$A$2:$A$21,RANDBETWEEN(1,20))</f>
        <v>C008</v>
      </c>
      <c r="D741" s="3" t="str">
        <f ca="1">INDEX(Routes!$A$2:$A$31,RANDBETWEEN(1,30))</f>
        <v>R014</v>
      </c>
      <c r="E741" s="3" t="str">
        <f ca="1">INDEX(Vehicles!$A$2:$A$21,RANDBETWEEN(1,20))</f>
        <v>V004</v>
      </c>
      <c r="F741" s="3" t="str">
        <f ca="1">INDEX(Drivers!$A$2:$A$31,RANDBETWEEN(1,30))</f>
        <v>D030</v>
      </c>
      <c r="G741" s="3">
        <f t="shared" ca="1" si="188"/>
        <v>9.8000000000000007</v>
      </c>
      <c r="H741" s="3">
        <f t="shared" ca="1" si="189"/>
        <v>31320</v>
      </c>
      <c r="I741" s="3">
        <f t="shared" ca="1" si="190"/>
        <v>8770</v>
      </c>
      <c r="J741" s="3">
        <f t="shared" ca="1" si="191"/>
        <v>929</v>
      </c>
      <c r="K741" s="3">
        <f t="shared" ca="1" si="192"/>
        <v>15</v>
      </c>
      <c r="L741" s="3">
        <f t="shared" ca="1" si="193"/>
        <v>17</v>
      </c>
      <c r="M741" s="3">
        <f t="shared" ca="1" si="194"/>
        <v>2</v>
      </c>
      <c r="N741" s="3" t="str">
        <f t="shared" ca="1" si="195"/>
        <v>On Time</v>
      </c>
      <c r="O741" s="3" t="str">
        <f t="shared" ca="1" si="196"/>
        <v>Medium</v>
      </c>
      <c r="P741" s="3">
        <f t="shared" ca="1" si="197"/>
        <v>32.700000000000003</v>
      </c>
      <c r="Q741" s="1" t="str">
        <f ca="1">VLOOKUP(D741,Routes!$A$2:$D$31,2,FALSE)</f>
        <v>Hyderabad</v>
      </c>
      <c r="R741" s="1" t="str">
        <f ca="1">VLOOKUP(D741,Routes!$A$2:$D$31,3,FALSE)</f>
        <v>Nagpur</v>
      </c>
      <c r="S741" s="3">
        <f ca="1">VLOOKUP(D741,Routes!$A$2:$D$31,4,FALSE)</f>
        <v>500</v>
      </c>
      <c r="T741" s="3" t="str">
        <f ca="1">VLOOKUP(E741,Vehicles!$A$2:$D$21,2,FALSE)</f>
        <v>Trailer</v>
      </c>
      <c r="U741" s="3">
        <f ca="1">VLOOKUP(E741,Vehicles!$A$2:$D$21,3,FALSE)</f>
        <v>28</v>
      </c>
      <c r="V741" s="3" t="str">
        <f ca="1">VLOOKUP(E741,Vehicles!$A$2:$D$21,4,FALSE)</f>
        <v>Diesel</v>
      </c>
      <c r="W741" s="3">
        <f ca="1">VLOOKUP(V741,Fuel_Rates!$A$2:$B$3,2,FALSE)</f>
        <v>95</v>
      </c>
      <c r="X741" s="3">
        <f t="shared" ca="1" si="199"/>
        <v>62.64</v>
      </c>
      <c r="Y741" s="3">
        <f t="shared" ca="1" si="200"/>
        <v>41019</v>
      </c>
      <c r="Z741" s="3" t="str">
        <f t="shared" ca="1" si="201"/>
        <v>Apr</v>
      </c>
      <c r="AA741" s="3" t="str">
        <f t="shared" ca="1" si="202"/>
        <v>Q2</v>
      </c>
      <c r="AB741" s="4" t="str">
        <f t="shared" ca="1" si="203"/>
        <v>Medium Haul</v>
      </c>
    </row>
    <row r="742" spans="1:28" x14ac:dyDescent="0.3">
      <c r="A742" s="8" t="str">
        <f t="shared" si="198"/>
        <v>S0741</v>
      </c>
      <c r="B742" s="3">
        <f t="shared" ca="1" si="187"/>
        <v>45848</v>
      </c>
      <c r="C742" s="3" t="str">
        <f ca="1">INDEX(Customers!$A$2:$A$21,RANDBETWEEN(1,20))</f>
        <v>C008</v>
      </c>
      <c r="D742" s="3" t="str">
        <f ca="1">INDEX(Routes!$A$2:$A$31,RANDBETWEEN(1,30))</f>
        <v>R029</v>
      </c>
      <c r="E742" s="3" t="str">
        <f ca="1">INDEX(Vehicles!$A$2:$A$21,RANDBETWEEN(1,20))</f>
        <v>V012</v>
      </c>
      <c r="F742" s="3" t="str">
        <f ca="1">INDEX(Drivers!$A$2:$A$31,RANDBETWEEN(1,30))</f>
        <v>D012</v>
      </c>
      <c r="G742" s="3">
        <f t="shared" ca="1" si="188"/>
        <v>15.9</v>
      </c>
      <c r="H742" s="3">
        <f t="shared" ca="1" si="189"/>
        <v>35791</v>
      </c>
      <c r="I742" s="3">
        <f t="shared" ca="1" si="190"/>
        <v>10021</v>
      </c>
      <c r="J742" s="3">
        <f t="shared" ca="1" si="191"/>
        <v>681</v>
      </c>
      <c r="K742" s="3">
        <f t="shared" ca="1" si="192"/>
        <v>45</v>
      </c>
      <c r="L742" s="3">
        <f t="shared" ca="1" si="193"/>
        <v>52</v>
      </c>
      <c r="M742" s="3">
        <f t="shared" ca="1" si="194"/>
        <v>7</v>
      </c>
      <c r="N742" s="3" t="str">
        <f t="shared" ca="1" si="195"/>
        <v>Delayed</v>
      </c>
      <c r="O742" s="3" t="str">
        <f t="shared" ca="1" si="196"/>
        <v>Medium</v>
      </c>
      <c r="P742" s="3">
        <f t="shared" ca="1" si="197"/>
        <v>53</v>
      </c>
      <c r="Q742" s="1" t="str">
        <f ca="1">VLOOKUP(D742,Routes!$A$2:$D$31,2,FALSE)</f>
        <v>Chandigarh</v>
      </c>
      <c r="R742" s="1" t="str">
        <f ca="1">VLOOKUP(D742,Routes!$A$2:$D$31,3,FALSE)</f>
        <v>Delhi</v>
      </c>
      <c r="S742" s="3">
        <f ca="1">VLOOKUP(D742,Routes!$A$2:$D$31,4,FALSE)</f>
        <v>250</v>
      </c>
      <c r="T742" s="3" t="str">
        <f ca="1">VLOOKUP(E742,Vehicles!$A$2:$D$21,2,FALSE)</f>
        <v>Truck</v>
      </c>
      <c r="U742" s="3">
        <f ca="1">VLOOKUP(E742,Vehicles!$A$2:$D$21,3,FALSE)</f>
        <v>20</v>
      </c>
      <c r="V742" s="3" t="str">
        <f ca="1">VLOOKUP(E742,Vehicles!$A$2:$D$21,4,FALSE)</f>
        <v>CNG</v>
      </c>
      <c r="W742" s="3">
        <f ca="1">VLOOKUP(V742,Fuel_Rates!$A$2:$B$3,2,FALSE)</f>
        <v>78</v>
      </c>
      <c r="X742" s="3">
        <f t="shared" ca="1" si="199"/>
        <v>143.16</v>
      </c>
      <c r="Y742" s="3">
        <f t="shared" ca="1" si="200"/>
        <v>46493</v>
      </c>
      <c r="Z742" s="3" t="str">
        <f t="shared" ca="1" si="201"/>
        <v>Jul</v>
      </c>
      <c r="AA742" s="3" t="str">
        <f t="shared" ca="1" si="202"/>
        <v>Q3</v>
      </c>
      <c r="AB742" s="4" t="str">
        <f t="shared" ca="1" si="203"/>
        <v>Short Haul</v>
      </c>
    </row>
    <row r="743" spans="1:28" x14ac:dyDescent="0.3">
      <c r="A743" s="8" t="str">
        <f t="shared" si="198"/>
        <v>S0742</v>
      </c>
      <c r="B743" s="3">
        <f t="shared" ca="1" si="187"/>
        <v>45856</v>
      </c>
      <c r="C743" s="3" t="str">
        <f ca="1">INDEX(Customers!$A$2:$A$21,RANDBETWEEN(1,20))</f>
        <v>C003</v>
      </c>
      <c r="D743" s="3" t="str">
        <f ca="1">INDEX(Routes!$A$2:$A$31,RANDBETWEEN(1,30))</f>
        <v>R022</v>
      </c>
      <c r="E743" s="3" t="str">
        <f ca="1">INDEX(Vehicles!$A$2:$A$21,RANDBETWEEN(1,20))</f>
        <v>V004</v>
      </c>
      <c r="F743" s="3" t="str">
        <f ca="1">INDEX(Drivers!$A$2:$A$31,RANDBETWEEN(1,30))</f>
        <v>D015</v>
      </c>
      <c r="G743" s="3">
        <f t="shared" ca="1" si="188"/>
        <v>3.9</v>
      </c>
      <c r="H743" s="3">
        <f t="shared" ca="1" si="189"/>
        <v>15428</v>
      </c>
      <c r="I743" s="3">
        <f t="shared" ca="1" si="190"/>
        <v>4320</v>
      </c>
      <c r="J743" s="3">
        <f t="shared" ca="1" si="191"/>
        <v>3571</v>
      </c>
      <c r="K743" s="3">
        <f t="shared" ca="1" si="192"/>
        <v>17</v>
      </c>
      <c r="L743" s="3">
        <f t="shared" ca="1" si="193"/>
        <v>23</v>
      </c>
      <c r="M743" s="3">
        <f t="shared" ca="1" si="194"/>
        <v>6</v>
      </c>
      <c r="N743" s="3" t="str">
        <f t="shared" ca="1" si="195"/>
        <v>Delayed</v>
      </c>
      <c r="O743" s="3" t="str">
        <f t="shared" ca="1" si="196"/>
        <v>High</v>
      </c>
      <c r="P743" s="3">
        <f t="shared" ca="1" si="197"/>
        <v>13</v>
      </c>
      <c r="Q743" s="1" t="str">
        <f ca="1">VLOOKUP(D743,Routes!$A$2:$D$31,2,FALSE)</f>
        <v>Jaipur</v>
      </c>
      <c r="R743" s="1" t="str">
        <f ca="1">VLOOKUP(D743,Routes!$A$2:$D$31,3,FALSE)</f>
        <v>Indore</v>
      </c>
      <c r="S743" s="3">
        <f ca="1">VLOOKUP(D743,Routes!$A$2:$D$31,4,FALSE)</f>
        <v>600</v>
      </c>
      <c r="T743" s="3" t="str">
        <f ca="1">VLOOKUP(E743,Vehicles!$A$2:$D$21,2,FALSE)</f>
        <v>Trailer</v>
      </c>
      <c r="U743" s="3">
        <f ca="1">VLOOKUP(E743,Vehicles!$A$2:$D$21,3,FALSE)</f>
        <v>28</v>
      </c>
      <c r="V743" s="3" t="str">
        <f ca="1">VLOOKUP(E743,Vehicles!$A$2:$D$21,4,FALSE)</f>
        <v>Diesel</v>
      </c>
      <c r="W743" s="3">
        <f ca="1">VLOOKUP(V743,Fuel_Rates!$A$2:$B$3,2,FALSE)</f>
        <v>95</v>
      </c>
      <c r="X743" s="3">
        <f t="shared" ca="1" si="199"/>
        <v>25.71</v>
      </c>
      <c r="Y743" s="3">
        <f t="shared" ca="1" si="200"/>
        <v>23319</v>
      </c>
      <c r="Z743" s="3" t="str">
        <f t="shared" ca="1" si="201"/>
        <v>Jul</v>
      </c>
      <c r="AA743" s="3" t="str">
        <f t="shared" ca="1" si="202"/>
        <v>Q3</v>
      </c>
      <c r="AB743" s="4" t="str">
        <f t="shared" ca="1" si="203"/>
        <v>Medium Haul</v>
      </c>
    </row>
    <row r="744" spans="1:28" x14ac:dyDescent="0.3">
      <c r="A744" s="8" t="str">
        <f t="shared" si="198"/>
        <v>S0743</v>
      </c>
      <c r="B744" s="3">
        <f t="shared" ca="1" si="187"/>
        <v>45702</v>
      </c>
      <c r="C744" s="3" t="str">
        <f ca="1">INDEX(Customers!$A$2:$A$21,RANDBETWEEN(1,20))</f>
        <v>C020</v>
      </c>
      <c r="D744" s="3" t="str">
        <f ca="1">INDEX(Routes!$A$2:$A$31,RANDBETWEEN(1,30))</f>
        <v>R018</v>
      </c>
      <c r="E744" s="3" t="str">
        <f ca="1">INDEX(Vehicles!$A$2:$A$21,RANDBETWEEN(1,20))</f>
        <v>V007</v>
      </c>
      <c r="F744" s="3" t="str">
        <f ca="1">INDEX(Drivers!$A$2:$A$31,RANDBETWEEN(1,30))</f>
        <v>D019</v>
      </c>
      <c r="G744" s="3">
        <f t="shared" ca="1" si="188"/>
        <v>2.2000000000000002</v>
      </c>
      <c r="H744" s="3">
        <f t="shared" ca="1" si="189"/>
        <v>11574</v>
      </c>
      <c r="I744" s="3">
        <f t="shared" ca="1" si="190"/>
        <v>3241</v>
      </c>
      <c r="J744" s="3">
        <f t="shared" ca="1" si="191"/>
        <v>949</v>
      </c>
      <c r="K744" s="3">
        <f t="shared" ca="1" si="192"/>
        <v>39</v>
      </c>
      <c r="L744" s="3">
        <f t="shared" ca="1" si="193"/>
        <v>45</v>
      </c>
      <c r="M744" s="3">
        <f t="shared" ca="1" si="194"/>
        <v>6</v>
      </c>
      <c r="N744" s="3" t="str">
        <f t="shared" ca="1" si="195"/>
        <v>Delayed</v>
      </c>
      <c r="O744" s="3" t="str">
        <f t="shared" ca="1" si="196"/>
        <v>Low</v>
      </c>
      <c r="P744" s="3">
        <f t="shared" ca="1" si="197"/>
        <v>7.3</v>
      </c>
      <c r="Q744" s="1" t="str">
        <f ca="1">VLOOKUP(D744,Routes!$A$2:$D$31,2,FALSE)</f>
        <v>Ahmedabad</v>
      </c>
      <c r="R744" s="1" t="str">
        <f ca="1">VLOOKUP(D744,Routes!$A$2:$D$31,3,FALSE)</f>
        <v>Jaipur</v>
      </c>
      <c r="S744" s="3">
        <f ca="1">VLOOKUP(D744,Routes!$A$2:$D$31,4,FALSE)</f>
        <v>670</v>
      </c>
      <c r="T744" s="3" t="str">
        <f ca="1">VLOOKUP(E744,Vehicles!$A$2:$D$21,2,FALSE)</f>
        <v>Container</v>
      </c>
      <c r="U744" s="3">
        <f ca="1">VLOOKUP(E744,Vehicles!$A$2:$D$21,3,FALSE)</f>
        <v>20</v>
      </c>
      <c r="V744" s="3" t="str">
        <f ca="1">VLOOKUP(E744,Vehicles!$A$2:$D$21,4,FALSE)</f>
        <v>Diesel</v>
      </c>
      <c r="W744" s="3">
        <f ca="1">VLOOKUP(V744,Fuel_Rates!$A$2:$B$3,2,FALSE)</f>
        <v>95</v>
      </c>
      <c r="X744" s="3">
        <f t="shared" ca="1" si="199"/>
        <v>17.27</v>
      </c>
      <c r="Y744" s="3">
        <f t="shared" ca="1" si="200"/>
        <v>15764</v>
      </c>
      <c r="Z744" s="3" t="str">
        <f t="shared" ca="1" si="201"/>
        <v>Feb</v>
      </c>
      <c r="AA744" s="3" t="str">
        <f t="shared" ca="1" si="202"/>
        <v>Q1</v>
      </c>
      <c r="AB744" s="4" t="str">
        <f t="shared" ca="1" si="203"/>
        <v>Medium Haul</v>
      </c>
    </row>
    <row r="745" spans="1:28" x14ac:dyDescent="0.3">
      <c r="A745" s="8" t="str">
        <f t="shared" si="198"/>
        <v>S0744</v>
      </c>
      <c r="B745" s="3">
        <f t="shared" ca="1" si="187"/>
        <v>45804</v>
      </c>
      <c r="C745" s="3" t="str">
        <f ca="1">INDEX(Customers!$A$2:$A$21,RANDBETWEEN(1,20))</f>
        <v>C019</v>
      </c>
      <c r="D745" s="3" t="str">
        <f ca="1">INDEX(Routes!$A$2:$A$31,RANDBETWEEN(1,30))</f>
        <v>R003</v>
      </c>
      <c r="E745" s="3" t="str">
        <f ca="1">INDEX(Vehicles!$A$2:$A$21,RANDBETWEEN(1,20))</f>
        <v>V012</v>
      </c>
      <c r="F745" s="3" t="str">
        <f ca="1">INDEX(Drivers!$A$2:$A$31,RANDBETWEEN(1,30))</f>
        <v>D015</v>
      </c>
      <c r="G745" s="3">
        <f t="shared" ca="1" si="188"/>
        <v>28.6</v>
      </c>
      <c r="H745" s="3">
        <f t="shared" ca="1" si="189"/>
        <v>64734</v>
      </c>
      <c r="I745" s="3">
        <f t="shared" ca="1" si="190"/>
        <v>18126</v>
      </c>
      <c r="J745" s="3">
        <f t="shared" ca="1" si="191"/>
        <v>3423</v>
      </c>
      <c r="K745" s="3">
        <f t="shared" ca="1" si="192"/>
        <v>17</v>
      </c>
      <c r="L745" s="3">
        <f t="shared" ca="1" si="193"/>
        <v>24</v>
      </c>
      <c r="M745" s="3">
        <f t="shared" ca="1" si="194"/>
        <v>7</v>
      </c>
      <c r="N745" s="3" t="str">
        <f t="shared" ca="1" si="195"/>
        <v>Delayed</v>
      </c>
      <c r="O745" s="3" t="str">
        <f t="shared" ca="1" si="196"/>
        <v>Medium</v>
      </c>
      <c r="P745" s="3">
        <f t="shared" ca="1" si="197"/>
        <v>95.3</v>
      </c>
      <c r="Q745" s="1" t="str">
        <f ca="1">VLOOKUP(D745,Routes!$A$2:$D$31,2,FALSE)</f>
        <v>Mumbai</v>
      </c>
      <c r="R745" s="1" t="str">
        <f ca="1">VLOOKUP(D745,Routes!$A$2:$D$31,3,FALSE)</f>
        <v>Delhi</v>
      </c>
      <c r="S745" s="3">
        <f ca="1">VLOOKUP(D745,Routes!$A$2:$D$31,4,FALSE)</f>
        <v>1450</v>
      </c>
      <c r="T745" s="3" t="str">
        <f ca="1">VLOOKUP(E745,Vehicles!$A$2:$D$21,2,FALSE)</f>
        <v>Truck</v>
      </c>
      <c r="U745" s="3">
        <f ca="1">VLOOKUP(E745,Vehicles!$A$2:$D$21,3,FALSE)</f>
        <v>20</v>
      </c>
      <c r="V745" s="3" t="str">
        <f ca="1">VLOOKUP(E745,Vehicles!$A$2:$D$21,4,FALSE)</f>
        <v>CNG</v>
      </c>
      <c r="W745" s="3">
        <f ca="1">VLOOKUP(V745,Fuel_Rates!$A$2:$B$3,2,FALSE)</f>
        <v>78</v>
      </c>
      <c r="X745" s="3">
        <f t="shared" ca="1" si="199"/>
        <v>44.64</v>
      </c>
      <c r="Y745" s="3">
        <f t="shared" ca="1" si="200"/>
        <v>86283</v>
      </c>
      <c r="Z745" s="3" t="str">
        <f t="shared" ca="1" si="201"/>
        <v>May</v>
      </c>
      <c r="AA745" s="3" t="str">
        <f t="shared" ca="1" si="202"/>
        <v>Q2</v>
      </c>
      <c r="AB745" s="4" t="str">
        <f t="shared" ca="1" si="203"/>
        <v>Long Haul</v>
      </c>
    </row>
    <row r="746" spans="1:28" x14ac:dyDescent="0.3">
      <c r="A746" s="8" t="str">
        <f t="shared" si="198"/>
        <v>S0745</v>
      </c>
      <c r="B746" s="3">
        <f t="shared" ca="1" si="187"/>
        <v>45662</v>
      </c>
      <c r="C746" s="3" t="str">
        <f ca="1">INDEX(Customers!$A$2:$A$21,RANDBETWEEN(1,20))</f>
        <v>C005</v>
      </c>
      <c r="D746" s="3" t="str">
        <f ca="1">INDEX(Routes!$A$2:$A$31,RANDBETWEEN(1,30))</f>
        <v>R028</v>
      </c>
      <c r="E746" s="3" t="str">
        <f ca="1">INDEX(Vehicles!$A$2:$A$21,RANDBETWEEN(1,20))</f>
        <v>V013</v>
      </c>
      <c r="F746" s="3" t="str">
        <f ca="1">INDEX(Drivers!$A$2:$A$31,RANDBETWEEN(1,30))</f>
        <v>D020</v>
      </c>
      <c r="G746" s="3">
        <f t="shared" ca="1" si="188"/>
        <v>7.3</v>
      </c>
      <c r="H746" s="3">
        <f t="shared" ca="1" si="189"/>
        <v>23270</v>
      </c>
      <c r="I746" s="3">
        <f t="shared" ca="1" si="190"/>
        <v>6516</v>
      </c>
      <c r="J746" s="3">
        <f t="shared" ca="1" si="191"/>
        <v>2376</v>
      </c>
      <c r="K746" s="3">
        <f t="shared" ca="1" si="192"/>
        <v>48</v>
      </c>
      <c r="L746" s="3">
        <f t="shared" ca="1" si="193"/>
        <v>51</v>
      </c>
      <c r="M746" s="3">
        <f t="shared" ca="1" si="194"/>
        <v>3</v>
      </c>
      <c r="N746" s="3" t="str">
        <f t="shared" ca="1" si="195"/>
        <v>Delayed</v>
      </c>
      <c r="O746" s="3" t="str">
        <f t="shared" ca="1" si="196"/>
        <v>High</v>
      </c>
      <c r="P746" s="3">
        <f t="shared" ca="1" si="197"/>
        <v>24.3</v>
      </c>
      <c r="Q746" s="1" t="str">
        <f ca="1">VLOOKUP(D746,Routes!$A$2:$D$31,2,FALSE)</f>
        <v>Indore</v>
      </c>
      <c r="R746" s="1" t="str">
        <f ca="1">VLOOKUP(D746,Routes!$A$2:$D$31,3,FALSE)</f>
        <v>Mumbai</v>
      </c>
      <c r="S746" s="3">
        <f ca="1">VLOOKUP(D746,Routes!$A$2:$D$31,4,FALSE)</f>
        <v>590</v>
      </c>
      <c r="T746" s="3" t="str">
        <f ca="1">VLOOKUP(E746,Vehicles!$A$2:$D$21,2,FALSE)</f>
        <v>LCV</v>
      </c>
      <c r="U746" s="3">
        <f ca="1">VLOOKUP(E746,Vehicles!$A$2:$D$21,3,FALSE)</f>
        <v>4</v>
      </c>
      <c r="V746" s="3" t="str">
        <f ca="1">VLOOKUP(E746,Vehicles!$A$2:$D$21,4,FALSE)</f>
        <v>CNG</v>
      </c>
      <c r="W746" s="3">
        <f ca="1">VLOOKUP(V746,Fuel_Rates!$A$2:$B$3,2,FALSE)</f>
        <v>78</v>
      </c>
      <c r="X746" s="3">
        <f t="shared" ca="1" si="199"/>
        <v>39.44</v>
      </c>
      <c r="Y746" s="3">
        <f t="shared" ca="1" si="200"/>
        <v>32162</v>
      </c>
      <c r="Z746" s="3" t="str">
        <f t="shared" ca="1" si="201"/>
        <v>Jan</v>
      </c>
      <c r="AA746" s="3" t="str">
        <f t="shared" ca="1" si="202"/>
        <v>Q1</v>
      </c>
      <c r="AB746" s="4" t="str">
        <f t="shared" ca="1" si="203"/>
        <v>Medium Haul</v>
      </c>
    </row>
    <row r="747" spans="1:28" x14ac:dyDescent="0.3">
      <c r="A747" s="8" t="str">
        <f t="shared" si="198"/>
        <v>S0746</v>
      </c>
      <c r="B747" s="3">
        <f t="shared" ca="1" si="187"/>
        <v>45668</v>
      </c>
      <c r="C747" s="3" t="str">
        <f ca="1">INDEX(Customers!$A$2:$A$21,RANDBETWEEN(1,20))</f>
        <v>C003</v>
      </c>
      <c r="D747" s="3" t="str">
        <f ca="1">INDEX(Routes!$A$2:$A$31,RANDBETWEEN(1,30))</f>
        <v>R029</v>
      </c>
      <c r="E747" s="3" t="str">
        <f ca="1">INDEX(Vehicles!$A$2:$A$21,RANDBETWEEN(1,20))</f>
        <v>V009</v>
      </c>
      <c r="F747" s="3" t="str">
        <f ca="1">INDEX(Drivers!$A$2:$A$31,RANDBETWEEN(1,30))</f>
        <v>D014</v>
      </c>
      <c r="G747" s="3">
        <f t="shared" ca="1" si="188"/>
        <v>15.4</v>
      </c>
      <c r="H747" s="3">
        <f t="shared" ca="1" si="189"/>
        <v>36147</v>
      </c>
      <c r="I747" s="3">
        <f t="shared" ca="1" si="190"/>
        <v>10121</v>
      </c>
      <c r="J747" s="3">
        <f t="shared" ca="1" si="191"/>
        <v>3448</v>
      </c>
      <c r="K747" s="3">
        <f t="shared" ca="1" si="192"/>
        <v>32</v>
      </c>
      <c r="L747" s="3">
        <f t="shared" ca="1" si="193"/>
        <v>36</v>
      </c>
      <c r="M747" s="3">
        <f t="shared" ca="1" si="194"/>
        <v>4</v>
      </c>
      <c r="N747" s="3" t="str">
        <f t="shared" ca="1" si="195"/>
        <v>Delayed</v>
      </c>
      <c r="O747" s="3" t="str">
        <f t="shared" ca="1" si="196"/>
        <v>Low</v>
      </c>
      <c r="P747" s="3">
        <f t="shared" ca="1" si="197"/>
        <v>51.3</v>
      </c>
      <c r="Q747" s="1" t="str">
        <f ca="1">VLOOKUP(D747,Routes!$A$2:$D$31,2,FALSE)</f>
        <v>Chandigarh</v>
      </c>
      <c r="R747" s="1" t="str">
        <f ca="1">VLOOKUP(D747,Routes!$A$2:$D$31,3,FALSE)</f>
        <v>Delhi</v>
      </c>
      <c r="S747" s="3">
        <f ca="1">VLOOKUP(D747,Routes!$A$2:$D$31,4,FALSE)</f>
        <v>250</v>
      </c>
      <c r="T747" s="3" t="str">
        <f ca="1">VLOOKUP(E747,Vehicles!$A$2:$D$21,2,FALSE)</f>
        <v>LCV</v>
      </c>
      <c r="U747" s="3">
        <f ca="1">VLOOKUP(E747,Vehicles!$A$2:$D$21,3,FALSE)</f>
        <v>5</v>
      </c>
      <c r="V747" s="3" t="str">
        <f ca="1">VLOOKUP(E747,Vehicles!$A$2:$D$21,4,FALSE)</f>
        <v>Diesel</v>
      </c>
      <c r="W747" s="3">
        <f ca="1">VLOOKUP(V747,Fuel_Rates!$A$2:$B$3,2,FALSE)</f>
        <v>95</v>
      </c>
      <c r="X747" s="3">
        <f t="shared" ca="1" si="199"/>
        <v>144.59</v>
      </c>
      <c r="Y747" s="3">
        <f t="shared" ca="1" si="200"/>
        <v>49716</v>
      </c>
      <c r="Z747" s="3" t="str">
        <f t="shared" ca="1" si="201"/>
        <v>Jan</v>
      </c>
      <c r="AA747" s="3" t="str">
        <f t="shared" ca="1" si="202"/>
        <v>Q1</v>
      </c>
      <c r="AB747" s="4" t="str">
        <f t="shared" ca="1" si="203"/>
        <v>Short Haul</v>
      </c>
    </row>
    <row r="748" spans="1:28" x14ac:dyDescent="0.3">
      <c r="A748" s="8" t="str">
        <f t="shared" si="198"/>
        <v>S0747</v>
      </c>
      <c r="B748" s="3">
        <f t="shared" ca="1" si="187"/>
        <v>45744</v>
      </c>
      <c r="C748" s="3" t="str">
        <f ca="1">INDEX(Customers!$A$2:$A$21,RANDBETWEEN(1,20))</f>
        <v>C007</v>
      </c>
      <c r="D748" s="3" t="str">
        <f ca="1">INDEX(Routes!$A$2:$A$31,RANDBETWEEN(1,30))</f>
        <v>R026</v>
      </c>
      <c r="E748" s="3" t="str">
        <f ca="1">INDEX(Vehicles!$A$2:$A$21,RANDBETWEEN(1,20))</f>
        <v>V007</v>
      </c>
      <c r="F748" s="3" t="str">
        <f ca="1">INDEX(Drivers!$A$2:$A$31,RANDBETWEEN(1,30))</f>
        <v>D025</v>
      </c>
      <c r="G748" s="3">
        <f t="shared" ca="1" si="188"/>
        <v>18.5</v>
      </c>
      <c r="H748" s="3">
        <f t="shared" ca="1" si="189"/>
        <v>39006</v>
      </c>
      <c r="I748" s="3">
        <f t="shared" ca="1" si="190"/>
        <v>10922</v>
      </c>
      <c r="J748" s="3">
        <f t="shared" ca="1" si="191"/>
        <v>3565</v>
      </c>
      <c r="K748" s="3">
        <f t="shared" ca="1" si="192"/>
        <v>40</v>
      </c>
      <c r="L748" s="3">
        <f t="shared" ca="1" si="193"/>
        <v>46</v>
      </c>
      <c r="M748" s="3">
        <f t="shared" ca="1" si="194"/>
        <v>6</v>
      </c>
      <c r="N748" s="3" t="str">
        <f t="shared" ca="1" si="195"/>
        <v>Delayed</v>
      </c>
      <c r="O748" s="3" t="str">
        <f t="shared" ca="1" si="196"/>
        <v>Low</v>
      </c>
      <c r="P748" s="3">
        <f t="shared" ca="1" si="197"/>
        <v>61.7</v>
      </c>
      <c r="Q748" s="1" t="str">
        <f ca="1">VLOOKUP(D748,Routes!$A$2:$D$31,2,FALSE)</f>
        <v>Nagpur</v>
      </c>
      <c r="R748" s="1" t="str">
        <f ca="1">VLOOKUP(D748,Routes!$A$2:$D$31,3,FALSE)</f>
        <v>Bhopal</v>
      </c>
      <c r="S748" s="3">
        <f ca="1">VLOOKUP(D748,Routes!$A$2:$D$31,4,FALSE)</f>
        <v>350</v>
      </c>
      <c r="T748" s="3" t="str">
        <f ca="1">VLOOKUP(E748,Vehicles!$A$2:$D$21,2,FALSE)</f>
        <v>Container</v>
      </c>
      <c r="U748" s="3">
        <f ca="1">VLOOKUP(E748,Vehicles!$A$2:$D$21,3,FALSE)</f>
        <v>20</v>
      </c>
      <c r="V748" s="3" t="str">
        <f ca="1">VLOOKUP(E748,Vehicles!$A$2:$D$21,4,FALSE)</f>
        <v>Diesel</v>
      </c>
      <c r="W748" s="3">
        <f ca="1">VLOOKUP(V748,Fuel_Rates!$A$2:$B$3,2,FALSE)</f>
        <v>95</v>
      </c>
      <c r="X748" s="3">
        <f t="shared" ca="1" si="199"/>
        <v>111.45</v>
      </c>
      <c r="Y748" s="3">
        <f t="shared" ca="1" si="200"/>
        <v>53493</v>
      </c>
      <c r="Z748" s="3" t="str">
        <f t="shared" ca="1" si="201"/>
        <v>Mar</v>
      </c>
      <c r="AA748" s="3" t="str">
        <f t="shared" ca="1" si="202"/>
        <v>Q1</v>
      </c>
      <c r="AB748" s="4" t="str">
        <f t="shared" ca="1" si="203"/>
        <v>Medium Haul</v>
      </c>
    </row>
    <row r="749" spans="1:28" x14ac:dyDescent="0.3">
      <c r="A749" s="8" t="str">
        <f t="shared" si="198"/>
        <v>S0748</v>
      </c>
      <c r="B749" s="3">
        <f t="shared" ca="1" si="187"/>
        <v>45734</v>
      </c>
      <c r="C749" s="3" t="str">
        <f ca="1">INDEX(Customers!$A$2:$A$21,RANDBETWEEN(1,20))</f>
        <v>C009</v>
      </c>
      <c r="D749" s="3" t="str">
        <f ca="1">INDEX(Routes!$A$2:$A$31,RANDBETWEEN(1,30))</f>
        <v>R011</v>
      </c>
      <c r="E749" s="3" t="str">
        <f ca="1">INDEX(Vehicles!$A$2:$A$21,RANDBETWEEN(1,20))</f>
        <v>V012</v>
      </c>
      <c r="F749" s="3" t="str">
        <f ca="1">INDEX(Drivers!$A$2:$A$31,RANDBETWEEN(1,30))</f>
        <v>D007</v>
      </c>
      <c r="G749" s="3">
        <f t="shared" ca="1" si="188"/>
        <v>14.9</v>
      </c>
      <c r="H749" s="3">
        <f t="shared" ca="1" si="189"/>
        <v>37972</v>
      </c>
      <c r="I749" s="3">
        <f t="shared" ca="1" si="190"/>
        <v>10632</v>
      </c>
      <c r="J749" s="3">
        <f t="shared" ca="1" si="191"/>
        <v>1050</v>
      </c>
      <c r="K749" s="3">
        <f t="shared" ca="1" si="192"/>
        <v>26</v>
      </c>
      <c r="L749" s="3">
        <f t="shared" ca="1" si="193"/>
        <v>33</v>
      </c>
      <c r="M749" s="3">
        <f t="shared" ca="1" si="194"/>
        <v>7</v>
      </c>
      <c r="N749" s="3" t="str">
        <f t="shared" ca="1" si="195"/>
        <v>Delayed</v>
      </c>
      <c r="O749" s="3" t="str">
        <f t="shared" ca="1" si="196"/>
        <v>High</v>
      </c>
      <c r="P749" s="3">
        <f t="shared" ca="1" si="197"/>
        <v>49.7</v>
      </c>
      <c r="Q749" s="1" t="str">
        <f ca="1">VLOOKUP(D749,Routes!$A$2:$D$31,2,FALSE)</f>
        <v>Bengaluru</v>
      </c>
      <c r="R749" s="1" t="str">
        <f ca="1">VLOOKUP(D749,Routes!$A$2:$D$31,3,FALSE)</f>
        <v>Kochi</v>
      </c>
      <c r="S749" s="3">
        <f ca="1">VLOOKUP(D749,Routes!$A$2:$D$31,4,FALSE)</f>
        <v>550</v>
      </c>
      <c r="T749" s="3" t="str">
        <f ca="1">VLOOKUP(E749,Vehicles!$A$2:$D$21,2,FALSE)</f>
        <v>Truck</v>
      </c>
      <c r="U749" s="3">
        <f ca="1">VLOOKUP(E749,Vehicles!$A$2:$D$21,3,FALSE)</f>
        <v>20</v>
      </c>
      <c r="V749" s="3" t="str">
        <f ca="1">VLOOKUP(E749,Vehicles!$A$2:$D$21,4,FALSE)</f>
        <v>CNG</v>
      </c>
      <c r="W749" s="3">
        <f ca="1">VLOOKUP(V749,Fuel_Rates!$A$2:$B$3,2,FALSE)</f>
        <v>78</v>
      </c>
      <c r="X749" s="3">
        <f t="shared" ca="1" si="199"/>
        <v>69.040000000000006</v>
      </c>
      <c r="Y749" s="3">
        <f t="shared" ca="1" si="200"/>
        <v>49654</v>
      </c>
      <c r="Z749" s="3" t="str">
        <f t="shared" ca="1" si="201"/>
        <v>Mar</v>
      </c>
      <c r="AA749" s="3" t="str">
        <f t="shared" ca="1" si="202"/>
        <v>Q1</v>
      </c>
      <c r="AB749" s="4" t="str">
        <f t="shared" ca="1" si="203"/>
        <v>Medium Haul</v>
      </c>
    </row>
    <row r="750" spans="1:28" x14ac:dyDescent="0.3">
      <c r="A750" s="8" t="str">
        <f t="shared" si="198"/>
        <v>S0749</v>
      </c>
      <c r="B750" s="3">
        <f t="shared" ca="1" si="187"/>
        <v>45992</v>
      </c>
      <c r="C750" s="3" t="str">
        <f ca="1">INDEX(Customers!$A$2:$A$21,RANDBETWEEN(1,20))</f>
        <v>C011</v>
      </c>
      <c r="D750" s="3" t="str">
        <f ca="1">INDEX(Routes!$A$2:$A$31,RANDBETWEEN(1,30))</f>
        <v>R003</v>
      </c>
      <c r="E750" s="3" t="str">
        <f ca="1">INDEX(Vehicles!$A$2:$A$21,RANDBETWEEN(1,20))</f>
        <v>V012</v>
      </c>
      <c r="F750" s="3" t="str">
        <f ca="1">INDEX(Drivers!$A$2:$A$31,RANDBETWEEN(1,30))</f>
        <v>D005</v>
      </c>
      <c r="G750" s="3">
        <f t="shared" ca="1" si="188"/>
        <v>19.100000000000001</v>
      </c>
      <c r="H750" s="3">
        <f t="shared" ca="1" si="189"/>
        <v>44533</v>
      </c>
      <c r="I750" s="3">
        <f t="shared" ca="1" si="190"/>
        <v>12469</v>
      </c>
      <c r="J750" s="3">
        <f t="shared" ca="1" si="191"/>
        <v>994</v>
      </c>
      <c r="K750" s="3">
        <f t="shared" ca="1" si="192"/>
        <v>15</v>
      </c>
      <c r="L750" s="3">
        <f t="shared" ca="1" si="193"/>
        <v>23</v>
      </c>
      <c r="M750" s="3">
        <f t="shared" ca="1" si="194"/>
        <v>8</v>
      </c>
      <c r="N750" s="3" t="str">
        <f t="shared" ca="1" si="195"/>
        <v>Delayed</v>
      </c>
      <c r="O750" s="3" t="str">
        <f t="shared" ca="1" si="196"/>
        <v>Medium</v>
      </c>
      <c r="P750" s="3">
        <f t="shared" ca="1" si="197"/>
        <v>63.7</v>
      </c>
      <c r="Q750" s="1" t="str">
        <f ca="1">VLOOKUP(D750,Routes!$A$2:$D$31,2,FALSE)</f>
        <v>Mumbai</v>
      </c>
      <c r="R750" s="1" t="str">
        <f ca="1">VLOOKUP(D750,Routes!$A$2:$D$31,3,FALSE)</f>
        <v>Delhi</v>
      </c>
      <c r="S750" s="3">
        <f ca="1">VLOOKUP(D750,Routes!$A$2:$D$31,4,FALSE)</f>
        <v>1450</v>
      </c>
      <c r="T750" s="3" t="str">
        <f ca="1">VLOOKUP(E750,Vehicles!$A$2:$D$21,2,FALSE)</f>
        <v>Truck</v>
      </c>
      <c r="U750" s="3">
        <f ca="1">VLOOKUP(E750,Vehicles!$A$2:$D$21,3,FALSE)</f>
        <v>20</v>
      </c>
      <c r="V750" s="3" t="str">
        <f ca="1">VLOOKUP(E750,Vehicles!$A$2:$D$21,4,FALSE)</f>
        <v>CNG</v>
      </c>
      <c r="W750" s="3">
        <f ca="1">VLOOKUP(V750,Fuel_Rates!$A$2:$B$3,2,FALSE)</f>
        <v>78</v>
      </c>
      <c r="X750" s="3">
        <f t="shared" ca="1" si="199"/>
        <v>30.71</v>
      </c>
      <c r="Y750" s="3">
        <f t="shared" ca="1" si="200"/>
        <v>57996</v>
      </c>
      <c r="Z750" s="3" t="str">
        <f t="shared" ca="1" si="201"/>
        <v>Dec</v>
      </c>
      <c r="AA750" s="3" t="str">
        <f t="shared" ca="1" si="202"/>
        <v>Q4</v>
      </c>
      <c r="AB750" s="4" t="str">
        <f t="shared" ca="1" si="203"/>
        <v>Long Haul</v>
      </c>
    </row>
    <row r="751" spans="1:28" x14ac:dyDescent="0.3">
      <c r="A751" s="8" t="str">
        <f t="shared" si="198"/>
        <v>S0750</v>
      </c>
      <c r="B751" s="3">
        <f t="shared" ca="1" si="187"/>
        <v>45967</v>
      </c>
      <c r="C751" s="3" t="str">
        <f ca="1">INDEX(Customers!$A$2:$A$21,RANDBETWEEN(1,20))</f>
        <v>C001</v>
      </c>
      <c r="D751" s="3" t="str">
        <f ca="1">INDEX(Routes!$A$2:$A$31,RANDBETWEEN(1,30))</f>
        <v>R001</v>
      </c>
      <c r="E751" s="3" t="str">
        <f ca="1">INDEX(Vehicles!$A$2:$A$21,RANDBETWEEN(1,20))</f>
        <v>V013</v>
      </c>
      <c r="F751" s="3" t="str">
        <f ca="1">INDEX(Drivers!$A$2:$A$31,RANDBETWEEN(1,30))</f>
        <v>D008</v>
      </c>
      <c r="G751" s="3">
        <f t="shared" ca="1" si="188"/>
        <v>20.8</v>
      </c>
      <c r="H751" s="3">
        <f t="shared" ca="1" si="189"/>
        <v>42202</v>
      </c>
      <c r="I751" s="3">
        <f t="shared" ca="1" si="190"/>
        <v>11817</v>
      </c>
      <c r="J751" s="3">
        <f t="shared" ca="1" si="191"/>
        <v>3815</v>
      </c>
      <c r="K751" s="3">
        <f t="shared" ca="1" si="192"/>
        <v>27</v>
      </c>
      <c r="L751" s="3">
        <f t="shared" ca="1" si="193"/>
        <v>31</v>
      </c>
      <c r="M751" s="3">
        <f t="shared" ca="1" si="194"/>
        <v>4</v>
      </c>
      <c r="N751" s="3" t="str">
        <f t="shared" ca="1" si="195"/>
        <v>Delayed</v>
      </c>
      <c r="O751" s="3" t="str">
        <f t="shared" ca="1" si="196"/>
        <v>Medium</v>
      </c>
      <c r="P751" s="3">
        <f t="shared" ca="1" si="197"/>
        <v>69.3</v>
      </c>
      <c r="Q751" s="1" t="str">
        <f ca="1">VLOOKUP(D751,Routes!$A$2:$D$31,2,FALSE)</f>
        <v>Mumbai</v>
      </c>
      <c r="R751" s="1" t="str">
        <f ca="1">VLOOKUP(D751,Routes!$A$2:$D$31,3,FALSE)</f>
        <v>Pune</v>
      </c>
      <c r="S751" s="3">
        <f ca="1">VLOOKUP(D751,Routes!$A$2:$D$31,4,FALSE)</f>
        <v>150</v>
      </c>
      <c r="T751" s="3" t="str">
        <f ca="1">VLOOKUP(E751,Vehicles!$A$2:$D$21,2,FALSE)</f>
        <v>LCV</v>
      </c>
      <c r="U751" s="3">
        <f ca="1">VLOOKUP(E751,Vehicles!$A$2:$D$21,3,FALSE)</f>
        <v>4</v>
      </c>
      <c r="V751" s="3" t="str">
        <f ca="1">VLOOKUP(E751,Vehicles!$A$2:$D$21,4,FALSE)</f>
        <v>CNG</v>
      </c>
      <c r="W751" s="3">
        <f ca="1">VLOOKUP(V751,Fuel_Rates!$A$2:$B$3,2,FALSE)</f>
        <v>78</v>
      </c>
      <c r="X751" s="3">
        <f t="shared" ca="1" si="199"/>
        <v>281.35000000000002</v>
      </c>
      <c r="Y751" s="3">
        <f t="shared" ca="1" si="200"/>
        <v>57834</v>
      </c>
      <c r="Z751" s="3" t="str">
        <f t="shared" ca="1" si="201"/>
        <v>Nov</v>
      </c>
      <c r="AA751" s="3" t="str">
        <f t="shared" ca="1" si="202"/>
        <v>Q4</v>
      </c>
      <c r="AB751" s="4" t="str">
        <f t="shared" ca="1" si="203"/>
        <v>Short Haul</v>
      </c>
    </row>
    <row r="752" spans="1:28" x14ac:dyDescent="0.3">
      <c r="A752" s="8" t="str">
        <f t="shared" si="198"/>
        <v>S0751</v>
      </c>
      <c r="B752" s="3">
        <f t="shared" ca="1" si="187"/>
        <v>45662</v>
      </c>
      <c r="C752" s="3" t="str">
        <f ca="1">INDEX(Customers!$A$2:$A$21,RANDBETWEEN(1,20))</f>
        <v>C013</v>
      </c>
      <c r="D752" s="3" t="str">
        <f ca="1">INDEX(Routes!$A$2:$A$31,RANDBETWEEN(1,30))</f>
        <v>R011</v>
      </c>
      <c r="E752" s="3" t="str">
        <f ca="1">INDEX(Vehicles!$A$2:$A$21,RANDBETWEEN(1,20))</f>
        <v>V002</v>
      </c>
      <c r="F752" s="3" t="str">
        <f ca="1">INDEX(Drivers!$A$2:$A$31,RANDBETWEEN(1,30))</f>
        <v>D027</v>
      </c>
      <c r="G752" s="3">
        <f t="shared" ca="1" si="188"/>
        <v>24.9</v>
      </c>
      <c r="H752" s="3">
        <f t="shared" ca="1" si="189"/>
        <v>54131</v>
      </c>
      <c r="I752" s="3">
        <f t="shared" ca="1" si="190"/>
        <v>15157</v>
      </c>
      <c r="J752" s="3">
        <f t="shared" ca="1" si="191"/>
        <v>2440</v>
      </c>
      <c r="K752" s="3">
        <f t="shared" ca="1" si="192"/>
        <v>26</v>
      </c>
      <c r="L752" s="3">
        <f t="shared" ca="1" si="193"/>
        <v>33</v>
      </c>
      <c r="M752" s="3">
        <f t="shared" ca="1" si="194"/>
        <v>7</v>
      </c>
      <c r="N752" s="3" t="str">
        <f t="shared" ca="1" si="195"/>
        <v>Delayed</v>
      </c>
      <c r="O752" s="3" t="str">
        <f t="shared" ca="1" si="196"/>
        <v>Medium</v>
      </c>
      <c r="P752" s="3">
        <f t="shared" ca="1" si="197"/>
        <v>83</v>
      </c>
      <c r="Q752" s="1" t="str">
        <f ca="1">VLOOKUP(D752,Routes!$A$2:$D$31,2,FALSE)</f>
        <v>Bengaluru</v>
      </c>
      <c r="R752" s="1" t="str">
        <f ca="1">VLOOKUP(D752,Routes!$A$2:$D$31,3,FALSE)</f>
        <v>Kochi</v>
      </c>
      <c r="S752" s="3">
        <f ca="1">VLOOKUP(D752,Routes!$A$2:$D$31,4,FALSE)</f>
        <v>550</v>
      </c>
      <c r="T752" s="3" t="str">
        <f ca="1">VLOOKUP(E752,Vehicles!$A$2:$D$21,2,FALSE)</f>
        <v>Truck</v>
      </c>
      <c r="U752" s="3">
        <f ca="1">VLOOKUP(E752,Vehicles!$A$2:$D$21,3,FALSE)</f>
        <v>20</v>
      </c>
      <c r="V752" s="3" t="str">
        <f ca="1">VLOOKUP(E752,Vehicles!$A$2:$D$21,4,FALSE)</f>
        <v>Diesel</v>
      </c>
      <c r="W752" s="3">
        <f ca="1">VLOOKUP(V752,Fuel_Rates!$A$2:$B$3,2,FALSE)</f>
        <v>95</v>
      </c>
      <c r="X752" s="3">
        <f t="shared" ca="1" si="199"/>
        <v>98.42</v>
      </c>
      <c r="Y752" s="3">
        <f t="shared" ca="1" si="200"/>
        <v>71728</v>
      </c>
      <c r="Z752" s="3" t="str">
        <f t="shared" ca="1" si="201"/>
        <v>Jan</v>
      </c>
      <c r="AA752" s="3" t="str">
        <f t="shared" ca="1" si="202"/>
        <v>Q1</v>
      </c>
      <c r="AB752" s="4" t="str">
        <f t="shared" ca="1" si="203"/>
        <v>Medium Haul</v>
      </c>
    </row>
    <row r="753" spans="1:28" x14ac:dyDescent="0.3">
      <c r="A753" s="8" t="str">
        <f t="shared" si="198"/>
        <v>S0752</v>
      </c>
      <c r="B753" s="3">
        <f t="shared" ca="1" si="187"/>
        <v>45735</v>
      </c>
      <c r="C753" s="3" t="str">
        <f ca="1">INDEX(Customers!$A$2:$A$21,RANDBETWEEN(1,20))</f>
        <v>C018</v>
      </c>
      <c r="D753" s="3" t="str">
        <f ca="1">INDEX(Routes!$A$2:$A$31,RANDBETWEEN(1,30))</f>
        <v>R029</v>
      </c>
      <c r="E753" s="3" t="str">
        <f ca="1">INDEX(Vehicles!$A$2:$A$21,RANDBETWEEN(1,20))</f>
        <v>V004</v>
      </c>
      <c r="F753" s="3" t="str">
        <f ca="1">INDEX(Drivers!$A$2:$A$31,RANDBETWEEN(1,30))</f>
        <v>D023</v>
      </c>
      <c r="G753" s="3">
        <f t="shared" ca="1" si="188"/>
        <v>14.9</v>
      </c>
      <c r="H753" s="3">
        <f t="shared" ca="1" si="189"/>
        <v>33689</v>
      </c>
      <c r="I753" s="3">
        <f t="shared" ca="1" si="190"/>
        <v>9433</v>
      </c>
      <c r="J753" s="3">
        <f t="shared" ca="1" si="191"/>
        <v>3066</v>
      </c>
      <c r="K753" s="3">
        <f t="shared" ca="1" si="192"/>
        <v>38</v>
      </c>
      <c r="L753" s="3">
        <f t="shared" ca="1" si="193"/>
        <v>38</v>
      </c>
      <c r="M753" s="3">
        <f t="shared" ca="1" si="194"/>
        <v>0</v>
      </c>
      <c r="N753" s="3" t="str">
        <f t="shared" ca="1" si="195"/>
        <v>On Time</v>
      </c>
      <c r="O753" s="3" t="str">
        <f t="shared" ca="1" si="196"/>
        <v>High</v>
      </c>
      <c r="P753" s="3">
        <f t="shared" ca="1" si="197"/>
        <v>49.7</v>
      </c>
      <c r="Q753" s="1" t="str">
        <f ca="1">VLOOKUP(D753,Routes!$A$2:$D$31,2,FALSE)</f>
        <v>Chandigarh</v>
      </c>
      <c r="R753" s="1" t="str">
        <f ca="1">VLOOKUP(D753,Routes!$A$2:$D$31,3,FALSE)</f>
        <v>Delhi</v>
      </c>
      <c r="S753" s="3">
        <f ca="1">VLOOKUP(D753,Routes!$A$2:$D$31,4,FALSE)</f>
        <v>250</v>
      </c>
      <c r="T753" s="3" t="str">
        <f ca="1">VLOOKUP(E753,Vehicles!$A$2:$D$21,2,FALSE)</f>
        <v>Trailer</v>
      </c>
      <c r="U753" s="3">
        <f ca="1">VLOOKUP(E753,Vehicles!$A$2:$D$21,3,FALSE)</f>
        <v>28</v>
      </c>
      <c r="V753" s="3" t="str">
        <f ca="1">VLOOKUP(E753,Vehicles!$A$2:$D$21,4,FALSE)</f>
        <v>Diesel</v>
      </c>
      <c r="W753" s="3">
        <f ca="1">VLOOKUP(V753,Fuel_Rates!$A$2:$B$3,2,FALSE)</f>
        <v>95</v>
      </c>
      <c r="X753" s="3">
        <f t="shared" ca="1" si="199"/>
        <v>134.76</v>
      </c>
      <c r="Y753" s="3">
        <f t="shared" ca="1" si="200"/>
        <v>46188</v>
      </c>
      <c r="Z753" s="3" t="str">
        <f t="shared" ca="1" si="201"/>
        <v>Mar</v>
      </c>
      <c r="AA753" s="3" t="str">
        <f t="shared" ca="1" si="202"/>
        <v>Q1</v>
      </c>
      <c r="AB753" s="4" t="str">
        <f t="shared" ca="1" si="203"/>
        <v>Short Haul</v>
      </c>
    </row>
    <row r="754" spans="1:28" x14ac:dyDescent="0.3">
      <c r="A754" s="8" t="str">
        <f t="shared" si="198"/>
        <v>S0753</v>
      </c>
      <c r="B754" s="3">
        <f t="shared" ca="1" si="187"/>
        <v>45758</v>
      </c>
      <c r="C754" s="3" t="str">
        <f ca="1">INDEX(Customers!$A$2:$A$21,RANDBETWEEN(1,20))</f>
        <v>C007</v>
      </c>
      <c r="D754" s="3" t="str">
        <f ca="1">INDEX(Routes!$A$2:$A$31,RANDBETWEEN(1,30))</f>
        <v>R018</v>
      </c>
      <c r="E754" s="3" t="str">
        <f ca="1">INDEX(Vehicles!$A$2:$A$21,RANDBETWEEN(1,20))</f>
        <v>V017</v>
      </c>
      <c r="F754" s="3" t="str">
        <f ca="1">INDEX(Drivers!$A$2:$A$31,RANDBETWEEN(1,30))</f>
        <v>D029</v>
      </c>
      <c r="G754" s="3">
        <f t="shared" ca="1" si="188"/>
        <v>7.6</v>
      </c>
      <c r="H754" s="3">
        <f t="shared" ca="1" si="189"/>
        <v>27629</v>
      </c>
      <c r="I754" s="3">
        <f t="shared" ca="1" si="190"/>
        <v>7736</v>
      </c>
      <c r="J754" s="3">
        <f t="shared" ca="1" si="191"/>
        <v>3179</v>
      </c>
      <c r="K754" s="3">
        <f t="shared" ca="1" si="192"/>
        <v>10</v>
      </c>
      <c r="L754" s="3">
        <f t="shared" ca="1" si="193"/>
        <v>18</v>
      </c>
      <c r="M754" s="3">
        <f t="shared" ca="1" si="194"/>
        <v>8</v>
      </c>
      <c r="N754" s="3" t="str">
        <f t="shared" ca="1" si="195"/>
        <v>Delayed</v>
      </c>
      <c r="O754" s="3" t="str">
        <f t="shared" ca="1" si="196"/>
        <v>Medium</v>
      </c>
      <c r="P754" s="3">
        <f t="shared" ca="1" si="197"/>
        <v>25.3</v>
      </c>
      <c r="Q754" s="1" t="str">
        <f ca="1">VLOOKUP(D754,Routes!$A$2:$D$31,2,FALSE)</f>
        <v>Ahmedabad</v>
      </c>
      <c r="R754" s="1" t="str">
        <f ca="1">VLOOKUP(D754,Routes!$A$2:$D$31,3,FALSE)</f>
        <v>Jaipur</v>
      </c>
      <c r="S754" s="3">
        <f ca="1">VLOOKUP(D754,Routes!$A$2:$D$31,4,FALSE)</f>
        <v>670</v>
      </c>
      <c r="T754" s="3" t="str">
        <f ca="1">VLOOKUP(E754,Vehicles!$A$2:$D$21,2,FALSE)</f>
        <v>Truck</v>
      </c>
      <c r="U754" s="3">
        <f ca="1">VLOOKUP(E754,Vehicles!$A$2:$D$21,3,FALSE)</f>
        <v>24</v>
      </c>
      <c r="V754" s="3" t="str">
        <f ca="1">VLOOKUP(E754,Vehicles!$A$2:$D$21,4,FALSE)</f>
        <v>Diesel</v>
      </c>
      <c r="W754" s="3">
        <f ca="1">VLOOKUP(V754,Fuel_Rates!$A$2:$B$3,2,FALSE)</f>
        <v>95</v>
      </c>
      <c r="X754" s="3">
        <f t="shared" ca="1" si="199"/>
        <v>41.24</v>
      </c>
      <c r="Y754" s="3">
        <f t="shared" ca="1" si="200"/>
        <v>38544</v>
      </c>
      <c r="Z754" s="3" t="str">
        <f t="shared" ca="1" si="201"/>
        <v>Apr</v>
      </c>
      <c r="AA754" s="3" t="str">
        <f t="shared" ca="1" si="202"/>
        <v>Q2</v>
      </c>
      <c r="AB754" s="4" t="str">
        <f t="shared" ca="1" si="203"/>
        <v>Medium Haul</v>
      </c>
    </row>
    <row r="755" spans="1:28" x14ac:dyDescent="0.3">
      <c r="A755" s="8" t="str">
        <f t="shared" si="198"/>
        <v>S0754</v>
      </c>
      <c r="B755" s="3">
        <f t="shared" ca="1" si="187"/>
        <v>45971</v>
      </c>
      <c r="C755" s="3" t="str">
        <f ca="1">INDEX(Customers!$A$2:$A$21,RANDBETWEEN(1,20))</f>
        <v>C018</v>
      </c>
      <c r="D755" s="3" t="str">
        <f ca="1">INDEX(Routes!$A$2:$A$31,RANDBETWEEN(1,30))</f>
        <v>R016</v>
      </c>
      <c r="E755" s="3" t="str">
        <f ca="1">INDEX(Vehicles!$A$2:$A$21,RANDBETWEEN(1,20))</f>
        <v>V018</v>
      </c>
      <c r="F755" s="3" t="str">
        <f ca="1">INDEX(Drivers!$A$2:$A$31,RANDBETWEEN(1,30))</f>
        <v>D016</v>
      </c>
      <c r="G755" s="3">
        <f t="shared" ca="1" si="188"/>
        <v>12.5</v>
      </c>
      <c r="H755" s="3">
        <f t="shared" ca="1" si="189"/>
        <v>32888</v>
      </c>
      <c r="I755" s="3">
        <f t="shared" ca="1" si="190"/>
        <v>9209</v>
      </c>
      <c r="J755" s="3">
        <f t="shared" ca="1" si="191"/>
        <v>3015</v>
      </c>
      <c r="K755" s="3">
        <f t="shared" ca="1" si="192"/>
        <v>43</v>
      </c>
      <c r="L755" s="3">
        <f t="shared" ca="1" si="193"/>
        <v>50</v>
      </c>
      <c r="M755" s="3">
        <f t="shared" ca="1" si="194"/>
        <v>7</v>
      </c>
      <c r="N755" s="3" t="str">
        <f t="shared" ca="1" si="195"/>
        <v>Delayed</v>
      </c>
      <c r="O755" s="3" t="str">
        <f t="shared" ca="1" si="196"/>
        <v>Low</v>
      </c>
      <c r="P755" s="3">
        <f t="shared" ca="1" si="197"/>
        <v>41.7</v>
      </c>
      <c r="Q755" s="1" t="str">
        <f ca="1">VLOOKUP(D755,Routes!$A$2:$D$31,2,FALSE)</f>
        <v>Kolkata</v>
      </c>
      <c r="R755" s="1" t="str">
        <f ca="1">VLOOKUP(D755,Routes!$A$2:$D$31,3,FALSE)</f>
        <v>Bhubaneswar</v>
      </c>
      <c r="S755" s="3">
        <f ca="1">VLOOKUP(D755,Routes!$A$2:$D$31,4,FALSE)</f>
        <v>440</v>
      </c>
      <c r="T755" s="3" t="str">
        <f ca="1">VLOOKUP(E755,Vehicles!$A$2:$D$21,2,FALSE)</f>
        <v>Truck</v>
      </c>
      <c r="U755" s="3">
        <f ca="1">VLOOKUP(E755,Vehicles!$A$2:$D$21,3,FALSE)</f>
        <v>26</v>
      </c>
      <c r="V755" s="3" t="str">
        <f ca="1">VLOOKUP(E755,Vehicles!$A$2:$D$21,4,FALSE)</f>
        <v>Diesel</v>
      </c>
      <c r="W755" s="3">
        <f ca="1">VLOOKUP(V755,Fuel_Rates!$A$2:$B$3,2,FALSE)</f>
        <v>95</v>
      </c>
      <c r="X755" s="3">
        <f t="shared" ca="1" si="199"/>
        <v>74.75</v>
      </c>
      <c r="Y755" s="3">
        <f t="shared" ca="1" si="200"/>
        <v>45112</v>
      </c>
      <c r="Z755" s="3" t="str">
        <f t="shared" ca="1" si="201"/>
        <v>Nov</v>
      </c>
      <c r="AA755" s="3" t="str">
        <f t="shared" ca="1" si="202"/>
        <v>Q4</v>
      </c>
      <c r="AB755" s="4" t="str">
        <f t="shared" ca="1" si="203"/>
        <v>Medium Haul</v>
      </c>
    </row>
    <row r="756" spans="1:28" x14ac:dyDescent="0.3">
      <c r="A756" s="8" t="str">
        <f t="shared" si="198"/>
        <v>S0755</v>
      </c>
      <c r="B756" s="3">
        <f t="shared" ca="1" si="187"/>
        <v>45945</v>
      </c>
      <c r="C756" s="3" t="str">
        <f ca="1">INDEX(Customers!$A$2:$A$21,RANDBETWEEN(1,20))</f>
        <v>C004</v>
      </c>
      <c r="D756" s="3" t="str">
        <f ca="1">INDEX(Routes!$A$2:$A$31,RANDBETWEEN(1,30))</f>
        <v>R002</v>
      </c>
      <c r="E756" s="3" t="str">
        <f ca="1">INDEX(Vehicles!$A$2:$A$21,RANDBETWEEN(1,20))</f>
        <v>V001</v>
      </c>
      <c r="F756" s="3" t="str">
        <f ca="1">INDEX(Drivers!$A$2:$A$31,RANDBETWEEN(1,30))</f>
        <v>D004</v>
      </c>
      <c r="G756" s="3">
        <f t="shared" ca="1" si="188"/>
        <v>8.9</v>
      </c>
      <c r="H756" s="3">
        <f t="shared" ca="1" si="189"/>
        <v>23718</v>
      </c>
      <c r="I756" s="3">
        <f t="shared" ca="1" si="190"/>
        <v>6641</v>
      </c>
      <c r="J756" s="3">
        <f t="shared" ca="1" si="191"/>
        <v>1854</v>
      </c>
      <c r="K756" s="3">
        <f t="shared" ca="1" si="192"/>
        <v>4</v>
      </c>
      <c r="L756" s="3">
        <f t="shared" ca="1" si="193"/>
        <v>12</v>
      </c>
      <c r="M756" s="3">
        <f t="shared" ca="1" si="194"/>
        <v>8</v>
      </c>
      <c r="N756" s="3" t="str">
        <f t="shared" ca="1" si="195"/>
        <v>Delayed</v>
      </c>
      <c r="O756" s="3" t="str">
        <f t="shared" ca="1" si="196"/>
        <v>High</v>
      </c>
      <c r="P756" s="3">
        <f t="shared" ca="1" si="197"/>
        <v>29.7</v>
      </c>
      <c r="Q756" s="1" t="str">
        <f ca="1">VLOOKUP(D756,Routes!$A$2:$D$31,2,FALSE)</f>
        <v>Mumbai</v>
      </c>
      <c r="R756" s="1" t="str">
        <f ca="1">VLOOKUP(D756,Routes!$A$2:$D$31,3,FALSE)</f>
        <v>Ahmedabad</v>
      </c>
      <c r="S756" s="3">
        <f ca="1">VLOOKUP(D756,Routes!$A$2:$D$31,4,FALSE)</f>
        <v>530</v>
      </c>
      <c r="T756" s="3" t="str">
        <f ca="1">VLOOKUP(E756,Vehicles!$A$2:$D$21,2,FALSE)</f>
        <v>Truck</v>
      </c>
      <c r="U756" s="3">
        <f ca="1">VLOOKUP(E756,Vehicles!$A$2:$D$21,3,FALSE)</f>
        <v>16</v>
      </c>
      <c r="V756" s="3" t="str">
        <f ca="1">VLOOKUP(E756,Vehicles!$A$2:$D$21,4,FALSE)</f>
        <v>Diesel</v>
      </c>
      <c r="W756" s="3">
        <f ca="1">VLOOKUP(V756,Fuel_Rates!$A$2:$B$3,2,FALSE)</f>
        <v>95</v>
      </c>
      <c r="X756" s="3">
        <f t="shared" ca="1" si="199"/>
        <v>44.75</v>
      </c>
      <c r="Y756" s="3">
        <f t="shared" ca="1" si="200"/>
        <v>32213</v>
      </c>
      <c r="Z756" s="3" t="str">
        <f t="shared" ca="1" si="201"/>
        <v>Oct</v>
      </c>
      <c r="AA756" s="3" t="str">
        <f t="shared" ca="1" si="202"/>
        <v>Q4</v>
      </c>
      <c r="AB756" s="4" t="str">
        <f t="shared" ca="1" si="203"/>
        <v>Medium Haul</v>
      </c>
    </row>
    <row r="757" spans="1:28" x14ac:dyDescent="0.3">
      <c r="A757" s="8" t="str">
        <f t="shared" si="198"/>
        <v>S0756</v>
      </c>
      <c r="B757" s="3">
        <f t="shared" ca="1" si="187"/>
        <v>45965</v>
      </c>
      <c r="C757" s="3" t="str">
        <f ca="1">INDEX(Customers!$A$2:$A$21,RANDBETWEEN(1,20))</f>
        <v>C001</v>
      </c>
      <c r="D757" s="3" t="str">
        <f ca="1">INDEX(Routes!$A$2:$A$31,RANDBETWEEN(1,30))</f>
        <v>R026</v>
      </c>
      <c r="E757" s="3" t="str">
        <f ca="1">INDEX(Vehicles!$A$2:$A$21,RANDBETWEEN(1,20))</f>
        <v>V003</v>
      </c>
      <c r="F757" s="3" t="str">
        <f ca="1">INDEX(Drivers!$A$2:$A$31,RANDBETWEEN(1,30))</f>
        <v>D006</v>
      </c>
      <c r="G757" s="3">
        <f t="shared" ca="1" si="188"/>
        <v>18.8</v>
      </c>
      <c r="H757" s="3">
        <f t="shared" ca="1" si="189"/>
        <v>40139</v>
      </c>
      <c r="I757" s="3">
        <f t="shared" ca="1" si="190"/>
        <v>11239</v>
      </c>
      <c r="J757" s="3">
        <f t="shared" ca="1" si="191"/>
        <v>1264</v>
      </c>
      <c r="K757" s="3">
        <f t="shared" ca="1" si="192"/>
        <v>31</v>
      </c>
      <c r="L757" s="3">
        <f t="shared" ca="1" si="193"/>
        <v>33</v>
      </c>
      <c r="M757" s="3">
        <f t="shared" ca="1" si="194"/>
        <v>2</v>
      </c>
      <c r="N757" s="3" t="str">
        <f t="shared" ca="1" si="195"/>
        <v>On Time</v>
      </c>
      <c r="O757" s="3" t="str">
        <f t="shared" ca="1" si="196"/>
        <v>Medium</v>
      </c>
      <c r="P757" s="3">
        <f t="shared" ca="1" si="197"/>
        <v>62.7</v>
      </c>
      <c r="Q757" s="1" t="str">
        <f ca="1">VLOOKUP(D757,Routes!$A$2:$D$31,2,FALSE)</f>
        <v>Nagpur</v>
      </c>
      <c r="R757" s="1" t="str">
        <f ca="1">VLOOKUP(D757,Routes!$A$2:$D$31,3,FALSE)</f>
        <v>Bhopal</v>
      </c>
      <c r="S757" s="3">
        <f ca="1">VLOOKUP(D757,Routes!$A$2:$D$31,4,FALSE)</f>
        <v>350</v>
      </c>
      <c r="T757" s="3" t="str">
        <f ca="1">VLOOKUP(E757,Vehicles!$A$2:$D$21,2,FALSE)</f>
        <v>Truck</v>
      </c>
      <c r="U757" s="3">
        <f ca="1">VLOOKUP(E757,Vehicles!$A$2:$D$21,3,FALSE)</f>
        <v>25</v>
      </c>
      <c r="V757" s="3" t="str">
        <f ca="1">VLOOKUP(E757,Vehicles!$A$2:$D$21,4,FALSE)</f>
        <v>Diesel</v>
      </c>
      <c r="W757" s="3">
        <f ca="1">VLOOKUP(V757,Fuel_Rates!$A$2:$B$3,2,FALSE)</f>
        <v>95</v>
      </c>
      <c r="X757" s="3">
        <f t="shared" ca="1" si="199"/>
        <v>114.68</v>
      </c>
      <c r="Y757" s="3">
        <f t="shared" ca="1" si="200"/>
        <v>52642</v>
      </c>
      <c r="Z757" s="3" t="str">
        <f t="shared" ca="1" si="201"/>
        <v>Nov</v>
      </c>
      <c r="AA757" s="3" t="str">
        <f t="shared" ca="1" si="202"/>
        <v>Q4</v>
      </c>
      <c r="AB757" s="4" t="str">
        <f t="shared" ca="1" si="203"/>
        <v>Medium Haul</v>
      </c>
    </row>
    <row r="758" spans="1:28" x14ac:dyDescent="0.3">
      <c r="A758" s="8" t="str">
        <f t="shared" si="198"/>
        <v>S0757</v>
      </c>
      <c r="B758" s="3">
        <f t="shared" ca="1" si="187"/>
        <v>45685</v>
      </c>
      <c r="C758" s="3" t="str">
        <f ca="1">INDEX(Customers!$A$2:$A$21,RANDBETWEEN(1,20))</f>
        <v>C010</v>
      </c>
      <c r="D758" s="3" t="str">
        <f ca="1">INDEX(Routes!$A$2:$A$31,RANDBETWEEN(1,30))</f>
        <v>R016</v>
      </c>
      <c r="E758" s="3" t="str">
        <f ca="1">INDEX(Vehicles!$A$2:$A$21,RANDBETWEEN(1,20))</f>
        <v>V012</v>
      </c>
      <c r="F758" s="3" t="str">
        <f ca="1">INDEX(Drivers!$A$2:$A$31,RANDBETWEEN(1,30))</f>
        <v>D028</v>
      </c>
      <c r="G758" s="3">
        <f t="shared" ca="1" si="188"/>
        <v>10.4</v>
      </c>
      <c r="H758" s="3">
        <f t="shared" ca="1" si="189"/>
        <v>29137</v>
      </c>
      <c r="I758" s="3">
        <f t="shared" ca="1" si="190"/>
        <v>8158</v>
      </c>
      <c r="J758" s="3">
        <f t="shared" ca="1" si="191"/>
        <v>1395</v>
      </c>
      <c r="K758" s="3">
        <f t="shared" ca="1" si="192"/>
        <v>48</v>
      </c>
      <c r="L758" s="3">
        <f t="shared" ca="1" si="193"/>
        <v>49</v>
      </c>
      <c r="M758" s="3">
        <f t="shared" ca="1" si="194"/>
        <v>1</v>
      </c>
      <c r="N758" s="3" t="str">
        <f t="shared" ca="1" si="195"/>
        <v>On Time</v>
      </c>
      <c r="O758" s="3" t="str">
        <f t="shared" ca="1" si="196"/>
        <v>Low</v>
      </c>
      <c r="P758" s="3">
        <f t="shared" ca="1" si="197"/>
        <v>34.700000000000003</v>
      </c>
      <c r="Q758" s="1" t="str">
        <f ca="1">VLOOKUP(D758,Routes!$A$2:$D$31,2,FALSE)</f>
        <v>Kolkata</v>
      </c>
      <c r="R758" s="1" t="str">
        <f ca="1">VLOOKUP(D758,Routes!$A$2:$D$31,3,FALSE)</f>
        <v>Bhubaneswar</v>
      </c>
      <c r="S758" s="3">
        <f ca="1">VLOOKUP(D758,Routes!$A$2:$D$31,4,FALSE)</f>
        <v>440</v>
      </c>
      <c r="T758" s="3" t="str">
        <f ca="1">VLOOKUP(E758,Vehicles!$A$2:$D$21,2,FALSE)</f>
        <v>Truck</v>
      </c>
      <c r="U758" s="3">
        <f ca="1">VLOOKUP(E758,Vehicles!$A$2:$D$21,3,FALSE)</f>
        <v>20</v>
      </c>
      <c r="V758" s="3" t="str">
        <f ca="1">VLOOKUP(E758,Vehicles!$A$2:$D$21,4,FALSE)</f>
        <v>CNG</v>
      </c>
      <c r="W758" s="3">
        <f ca="1">VLOOKUP(V758,Fuel_Rates!$A$2:$B$3,2,FALSE)</f>
        <v>78</v>
      </c>
      <c r="X758" s="3">
        <f t="shared" ca="1" si="199"/>
        <v>66.22</v>
      </c>
      <c r="Y758" s="3">
        <f t="shared" ca="1" si="200"/>
        <v>38690</v>
      </c>
      <c r="Z758" s="3" t="str">
        <f t="shared" ca="1" si="201"/>
        <v>Jan</v>
      </c>
      <c r="AA758" s="3" t="str">
        <f t="shared" ca="1" si="202"/>
        <v>Q1</v>
      </c>
      <c r="AB758" s="4" t="str">
        <f t="shared" ca="1" si="203"/>
        <v>Medium Haul</v>
      </c>
    </row>
    <row r="759" spans="1:28" x14ac:dyDescent="0.3">
      <c r="A759" s="8" t="str">
        <f t="shared" si="198"/>
        <v>S0758</v>
      </c>
      <c r="B759" s="3">
        <f t="shared" ca="1" si="187"/>
        <v>45972</v>
      </c>
      <c r="C759" s="3" t="str">
        <f ca="1">INDEX(Customers!$A$2:$A$21,RANDBETWEEN(1,20))</f>
        <v>C009</v>
      </c>
      <c r="D759" s="3" t="str">
        <f ca="1">INDEX(Routes!$A$2:$A$31,RANDBETWEEN(1,30))</f>
        <v>R019</v>
      </c>
      <c r="E759" s="3" t="str">
        <f ca="1">INDEX(Vehicles!$A$2:$A$21,RANDBETWEEN(1,20))</f>
        <v>V010</v>
      </c>
      <c r="F759" s="3" t="str">
        <f ca="1">INDEX(Drivers!$A$2:$A$31,RANDBETWEEN(1,30))</f>
        <v>D011</v>
      </c>
      <c r="G759" s="3">
        <f t="shared" ca="1" si="188"/>
        <v>13.7</v>
      </c>
      <c r="H759" s="3">
        <f t="shared" ca="1" si="189"/>
        <v>30982</v>
      </c>
      <c r="I759" s="3">
        <f t="shared" ca="1" si="190"/>
        <v>8675</v>
      </c>
      <c r="J759" s="3">
        <f t="shared" ca="1" si="191"/>
        <v>1187</v>
      </c>
      <c r="K759" s="3">
        <f t="shared" ca="1" si="192"/>
        <v>37</v>
      </c>
      <c r="L759" s="3">
        <f t="shared" ca="1" si="193"/>
        <v>38</v>
      </c>
      <c r="M759" s="3">
        <f t="shared" ca="1" si="194"/>
        <v>1</v>
      </c>
      <c r="N759" s="3" t="str">
        <f t="shared" ca="1" si="195"/>
        <v>On Time</v>
      </c>
      <c r="O759" s="3" t="str">
        <f t="shared" ca="1" si="196"/>
        <v>Low</v>
      </c>
      <c r="P759" s="3">
        <f t="shared" ca="1" si="197"/>
        <v>45.7</v>
      </c>
      <c r="Q759" s="1" t="str">
        <f ca="1">VLOOKUP(D759,Routes!$A$2:$D$31,2,FALSE)</f>
        <v>Ahmedabad</v>
      </c>
      <c r="R759" s="1" t="str">
        <f ca="1">VLOOKUP(D759,Routes!$A$2:$D$31,3,FALSE)</f>
        <v>Indore</v>
      </c>
      <c r="S759" s="3">
        <f ca="1">VLOOKUP(D759,Routes!$A$2:$D$31,4,FALSE)</f>
        <v>390</v>
      </c>
      <c r="T759" s="3" t="str">
        <f ca="1">VLOOKUP(E759,Vehicles!$A$2:$D$21,2,FALSE)</f>
        <v>LCV</v>
      </c>
      <c r="U759" s="3">
        <f ca="1">VLOOKUP(E759,Vehicles!$A$2:$D$21,3,FALSE)</f>
        <v>7</v>
      </c>
      <c r="V759" s="3" t="str">
        <f ca="1">VLOOKUP(E759,Vehicles!$A$2:$D$21,4,FALSE)</f>
        <v>Diesel</v>
      </c>
      <c r="W759" s="3">
        <f ca="1">VLOOKUP(V759,Fuel_Rates!$A$2:$B$3,2,FALSE)</f>
        <v>95</v>
      </c>
      <c r="X759" s="3">
        <f t="shared" ca="1" si="199"/>
        <v>79.44</v>
      </c>
      <c r="Y759" s="3">
        <f t="shared" ca="1" si="200"/>
        <v>40844</v>
      </c>
      <c r="Z759" s="3" t="str">
        <f t="shared" ca="1" si="201"/>
        <v>Nov</v>
      </c>
      <c r="AA759" s="3" t="str">
        <f t="shared" ca="1" si="202"/>
        <v>Q4</v>
      </c>
      <c r="AB759" s="4" t="str">
        <f t="shared" ca="1" si="203"/>
        <v>Medium Haul</v>
      </c>
    </row>
    <row r="760" spans="1:28" x14ac:dyDescent="0.3">
      <c r="A760" s="8" t="str">
        <f t="shared" si="198"/>
        <v>S0759</v>
      </c>
      <c r="B760" s="3">
        <f t="shared" ca="1" si="187"/>
        <v>45705</v>
      </c>
      <c r="C760" s="3" t="str">
        <f ca="1">INDEX(Customers!$A$2:$A$21,RANDBETWEEN(1,20))</f>
        <v>C013</v>
      </c>
      <c r="D760" s="3" t="str">
        <f ca="1">INDEX(Routes!$A$2:$A$31,RANDBETWEEN(1,30))</f>
        <v>R014</v>
      </c>
      <c r="E760" s="3" t="str">
        <f ca="1">INDEX(Vehicles!$A$2:$A$21,RANDBETWEEN(1,20))</f>
        <v>V005</v>
      </c>
      <c r="F760" s="3" t="str">
        <f ca="1">INDEX(Drivers!$A$2:$A$31,RANDBETWEEN(1,30))</f>
        <v>D006</v>
      </c>
      <c r="G760" s="3">
        <f t="shared" ca="1" si="188"/>
        <v>17.3</v>
      </c>
      <c r="H760" s="3">
        <f t="shared" ca="1" si="189"/>
        <v>37487</v>
      </c>
      <c r="I760" s="3">
        <f t="shared" ca="1" si="190"/>
        <v>10496</v>
      </c>
      <c r="J760" s="3">
        <f t="shared" ca="1" si="191"/>
        <v>3348</v>
      </c>
      <c r="K760" s="3">
        <f t="shared" ca="1" si="192"/>
        <v>33</v>
      </c>
      <c r="L760" s="3">
        <f t="shared" ca="1" si="193"/>
        <v>37</v>
      </c>
      <c r="M760" s="3">
        <f t="shared" ca="1" si="194"/>
        <v>4</v>
      </c>
      <c r="N760" s="3" t="str">
        <f t="shared" ca="1" si="195"/>
        <v>Delayed</v>
      </c>
      <c r="O760" s="3" t="str">
        <f t="shared" ca="1" si="196"/>
        <v>Low</v>
      </c>
      <c r="P760" s="3">
        <f t="shared" ca="1" si="197"/>
        <v>57.7</v>
      </c>
      <c r="Q760" s="1" t="str">
        <f ca="1">VLOOKUP(D760,Routes!$A$2:$D$31,2,FALSE)</f>
        <v>Hyderabad</v>
      </c>
      <c r="R760" s="1" t="str">
        <f ca="1">VLOOKUP(D760,Routes!$A$2:$D$31,3,FALSE)</f>
        <v>Nagpur</v>
      </c>
      <c r="S760" s="3">
        <f ca="1">VLOOKUP(D760,Routes!$A$2:$D$31,4,FALSE)</f>
        <v>500</v>
      </c>
      <c r="T760" s="3" t="str">
        <f ca="1">VLOOKUP(E760,Vehicles!$A$2:$D$21,2,FALSE)</f>
        <v>Trailer</v>
      </c>
      <c r="U760" s="3">
        <f ca="1">VLOOKUP(E760,Vehicles!$A$2:$D$21,3,FALSE)</f>
        <v>32</v>
      </c>
      <c r="V760" s="3" t="str">
        <f ca="1">VLOOKUP(E760,Vehicles!$A$2:$D$21,4,FALSE)</f>
        <v>Diesel</v>
      </c>
      <c r="W760" s="3">
        <f ca="1">VLOOKUP(V760,Fuel_Rates!$A$2:$B$3,2,FALSE)</f>
        <v>95</v>
      </c>
      <c r="X760" s="3">
        <f t="shared" ca="1" si="199"/>
        <v>74.97</v>
      </c>
      <c r="Y760" s="3">
        <f t="shared" ca="1" si="200"/>
        <v>51331</v>
      </c>
      <c r="Z760" s="3" t="str">
        <f t="shared" ca="1" si="201"/>
        <v>Feb</v>
      </c>
      <c r="AA760" s="3" t="str">
        <f t="shared" ca="1" si="202"/>
        <v>Q1</v>
      </c>
      <c r="AB760" s="4" t="str">
        <f t="shared" ca="1" si="203"/>
        <v>Medium Haul</v>
      </c>
    </row>
    <row r="761" spans="1:28" x14ac:dyDescent="0.3">
      <c r="A761" s="8" t="str">
        <f t="shared" si="198"/>
        <v>S0760</v>
      </c>
      <c r="B761" s="3">
        <f t="shared" ca="1" si="187"/>
        <v>45848</v>
      </c>
      <c r="C761" s="3" t="str">
        <f ca="1">INDEX(Customers!$A$2:$A$21,RANDBETWEEN(1,20))</f>
        <v>C012</v>
      </c>
      <c r="D761" s="3" t="str">
        <f ca="1">INDEX(Routes!$A$2:$A$31,RANDBETWEEN(1,30))</f>
        <v>R006</v>
      </c>
      <c r="E761" s="3" t="str">
        <f ca="1">INDEX(Vehicles!$A$2:$A$21,RANDBETWEEN(1,20))</f>
        <v>V014</v>
      </c>
      <c r="F761" s="3" t="str">
        <f ca="1">INDEX(Drivers!$A$2:$A$31,RANDBETWEEN(1,30))</f>
        <v>D011</v>
      </c>
      <c r="G761" s="3">
        <f t="shared" ca="1" si="188"/>
        <v>29.7</v>
      </c>
      <c r="H761" s="3">
        <f t="shared" ca="1" si="189"/>
        <v>58136</v>
      </c>
      <c r="I761" s="3">
        <f t="shared" ca="1" si="190"/>
        <v>16278</v>
      </c>
      <c r="J761" s="3">
        <f t="shared" ca="1" si="191"/>
        <v>3722</v>
      </c>
      <c r="K761" s="3">
        <f t="shared" ca="1" si="192"/>
        <v>11</v>
      </c>
      <c r="L761" s="3">
        <f t="shared" ca="1" si="193"/>
        <v>15</v>
      </c>
      <c r="M761" s="3">
        <f t="shared" ca="1" si="194"/>
        <v>4</v>
      </c>
      <c r="N761" s="3" t="str">
        <f t="shared" ca="1" si="195"/>
        <v>Delayed</v>
      </c>
      <c r="O761" s="3" t="str">
        <f t="shared" ca="1" si="196"/>
        <v>Low</v>
      </c>
      <c r="P761" s="3">
        <f t="shared" ca="1" si="197"/>
        <v>99</v>
      </c>
      <c r="Q761" s="1" t="str">
        <f ca="1">VLOOKUP(D761,Routes!$A$2:$D$31,2,FALSE)</f>
        <v>Delhi</v>
      </c>
      <c r="R761" s="1" t="str">
        <f ca="1">VLOOKUP(D761,Routes!$A$2:$D$31,3,FALSE)</f>
        <v>Lucknow</v>
      </c>
      <c r="S761" s="3">
        <f ca="1">VLOOKUP(D761,Routes!$A$2:$D$31,4,FALSE)</f>
        <v>550</v>
      </c>
      <c r="T761" s="3" t="str">
        <f ca="1">VLOOKUP(E761,Vehicles!$A$2:$D$21,2,FALSE)</f>
        <v>LCV</v>
      </c>
      <c r="U761" s="3">
        <f ca="1">VLOOKUP(E761,Vehicles!$A$2:$D$21,3,FALSE)</f>
        <v>6</v>
      </c>
      <c r="V761" s="3" t="str">
        <f ca="1">VLOOKUP(E761,Vehicles!$A$2:$D$21,4,FALSE)</f>
        <v>CNG</v>
      </c>
      <c r="W761" s="3">
        <f ca="1">VLOOKUP(V761,Fuel_Rates!$A$2:$B$3,2,FALSE)</f>
        <v>78</v>
      </c>
      <c r="X761" s="3">
        <f t="shared" ca="1" si="199"/>
        <v>105.7</v>
      </c>
      <c r="Y761" s="3">
        <f t="shared" ca="1" si="200"/>
        <v>78136</v>
      </c>
      <c r="Z761" s="3" t="str">
        <f t="shared" ca="1" si="201"/>
        <v>Jul</v>
      </c>
      <c r="AA761" s="3" t="str">
        <f t="shared" ca="1" si="202"/>
        <v>Q3</v>
      </c>
      <c r="AB761" s="4" t="str">
        <f t="shared" ca="1" si="203"/>
        <v>Medium Haul</v>
      </c>
    </row>
    <row r="762" spans="1:28" x14ac:dyDescent="0.3">
      <c r="A762" s="8" t="str">
        <f t="shared" si="198"/>
        <v>S0761</v>
      </c>
      <c r="B762" s="3">
        <f t="shared" ca="1" si="187"/>
        <v>45877</v>
      </c>
      <c r="C762" s="3" t="str">
        <f ca="1">INDEX(Customers!$A$2:$A$21,RANDBETWEEN(1,20))</f>
        <v>C013</v>
      </c>
      <c r="D762" s="3" t="str">
        <f ca="1">INDEX(Routes!$A$2:$A$31,RANDBETWEEN(1,30))</f>
        <v>R009</v>
      </c>
      <c r="E762" s="3" t="str">
        <f ca="1">INDEX(Vehicles!$A$2:$A$21,RANDBETWEEN(1,20))</f>
        <v>V014</v>
      </c>
      <c r="F762" s="3" t="str">
        <f ca="1">INDEX(Drivers!$A$2:$A$31,RANDBETWEEN(1,30))</f>
        <v>D004</v>
      </c>
      <c r="G762" s="3">
        <f t="shared" ca="1" si="188"/>
        <v>18.7</v>
      </c>
      <c r="H762" s="3">
        <f t="shared" ca="1" si="189"/>
        <v>42359</v>
      </c>
      <c r="I762" s="3">
        <f t="shared" ca="1" si="190"/>
        <v>11861</v>
      </c>
      <c r="J762" s="3">
        <f t="shared" ca="1" si="191"/>
        <v>1772</v>
      </c>
      <c r="K762" s="3">
        <f t="shared" ca="1" si="192"/>
        <v>22</v>
      </c>
      <c r="L762" s="3">
        <f t="shared" ca="1" si="193"/>
        <v>30</v>
      </c>
      <c r="M762" s="3">
        <f t="shared" ca="1" si="194"/>
        <v>8</v>
      </c>
      <c r="N762" s="3" t="str">
        <f t="shared" ca="1" si="195"/>
        <v>Delayed</v>
      </c>
      <c r="O762" s="3" t="str">
        <f t="shared" ca="1" si="196"/>
        <v>High</v>
      </c>
      <c r="P762" s="3">
        <f t="shared" ca="1" si="197"/>
        <v>62.3</v>
      </c>
      <c r="Q762" s="1" t="str">
        <f ca="1">VLOOKUP(D762,Routes!$A$2:$D$31,2,FALSE)</f>
        <v>Bengaluru</v>
      </c>
      <c r="R762" s="1" t="str">
        <f ca="1">VLOOKUP(D762,Routes!$A$2:$D$31,3,FALSE)</f>
        <v>Chennai</v>
      </c>
      <c r="S762" s="3">
        <f ca="1">VLOOKUP(D762,Routes!$A$2:$D$31,4,FALSE)</f>
        <v>350</v>
      </c>
      <c r="T762" s="3" t="str">
        <f ca="1">VLOOKUP(E762,Vehicles!$A$2:$D$21,2,FALSE)</f>
        <v>LCV</v>
      </c>
      <c r="U762" s="3">
        <f ca="1">VLOOKUP(E762,Vehicles!$A$2:$D$21,3,FALSE)</f>
        <v>6</v>
      </c>
      <c r="V762" s="3" t="str">
        <f ca="1">VLOOKUP(E762,Vehicles!$A$2:$D$21,4,FALSE)</f>
        <v>CNG</v>
      </c>
      <c r="W762" s="3">
        <f ca="1">VLOOKUP(V762,Fuel_Rates!$A$2:$B$3,2,FALSE)</f>
        <v>78</v>
      </c>
      <c r="X762" s="3">
        <f t="shared" ca="1" si="199"/>
        <v>121.03</v>
      </c>
      <c r="Y762" s="3">
        <f t="shared" ca="1" si="200"/>
        <v>55992</v>
      </c>
      <c r="Z762" s="3" t="str">
        <f t="shared" ca="1" si="201"/>
        <v>Aug</v>
      </c>
      <c r="AA762" s="3" t="str">
        <f t="shared" ca="1" si="202"/>
        <v>Q3</v>
      </c>
      <c r="AB762" s="4" t="str">
        <f t="shared" ca="1" si="203"/>
        <v>Medium Haul</v>
      </c>
    </row>
    <row r="763" spans="1:28" x14ac:dyDescent="0.3">
      <c r="A763" s="8" t="str">
        <f t="shared" si="198"/>
        <v>S0762</v>
      </c>
      <c r="B763" s="3">
        <f t="shared" ca="1" si="187"/>
        <v>45855</v>
      </c>
      <c r="C763" s="3" t="str">
        <f ca="1">INDEX(Customers!$A$2:$A$21,RANDBETWEEN(1,20))</f>
        <v>C015</v>
      </c>
      <c r="D763" s="3" t="str">
        <f ca="1">INDEX(Routes!$A$2:$A$31,RANDBETWEEN(1,30))</f>
        <v>R029</v>
      </c>
      <c r="E763" s="3" t="str">
        <f ca="1">INDEX(Vehicles!$A$2:$A$21,RANDBETWEEN(1,20))</f>
        <v>V001</v>
      </c>
      <c r="F763" s="3" t="str">
        <f ca="1">INDEX(Drivers!$A$2:$A$31,RANDBETWEEN(1,30))</f>
        <v>D010</v>
      </c>
      <c r="G763" s="3">
        <f t="shared" ca="1" si="188"/>
        <v>17.399999999999999</v>
      </c>
      <c r="H763" s="3">
        <f t="shared" ca="1" si="189"/>
        <v>35809</v>
      </c>
      <c r="I763" s="3">
        <f t="shared" ca="1" si="190"/>
        <v>10027</v>
      </c>
      <c r="J763" s="3">
        <f t="shared" ca="1" si="191"/>
        <v>3213</v>
      </c>
      <c r="K763" s="3">
        <f t="shared" ca="1" si="192"/>
        <v>25</v>
      </c>
      <c r="L763" s="3">
        <f t="shared" ca="1" si="193"/>
        <v>30</v>
      </c>
      <c r="M763" s="3">
        <f t="shared" ca="1" si="194"/>
        <v>5</v>
      </c>
      <c r="N763" s="3" t="str">
        <f t="shared" ca="1" si="195"/>
        <v>Delayed</v>
      </c>
      <c r="O763" s="3" t="str">
        <f t="shared" ca="1" si="196"/>
        <v>Low</v>
      </c>
      <c r="P763" s="3">
        <f t="shared" ca="1" si="197"/>
        <v>58</v>
      </c>
      <c r="Q763" s="1" t="str">
        <f ca="1">VLOOKUP(D763,Routes!$A$2:$D$31,2,FALSE)</f>
        <v>Chandigarh</v>
      </c>
      <c r="R763" s="1" t="str">
        <f ca="1">VLOOKUP(D763,Routes!$A$2:$D$31,3,FALSE)</f>
        <v>Delhi</v>
      </c>
      <c r="S763" s="3">
        <f ca="1">VLOOKUP(D763,Routes!$A$2:$D$31,4,FALSE)</f>
        <v>250</v>
      </c>
      <c r="T763" s="3" t="str">
        <f ca="1">VLOOKUP(E763,Vehicles!$A$2:$D$21,2,FALSE)</f>
        <v>Truck</v>
      </c>
      <c r="U763" s="3">
        <f ca="1">VLOOKUP(E763,Vehicles!$A$2:$D$21,3,FALSE)</f>
        <v>16</v>
      </c>
      <c r="V763" s="3" t="str">
        <f ca="1">VLOOKUP(E763,Vehicles!$A$2:$D$21,4,FALSE)</f>
        <v>Diesel</v>
      </c>
      <c r="W763" s="3">
        <f ca="1">VLOOKUP(V763,Fuel_Rates!$A$2:$B$3,2,FALSE)</f>
        <v>95</v>
      </c>
      <c r="X763" s="3">
        <f t="shared" ca="1" si="199"/>
        <v>143.24</v>
      </c>
      <c r="Y763" s="3">
        <f t="shared" ca="1" si="200"/>
        <v>49049</v>
      </c>
      <c r="Z763" s="3" t="str">
        <f t="shared" ca="1" si="201"/>
        <v>Jul</v>
      </c>
      <c r="AA763" s="3" t="str">
        <f t="shared" ca="1" si="202"/>
        <v>Q3</v>
      </c>
      <c r="AB763" s="4" t="str">
        <f t="shared" ca="1" si="203"/>
        <v>Short Haul</v>
      </c>
    </row>
    <row r="764" spans="1:28" x14ac:dyDescent="0.3">
      <c r="A764" s="8" t="str">
        <f t="shared" si="198"/>
        <v>S0763</v>
      </c>
      <c r="B764" s="3">
        <f t="shared" ca="1" si="187"/>
        <v>45995</v>
      </c>
      <c r="C764" s="3" t="str">
        <f ca="1">INDEX(Customers!$A$2:$A$21,RANDBETWEEN(1,20))</f>
        <v>C001</v>
      </c>
      <c r="D764" s="3" t="str">
        <f ca="1">INDEX(Routes!$A$2:$A$31,RANDBETWEEN(1,30))</f>
        <v>R019</v>
      </c>
      <c r="E764" s="3" t="str">
        <f ca="1">INDEX(Vehicles!$A$2:$A$21,RANDBETWEEN(1,20))</f>
        <v>V007</v>
      </c>
      <c r="F764" s="3" t="str">
        <f ca="1">INDEX(Drivers!$A$2:$A$31,RANDBETWEEN(1,30))</f>
        <v>D017</v>
      </c>
      <c r="G764" s="3">
        <f t="shared" ca="1" si="188"/>
        <v>20.8</v>
      </c>
      <c r="H764" s="3">
        <f t="shared" ca="1" si="189"/>
        <v>48806</v>
      </c>
      <c r="I764" s="3">
        <f t="shared" ca="1" si="190"/>
        <v>13666</v>
      </c>
      <c r="J764" s="3">
        <f t="shared" ca="1" si="191"/>
        <v>2611</v>
      </c>
      <c r="K764" s="3">
        <f t="shared" ca="1" si="192"/>
        <v>27</v>
      </c>
      <c r="L764" s="3">
        <f t="shared" ca="1" si="193"/>
        <v>30</v>
      </c>
      <c r="M764" s="3">
        <f t="shared" ca="1" si="194"/>
        <v>3</v>
      </c>
      <c r="N764" s="3" t="str">
        <f t="shared" ca="1" si="195"/>
        <v>Delayed</v>
      </c>
      <c r="O764" s="3" t="str">
        <f t="shared" ca="1" si="196"/>
        <v>Medium</v>
      </c>
      <c r="P764" s="3">
        <f t="shared" ca="1" si="197"/>
        <v>69.3</v>
      </c>
      <c r="Q764" s="1" t="str">
        <f ca="1">VLOOKUP(D764,Routes!$A$2:$D$31,2,FALSE)</f>
        <v>Ahmedabad</v>
      </c>
      <c r="R764" s="1" t="str">
        <f ca="1">VLOOKUP(D764,Routes!$A$2:$D$31,3,FALSE)</f>
        <v>Indore</v>
      </c>
      <c r="S764" s="3">
        <f ca="1">VLOOKUP(D764,Routes!$A$2:$D$31,4,FALSE)</f>
        <v>390</v>
      </c>
      <c r="T764" s="3" t="str">
        <f ca="1">VLOOKUP(E764,Vehicles!$A$2:$D$21,2,FALSE)</f>
        <v>Container</v>
      </c>
      <c r="U764" s="3">
        <f ca="1">VLOOKUP(E764,Vehicles!$A$2:$D$21,3,FALSE)</f>
        <v>20</v>
      </c>
      <c r="V764" s="3" t="str">
        <f ca="1">VLOOKUP(E764,Vehicles!$A$2:$D$21,4,FALSE)</f>
        <v>Diesel</v>
      </c>
      <c r="W764" s="3">
        <f ca="1">VLOOKUP(V764,Fuel_Rates!$A$2:$B$3,2,FALSE)</f>
        <v>95</v>
      </c>
      <c r="X764" s="3">
        <f t="shared" ca="1" si="199"/>
        <v>125.14</v>
      </c>
      <c r="Y764" s="3">
        <f t="shared" ca="1" si="200"/>
        <v>65083</v>
      </c>
      <c r="Z764" s="3" t="str">
        <f t="shared" ca="1" si="201"/>
        <v>Dec</v>
      </c>
      <c r="AA764" s="3" t="str">
        <f t="shared" ca="1" si="202"/>
        <v>Q4</v>
      </c>
      <c r="AB764" s="4" t="str">
        <f t="shared" ca="1" si="203"/>
        <v>Medium Haul</v>
      </c>
    </row>
    <row r="765" spans="1:28" x14ac:dyDescent="0.3">
      <c r="A765" s="8" t="str">
        <f t="shared" si="198"/>
        <v>S0764</v>
      </c>
      <c r="B765" s="3">
        <f t="shared" ca="1" si="187"/>
        <v>45954</v>
      </c>
      <c r="C765" s="3" t="str">
        <f ca="1">INDEX(Customers!$A$2:$A$21,RANDBETWEEN(1,20))</f>
        <v>C006</v>
      </c>
      <c r="D765" s="3" t="str">
        <f ca="1">INDEX(Routes!$A$2:$A$31,RANDBETWEEN(1,30))</f>
        <v>R007</v>
      </c>
      <c r="E765" s="3" t="str">
        <f ca="1">INDEX(Vehicles!$A$2:$A$21,RANDBETWEEN(1,20))</f>
        <v>V016</v>
      </c>
      <c r="F765" s="3" t="str">
        <f ca="1">INDEX(Drivers!$A$2:$A$31,RANDBETWEEN(1,30))</f>
        <v>D028</v>
      </c>
      <c r="G765" s="3">
        <f t="shared" ca="1" si="188"/>
        <v>17.399999999999999</v>
      </c>
      <c r="H765" s="3">
        <f t="shared" ca="1" si="189"/>
        <v>39334</v>
      </c>
      <c r="I765" s="3">
        <f t="shared" ca="1" si="190"/>
        <v>11014</v>
      </c>
      <c r="J765" s="3">
        <f t="shared" ca="1" si="191"/>
        <v>3953</v>
      </c>
      <c r="K765" s="3">
        <f t="shared" ca="1" si="192"/>
        <v>36</v>
      </c>
      <c r="L765" s="3">
        <f t="shared" ca="1" si="193"/>
        <v>38</v>
      </c>
      <c r="M765" s="3">
        <f t="shared" ca="1" si="194"/>
        <v>2</v>
      </c>
      <c r="N765" s="3" t="str">
        <f t="shared" ca="1" si="195"/>
        <v>On Time</v>
      </c>
      <c r="O765" s="3" t="str">
        <f t="shared" ca="1" si="196"/>
        <v>High</v>
      </c>
      <c r="P765" s="3">
        <f t="shared" ca="1" si="197"/>
        <v>58</v>
      </c>
      <c r="Q765" s="1" t="str">
        <f ca="1">VLOOKUP(D765,Routes!$A$2:$D$31,2,FALSE)</f>
        <v>Delhi</v>
      </c>
      <c r="R765" s="1" t="str">
        <f ca="1">VLOOKUP(D765,Routes!$A$2:$D$31,3,FALSE)</f>
        <v>Chandigarh</v>
      </c>
      <c r="S765" s="3">
        <f ca="1">VLOOKUP(D765,Routes!$A$2:$D$31,4,FALSE)</f>
        <v>250</v>
      </c>
      <c r="T765" s="3" t="str">
        <f ca="1">VLOOKUP(E765,Vehicles!$A$2:$D$21,2,FALSE)</f>
        <v>Container</v>
      </c>
      <c r="U765" s="3">
        <f ca="1">VLOOKUP(E765,Vehicles!$A$2:$D$21,3,FALSE)</f>
        <v>22</v>
      </c>
      <c r="V765" s="3" t="str">
        <f ca="1">VLOOKUP(E765,Vehicles!$A$2:$D$21,4,FALSE)</f>
        <v>Diesel</v>
      </c>
      <c r="W765" s="3">
        <f ca="1">VLOOKUP(V765,Fuel_Rates!$A$2:$B$3,2,FALSE)</f>
        <v>95</v>
      </c>
      <c r="X765" s="3">
        <f t="shared" ca="1" si="199"/>
        <v>157.34</v>
      </c>
      <c r="Y765" s="3">
        <f t="shared" ca="1" si="200"/>
        <v>54301</v>
      </c>
      <c r="Z765" s="3" t="str">
        <f t="shared" ca="1" si="201"/>
        <v>Oct</v>
      </c>
      <c r="AA765" s="3" t="str">
        <f t="shared" ca="1" si="202"/>
        <v>Q4</v>
      </c>
      <c r="AB765" s="4" t="str">
        <f t="shared" ca="1" si="203"/>
        <v>Short Haul</v>
      </c>
    </row>
    <row r="766" spans="1:28" x14ac:dyDescent="0.3">
      <c r="A766" s="8" t="str">
        <f t="shared" si="198"/>
        <v>S0765</v>
      </c>
      <c r="B766" s="3">
        <f t="shared" ca="1" si="187"/>
        <v>45905</v>
      </c>
      <c r="C766" s="3" t="str">
        <f ca="1">INDEX(Customers!$A$2:$A$21,RANDBETWEEN(1,20))</f>
        <v>C002</v>
      </c>
      <c r="D766" s="3" t="str">
        <f ca="1">INDEX(Routes!$A$2:$A$31,RANDBETWEEN(1,30))</f>
        <v>R011</v>
      </c>
      <c r="E766" s="3" t="str">
        <f ca="1">INDEX(Vehicles!$A$2:$A$21,RANDBETWEEN(1,20))</f>
        <v>V018</v>
      </c>
      <c r="F766" s="3" t="str">
        <f ca="1">INDEX(Drivers!$A$2:$A$31,RANDBETWEEN(1,30))</f>
        <v>D028</v>
      </c>
      <c r="G766" s="3">
        <f t="shared" ca="1" si="188"/>
        <v>3.5</v>
      </c>
      <c r="H766" s="3">
        <f t="shared" ca="1" si="189"/>
        <v>20058</v>
      </c>
      <c r="I766" s="3">
        <f t="shared" ca="1" si="190"/>
        <v>5616</v>
      </c>
      <c r="J766" s="3">
        <f t="shared" ca="1" si="191"/>
        <v>1697</v>
      </c>
      <c r="K766" s="3">
        <f t="shared" ca="1" si="192"/>
        <v>13</v>
      </c>
      <c r="L766" s="3">
        <f t="shared" ca="1" si="193"/>
        <v>17</v>
      </c>
      <c r="M766" s="3">
        <f t="shared" ca="1" si="194"/>
        <v>4</v>
      </c>
      <c r="N766" s="3" t="str">
        <f t="shared" ca="1" si="195"/>
        <v>Delayed</v>
      </c>
      <c r="O766" s="3" t="str">
        <f t="shared" ca="1" si="196"/>
        <v>Medium</v>
      </c>
      <c r="P766" s="3">
        <f t="shared" ca="1" si="197"/>
        <v>11.7</v>
      </c>
      <c r="Q766" s="1" t="str">
        <f ca="1">VLOOKUP(D766,Routes!$A$2:$D$31,2,FALSE)</f>
        <v>Bengaluru</v>
      </c>
      <c r="R766" s="1" t="str">
        <f ca="1">VLOOKUP(D766,Routes!$A$2:$D$31,3,FALSE)</f>
        <v>Kochi</v>
      </c>
      <c r="S766" s="3">
        <f ca="1">VLOOKUP(D766,Routes!$A$2:$D$31,4,FALSE)</f>
        <v>550</v>
      </c>
      <c r="T766" s="3" t="str">
        <f ca="1">VLOOKUP(E766,Vehicles!$A$2:$D$21,2,FALSE)</f>
        <v>Truck</v>
      </c>
      <c r="U766" s="3">
        <f ca="1">VLOOKUP(E766,Vehicles!$A$2:$D$21,3,FALSE)</f>
        <v>26</v>
      </c>
      <c r="V766" s="3" t="str">
        <f ca="1">VLOOKUP(E766,Vehicles!$A$2:$D$21,4,FALSE)</f>
        <v>Diesel</v>
      </c>
      <c r="W766" s="3">
        <f ca="1">VLOOKUP(V766,Fuel_Rates!$A$2:$B$3,2,FALSE)</f>
        <v>95</v>
      </c>
      <c r="X766" s="3">
        <f t="shared" ca="1" si="199"/>
        <v>36.47</v>
      </c>
      <c r="Y766" s="3">
        <f t="shared" ca="1" si="200"/>
        <v>27371</v>
      </c>
      <c r="Z766" s="3" t="str">
        <f t="shared" ca="1" si="201"/>
        <v>Sep</v>
      </c>
      <c r="AA766" s="3" t="str">
        <f t="shared" ca="1" si="202"/>
        <v>Q3</v>
      </c>
      <c r="AB766" s="4" t="str">
        <f t="shared" ca="1" si="203"/>
        <v>Medium Haul</v>
      </c>
    </row>
    <row r="767" spans="1:28" x14ac:dyDescent="0.3">
      <c r="A767" s="8" t="str">
        <f t="shared" si="198"/>
        <v>S0766</v>
      </c>
      <c r="B767" s="3">
        <f t="shared" ca="1" si="187"/>
        <v>45963</v>
      </c>
      <c r="C767" s="3" t="str">
        <f ca="1">INDEX(Customers!$A$2:$A$21,RANDBETWEEN(1,20))</f>
        <v>C016</v>
      </c>
      <c r="D767" s="3" t="str">
        <f ca="1">INDEX(Routes!$A$2:$A$31,RANDBETWEEN(1,30))</f>
        <v>R009</v>
      </c>
      <c r="E767" s="3" t="str">
        <f ca="1">INDEX(Vehicles!$A$2:$A$21,RANDBETWEEN(1,20))</f>
        <v>V018</v>
      </c>
      <c r="F767" s="3" t="str">
        <f ca="1">INDEX(Drivers!$A$2:$A$31,RANDBETWEEN(1,30))</f>
        <v>D020</v>
      </c>
      <c r="G767" s="3">
        <f t="shared" ca="1" si="188"/>
        <v>14.9</v>
      </c>
      <c r="H767" s="3">
        <f t="shared" ca="1" si="189"/>
        <v>38673</v>
      </c>
      <c r="I767" s="3">
        <f t="shared" ca="1" si="190"/>
        <v>10828</v>
      </c>
      <c r="J767" s="3">
        <f t="shared" ca="1" si="191"/>
        <v>3291</v>
      </c>
      <c r="K767" s="3">
        <f t="shared" ca="1" si="192"/>
        <v>9</v>
      </c>
      <c r="L767" s="3">
        <f t="shared" ca="1" si="193"/>
        <v>15</v>
      </c>
      <c r="M767" s="3">
        <f t="shared" ca="1" si="194"/>
        <v>6</v>
      </c>
      <c r="N767" s="3" t="str">
        <f t="shared" ca="1" si="195"/>
        <v>Delayed</v>
      </c>
      <c r="O767" s="3" t="str">
        <f t="shared" ca="1" si="196"/>
        <v>High</v>
      </c>
      <c r="P767" s="3">
        <f t="shared" ca="1" si="197"/>
        <v>49.7</v>
      </c>
      <c r="Q767" s="1" t="str">
        <f ca="1">VLOOKUP(D767,Routes!$A$2:$D$31,2,FALSE)</f>
        <v>Bengaluru</v>
      </c>
      <c r="R767" s="1" t="str">
        <f ca="1">VLOOKUP(D767,Routes!$A$2:$D$31,3,FALSE)</f>
        <v>Chennai</v>
      </c>
      <c r="S767" s="3">
        <f ca="1">VLOOKUP(D767,Routes!$A$2:$D$31,4,FALSE)</f>
        <v>350</v>
      </c>
      <c r="T767" s="3" t="str">
        <f ca="1">VLOOKUP(E767,Vehicles!$A$2:$D$21,2,FALSE)</f>
        <v>Truck</v>
      </c>
      <c r="U767" s="3">
        <f ca="1">VLOOKUP(E767,Vehicles!$A$2:$D$21,3,FALSE)</f>
        <v>26</v>
      </c>
      <c r="V767" s="3" t="str">
        <f ca="1">VLOOKUP(E767,Vehicles!$A$2:$D$21,4,FALSE)</f>
        <v>Diesel</v>
      </c>
      <c r="W767" s="3">
        <f ca="1">VLOOKUP(V767,Fuel_Rates!$A$2:$B$3,2,FALSE)</f>
        <v>95</v>
      </c>
      <c r="X767" s="3">
        <f t="shared" ca="1" si="199"/>
        <v>110.49</v>
      </c>
      <c r="Y767" s="3">
        <f t="shared" ca="1" si="200"/>
        <v>52792</v>
      </c>
      <c r="Z767" s="3" t="str">
        <f t="shared" ca="1" si="201"/>
        <v>Nov</v>
      </c>
      <c r="AA767" s="3" t="str">
        <f t="shared" ca="1" si="202"/>
        <v>Q4</v>
      </c>
      <c r="AB767" s="4" t="str">
        <f t="shared" ca="1" si="203"/>
        <v>Medium Haul</v>
      </c>
    </row>
    <row r="768" spans="1:28" x14ac:dyDescent="0.3">
      <c r="A768" s="8" t="str">
        <f t="shared" si="198"/>
        <v>S0767</v>
      </c>
      <c r="B768" s="3">
        <f t="shared" ca="1" si="187"/>
        <v>45881</v>
      </c>
      <c r="C768" s="3" t="str">
        <f ca="1">INDEX(Customers!$A$2:$A$21,RANDBETWEEN(1,20))</f>
        <v>C008</v>
      </c>
      <c r="D768" s="3" t="str">
        <f ca="1">INDEX(Routes!$A$2:$A$31,RANDBETWEEN(1,30))</f>
        <v>R011</v>
      </c>
      <c r="E768" s="3" t="str">
        <f ca="1">INDEX(Vehicles!$A$2:$A$21,RANDBETWEEN(1,20))</f>
        <v>V008</v>
      </c>
      <c r="F768" s="3" t="str">
        <f ca="1">INDEX(Drivers!$A$2:$A$31,RANDBETWEEN(1,30))</f>
        <v>D008</v>
      </c>
      <c r="G768" s="3">
        <f t="shared" ca="1" si="188"/>
        <v>20.7</v>
      </c>
      <c r="H768" s="3">
        <f t="shared" ca="1" si="189"/>
        <v>44902</v>
      </c>
      <c r="I768" s="3">
        <f t="shared" ca="1" si="190"/>
        <v>12573</v>
      </c>
      <c r="J768" s="3">
        <f t="shared" ca="1" si="191"/>
        <v>2922</v>
      </c>
      <c r="K768" s="3">
        <f t="shared" ca="1" si="192"/>
        <v>22</v>
      </c>
      <c r="L768" s="3">
        <f t="shared" ca="1" si="193"/>
        <v>26</v>
      </c>
      <c r="M768" s="3">
        <f t="shared" ca="1" si="194"/>
        <v>4</v>
      </c>
      <c r="N768" s="3" t="str">
        <f t="shared" ca="1" si="195"/>
        <v>Delayed</v>
      </c>
      <c r="O768" s="3" t="str">
        <f t="shared" ca="1" si="196"/>
        <v>High</v>
      </c>
      <c r="P768" s="3">
        <f t="shared" ca="1" si="197"/>
        <v>69</v>
      </c>
      <c r="Q768" s="1" t="str">
        <f ca="1">VLOOKUP(D768,Routes!$A$2:$D$31,2,FALSE)</f>
        <v>Bengaluru</v>
      </c>
      <c r="R768" s="1" t="str">
        <f ca="1">VLOOKUP(D768,Routes!$A$2:$D$31,3,FALSE)</f>
        <v>Kochi</v>
      </c>
      <c r="S768" s="3">
        <f ca="1">VLOOKUP(D768,Routes!$A$2:$D$31,4,FALSE)</f>
        <v>550</v>
      </c>
      <c r="T768" s="3" t="str">
        <f ca="1">VLOOKUP(E768,Vehicles!$A$2:$D$21,2,FALSE)</f>
        <v>Container</v>
      </c>
      <c r="U768" s="3">
        <f ca="1">VLOOKUP(E768,Vehicles!$A$2:$D$21,3,FALSE)</f>
        <v>25</v>
      </c>
      <c r="V768" s="3" t="str">
        <f ca="1">VLOOKUP(E768,Vehicles!$A$2:$D$21,4,FALSE)</f>
        <v>Diesel</v>
      </c>
      <c r="W768" s="3">
        <f ca="1">VLOOKUP(V768,Fuel_Rates!$A$2:$B$3,2,FALSE)</f>
        <v>95</v>
      </c>
      <c r="X768" s="3">
        <f t="shared" ca="1" si="199"/>
        <v>81.64</v>
      </c>
      <c r="Y768" s="3">
        <f t="shared" ca="1" si="200"/>
        <v>60397</v>
      </c>
      <c r="Z768" s="3" t="str">
        <f t="shared" ca="1" si="201"/>
        <v>Aug</v>
      </c>
      <c r="AA768" s="3" t="str">
        <f t="shared" ca="1" si="202"/>
        <v>Q3</v>
      </c>
      <c r="AB768" s="4" t="str">
        <f t="shared" ca="1" si="203"/>
        <v>Medium Haul</v>
      </c>
    </row>
    <row r="769" spans="1:28" x14ac:dyDescent="0.3">
      <c r="A769" s="8" t="str">
        <f t="shared" si="198"/>
        <v>S0768</v>
      </c>
      <c r="B769" s="3">
        <f t="shared" ca="1" si="187"/>
        <v>45674</v>
      </c>
      <c r="C769" s="3" t="str">
        <f ca="1">INDEX(Customers!$A$2:$A$21,RANDBETWEEN(1,20))</f>
        <v>C012</v>
      </c>
      <c r="D769" s="3" t="str">
        <f ca="1">INDEX(Routes!$A$2:$A$31,RANDBETWEEN(1,30))</f>
        <v>R016</v>
      </c>
      <c r="E769" s="3" t="str">
        <f ca="1">INDEX(Vehicles!$A$2:$A$21,RANDBETWEEN(1,20))</f>
        <v>V012</v>
      </c>
      <c r="F769" s="3" t="str">
        <f ca="1">INDEX(Drivers!$A$2:$A$31,RANDBETWEEN(1,30))</f>
        <v>D028</v>
      </c>
      <c r="G769" s="3">
        <f t="shared" ca="1" si="188"/>
        <v>23.3</v>
      </c>
      <c r="H769" s="3">
        <f t="shared" ca="1" si="189"/>
        <v>46002</v>
      </c>
      <c r="I769" s="3">
        <f t="shared" ca="1" si="190"/>
        <v>12881</v>
      </c>
      <c r="J769" s="3">
        <f t="shared" ca="1" si="191"/>
        <v>2998</v>
      </c>
      <c r="K769" s="3">
        <f t="shared" ca="1" si="192"/>
        <v>46</v>
      </c>
      <c r="L769" s="3">
        <f t="shared" ca="1" si="193"/>
        <v>51</v>
      </c>
      <c r="M769" s="3">
        <f t="shared" ca="1" si="194"/>
        <v>5</v>
      </c>
      <c r="N769" s="3" t="str">
        <f t="shared" ca="1" si="195"/>
        <v>Delayed</v>
      </c>
      <c r="O769" s="3" t="str">
        <f t="shared" ca="1" si="196"/>
        <v>Low</v>
      </c>
      <c r="P769" s="3">
        <f t="shared" ca="1" si="197"/>
        <v>77.7</v>
      </c>
      <c r="Q769" s="1" t="str">
        <f ca="1">VLOOKUP(D769,Routes!$A$2:$D$31,2,FALSE)</f>
        <v>Kolkata</v>
      </c>
      <c r="R769" s="1" t="str">
        <f ca="1">VLOOKUP(D769,Routes!$A$2:$D$31,3,FALSE)</f>
        <v>Bhubaneswar</v>
      </c>
      <c r="S769" s="3">
        <f ca="1">VLOOKUP(D769,Routes!$A$2:$D$31,4,FALSE)</f>
        <v>440</v>
      </c>
      <c r="T769" s="3" t="str">
        <f ca="1">VLOOKUP(E769,Vehicles!$A$2:$D$21,2,FALSE)</f>
        <v>Truck</v>
      </c>
      <c r="U769" s="3">
        <f ca="1">VLOOKUP(E769,Vehicles!$A$2:$D$21,3,FALSE)</f>
        <v>20</v>
      </c>
      <c r="V769" s="3" t="str">
        <f ca="1">VLOOKUP(E769,Vehicles!$A$2:$D$21,4,FALSE)</f>
        <v>CNG</v>
      </c>
      <c r="W769" s="3">
        <f ca="1">VLOOKUP(V769,Fuel_Rates!$A$2:$B$3,2,FALSE)</f>
        <v>78</v>
      </c>
      <c r="X769" s="3">
        <f t="shared" ca="1" si="199"/>
        <v>104.55</v>
      </c>
      <c r="Y769" s="3">
        <f t="shared" ca="1" si="200"/>
        <v>61881</v>
      </c>
      <c r="Z769" s="3" t="str">
        <f t="shared" ca="1" si="201"/>
        <v>Jan</v>
      </c>
      <c r="AA769" s="3" t="str">
        <f t="shared" ca="1" si="202"/>
        <v>Q1</v>
      </c>
      <c r="AB769" s="4" t="str">
        <f t="shared" ca="1" si="203"/>
        <v>Medium Haul</v>
      </c>
    </row>
    <row r="770" spans="1:28" x14ac:dyDescent="0.3">
      <c r="A770" s="8" t="str">
        <f t="shared" si="198"/>
        <v>S0769</v>
      </c>
      <c r="B770" s="3">
        <f t="shared" ref="B770:B833" ca="1" si="204">DATE(2025,RANDBETWEEN(1,12),RANDBETWEEN(1,28))</f>
        <v>45694</v>
      </c>
      <c r="C770" s="3" t="str">
        <f ca="1">INDEX(Customers!$A$2:$A$21,RANDBETWEEN(1,20))</f>
        <v>C004</v>
      </c>
      <c r="D770" s="3" t="str">
        <f ca="1">INDEX(Routes!$A$2:$A$31,RANDBETWEEN(1,30))</f>
        <v>R021</v>
      </c>
      <c r="E770" s="3" t="str">
        <f ca="1">INDEX(Vehicles!$A$2:$A$21,RANDBETWEEN(1,20))</f>
        <v>V016</v>
      </c>
      <c r="F770" s="3" t="str">
        <f ca="1">INDEX(Drivers!$A$2:$A$31,RANDBETWEEN(1,30))</f>
        <v>D017</v>
      </c>
      <c r="G770" s="3">
        <f t="shared" ref="G770:G833" ca="1" si="205">ROUND(RANDBETWEEN(20,300)/10,1)</f>
        <v>16.5</v>
      </c>
      <c r="H770" s="3">
        <f t="shared" ref="H770:H833" ca="1" si="206">ROUND((G770*1800)+RANDBETWEEN(3000,15000),0)</f>
        <v>40387</v>
      </c>
      <c r="I770" s="3">
        <f t="shared" ref="I770:I833" ca="1" si="207">ROUND(H770*0.28,0)</f>
        <v>11308</v>
      </c>
      <c r="J770" s="3">
        <f t="shared" ref="J770:J833" ca="1" si="208">RANDBETWEEN(500,4000)</f>
        <v>1637</v>
      </c>
      <c r="K770" s="3">
        <f t="shared" ref="K770:K833" ca="1" si="209">RANDBETWEEN(4,48)</f>
        <v>6</v>
      </c>
      <c r="L770" s="3">
        <f t="shared" ref="L770:L833" ca="1" si="210">K770+RANDBETWEEN(0,8)</f>
        <v>10</v>
      </c>
      <c r="M770" s="3">
        <f t="shared" ref="M770:M833" ca="1" si="211">L770-K770</f>
        <v>4</v>
      </c>
      <c r="N770" s="3" t="str">
        <f t="shared" ref="N770:N833" ca="1" si="212">IF(M770&lt;=2,"On Time","Delayed")</f>
        <v>Delayed</v>
      </c>
      <c r="O770" s="3" t="str">
        <f t="shared" ref="O770:O833" ca="1" si="213">CHOOSE(RANDBETWEEN(1,3),"High","Medium","Low")</f>
        <v>Medium</v>
      </c>
      <c r="P770" s="3">
        <f t="shared" ref="P770:P833" ca="1" si="214">ROUND((G770/30)*100,1)</f>
        <v>55</v>
      </c>
      <c r="Q770" s="1" t="str">
        <f ca="1">VLOOKUP(D770,Routes!$A$2:$D$31,2,FALSE)</f>
        <v>Lucknow</v>
      </c>
      <c r="R770" s="1" t="str">
        <f ca="1">VLOOKUP(D770,Routes!$A$2:$D$31,3,FALSE)</f>
        <v>Kanpur</v>
      </c>
      <c r="S770" s="3">
        <f ca="1">VLOOKUP(D770,Routes!$A$2:$D$31,4,FALSE)</f>
        <v>90</v>
      </c>
      <c r="T770" s="3" t="str">
        <f ca="1">VLOOKUP(E770,Vehicles!$A$2:$D$21,2,FALSE)</f>
        <v>Container</v>
      </c>
      <c r="U770" s="3">
        <f ca="1">VLOOKUP(E770,Vehicles!$A$2:$D$21,3,FALSE)</f>
        <v>22</v>
      </c>
      <c r="V770" s="3" t="str">
        <f ca="1">VLOOKUP(E770,Vehicles!$A$2:$D$21,4,FALSE)</f>
        <v>Diesel</v>
      </c>
      <c r="W770" s="3">
        <f ca="1">VLOOKUP(V770,Fuel_Rates!$A$2:$B$3,2,FALSE)</f>
        <v>95</v>
      </c>
      <c r="X770" s="3">
        <f t="shared" ca="1" si="199"/>
        <v>448.74</v>
      </c>
      <c r="Y770" s="3">
        <f t="shared" ca="1" si="200"/>
        <v>53332</v>
      </c>
      <c r="Z770" s="3" t="str">
        <f t="shared" ca="1" si="201"/>
        <v>Feb</v>
      </c>
      <c r="AA770" s="3" t="str">
        <f t="shared" ca="1" si="202"/>
        <v>Q1</v>
      </c>
      <c r="AB770" s="4" t="str">
        <f t="shared" ca="1" si="203"/>
        <v>Short Haul</v>
      </c>
    </row>
    <row r="771" spans="1:28" x14ac:dyDescent="0.3">
      <c r="A771" s="8" t="str">
        <f t="shared" ref="A771:A834" si="215">"S"&amp;TEXT(ROW()-1,"0000")</f>
        <v>S0770</v>
      </c>
      <c r="B771" s="3">
        <f t="shared" ca="1" si="204"/>
        <v>45931</v>
      </c>
      <c r="C771" s="3" t="str">
        <f ca="1">INDEX(Customers!$A$2:$A$21,RANDBETWEEN(1,20))</f>
        <v>C016</v>
      </c>
      <c r="D771" s="3" t="str">
        <f ca="1">INDEX(Routes!$A$2:$A$31,RANDBETWEEN(1,30))</f>
        <v>R014</v>
      </c>
      <c r="E771" s="3" t="str">
        <f ca="1">INDEX(Vehicles!$A$2:$A$21,RANDBETWEEN(1,20))</f>
        <v>V017</v>
      </c>
      <c r="F771" s="3" t="str">
        <f ca="1">INDEX(Drivers!$A$2:$A$31,RANDBETWEEN(1,30))</f>
        <v>D019</v>
      </c>
      <c r="G771" s="3">
        <f t="shared" ca="1" si="205"/>
        <v>6.9</v>
      </c>
      <c r="H771" s="3">
        <f t="shared" ca="1" si="206"/>
        <v>16474</v>
      </c>
      <c r="I771" s="3">
        <f t="shared" ca="1" si="207"/>
        <v>4613</v>
      </c>
      <c r="J771" s="3">
        <f t="shared" ca="1" si="208"/>
        <v>3101</v>
      </c>
      <c r="K771" s="3">
        <f t="shared" ca="1" si="209"/>
        <v>15</v>
      </c>
      <c r="L771" s="3">
        <f t="shared" ca="1" si="210"/>
        <v>23</v>
      </c>
      <c r="M771" s="3">
        <f t="shared" ca="1" si="211"/>
        <v>8</v>
      </c>
      <c r="N771" s="3" t="str">
        <f t="shared" ca="1" si="212"/>
        <v>Delayed</v>
      </c>
      <c r="O771" s="3" t="str">
        <f t="shared" ca="1" si="213"/>
        <v>Low</v>
      </c>
      <c r="P771" s="3">
        <f t="shared" ca="1" si="214"/>
        <v>23</v>
      </c>
      <c r="Q771" s="1" t="str">
        <f ca="1">VLOOKUP(D771,Routes!$A$2:$D$31,2,FALSE)</f>
        <v>Hyderabad</v>
      </c>
      <c r="R771" s="1" t="str">
        <f ca="1">VLOOKUP(D771,Routes!$A$2:$D$31,3,FALSE)</f>
        <v>Nagpur</v>
      </c>
      <c r="S771" s="3">
        <f ca="1">VLOOKUP(D771,Routes!$A$2:$D$31,4,FALSE)</f>
        <v>500</v>
      </c>
      <c r="T771" s="3" t="str">
        <f ca="1">VLOOKUP(E771,Vehicles!$A$2:$D$21,2,FALSE)</f>
        <v>Truck</v>
      </c>
      <c r="U771" s="3">
        <f ca="1">VLOOKUP(E771,Vehicles!$A$2:$D$21,3,FALSE)</f>
        <v>24</v>
      </c>
      <c r="V771" s="3" t="str">
        <f ca="1">VLOOKUP(E771,Vehicles!$A$2:$D$21,4,FALSE)</f>
        <v>Diesel</v>
      </c>
      <c r="W771" s="3">
        <f ca="1">VLOOKUP(V771,Fuel_Rates!$A$2:$B$3,2,FALSE)</f>
        <v>95</v>
      </c>
      <c r="X771" s="3">
        <f t="shared" ref="X771:X834" ca="1" si="216">ROUND(H771/S771,2)</f>
        <v>32.950000000000003</v>
      </c>
      <c r="Y771" s="3">
        <f t="shared" ref="Y771:Y834" ca="1" si="217">H771+I771+J771</f>
        <v>24188</v>
      </c>
      <c r="Z771" s="3" t="str">
        <f t="shared" ref="Z771:Z834" ca="1" si="218">TEXT(B771,"mmm")</f>
        <v>Oct</v>
      </c>
      <c r="AA771" s="3" t="str">
        <f t="shared" ref="AA771:AA834" ca="1" si="219">"Q"&amp;ROUNDUP(MONTH(B771)/3,0)</f>
        <v>Q4</v>
      </c>
      <c r="AB771" s="4" t="str">
        <f t="shared" ref="AB771:AB834" ca="1" si="220">IF(S771&lt;300,"Short Haul",IF(S771&lt;800,"Medium Haul","Long Haul"))</f>
        <v>Medium Haul</v>
      </c>
    </row>
    <row r="772" spans="1:28" x14ac:dyDescent="0.3">
      <c r="A772" s="8" t="str">
        <f t="shared" si="215"/>
        <v>S0771</v>
      </c>
      <c r="B772" s="3">
        <f t="shared" ca="1" si="204"/>
        <v>45875</v>
      </c>
      <c r="C772" s="3" t="str">
        <f ca="1">INDEX(Customers!$A$2:$A$21,RANDBETWEEN(1,20))</f>
        <v>C007</v>
      </c>
      <c r="D772" s="3" t="str">
        <f ca="1">INDEX(Routes!$A$2:$A$31,RANDBETWEEN(1,30))</f>
        <v>R005</v>
      </c>
      <c r="E772" s="3" t="str">
        <f ca="1">INDEX(Vehicles!$A$2:$A$21,RANDBETWEEN(1,20))</f>
        <v>V019</v>
      </c>
      <c r="F772" s="3" t="str">
        <f ca="1">INDEX(Drivers!$A$2:$A$31,RANDBETWEEN(1,30))</f>
        <v>D018</v>
      </c>
      <c r="G772" s="3">
        <f t="shared" ca="1" si="205"/>
        <v>29.4</v>
      </c>
      <c r="H772" s="3">
        <f t="shared" ca="1" si="206"/>
        <v>67660</v>
      </c>
      <c r="I772" s="3">
        <f t="shared" ca="1" si="207"/>
        <v>18945</v>
      </c>
      <c r="J772" s="3">
        <f t="shared" ca="1" si="208"/>
        <v>1085</v>
      </c>
      <c r="K772" s="3">
        <f t="shared" ca="1" si="209"/>
        <v>32</v>
      </c>
      <c r="L772" s="3">
        <f t="shared" ca="1" si="210"/>
        <v>33</v>
      </c>
      <c r="M772" s="3">
        <f t="shared" ca="1" si="211"/>
        <v>1</v>
      </c>
      <c r="N772" s="3" t="str">
        <f t="shared" ca="1" si="212"/>
        <v>On Time</v>
      </c>
      <c r="O772" s="3" t="str">
        <f t="shared" ca="1" si="213"/>
        <v>Low</v>
      </c>
      <c r="P772" s="3">
        <f t="shared" ca="1" si="214"/>
        <v>98</v>
      </c>
      <c r="Q772" s="1" t="str">
        <f ca="1">VLOOKUP(D772,Routes!$A$2:$D$31,2,FALSE)</f>
        <v>Delhi</v>
      </c>
      <c r="R772" s="1" t="str">
        <f ca="1">VLOOKUP(D772,Routes!$A$2:$D$31,3,FALSE)</f>
        <v>Jaipur</v>
      </c>
      <c r="S772" s="3">
        <f ca="1">VLOOKUP(D772,Routes!$A$2:$D$31,4,FALSE)</f>
        <v>280</v>
      </c>
      <c r="T772" s="3" t="str">
        <f ca="1">VLOOKUP(E772,Vehicles!$A$2:$D$21,2,FALSE)</f>
        <v>Trailer</v>
      </c>
      <c r="U772" s="3">
        <f ca="1">VLOOKUP(E772,Vehicles!$A$2:$D$21,3,FALSE)</f>
        <v>35</v>
      </c>
      <c r="V772" s="3" t="str">
        <f ca="1">VLOOKUP(E772,Vehicles!$A$2:$D$21,4,FALSE)</f>
        <v>Diesel</v>
      </c>
      <c r="W772" s="3">
        <f ca="1">VLOOKUP(V772,Fuel_Rates!$A$2:$B$3,2,FALSE)</f>
        <v>95</v>
      </c>
      <c r="X772" s="3">
        <f t="shared" ca="1" si="216"/>
        <v>241.64</v>
      </c>
      <c r="Y772" s="3">
        <f t="shared" ca="1" si="217"/>
        <v>87690</v>
      </c>
      <c r="Z772" s="3" t="str">
        <f t="shared" ca="1" si="218"/>
        <v>Aug</v>
      </c>
      <c r="AA772" s="3" t="str">
        <f t="shared" ca="1" si="219"/>
        <v>Q3</v>
      </c>
      <c r="AB772" s="4" t="str">
        <f t="shared" ca="1" si="220"/>
        <v>Short Haul</v>
      </c>
    </row>
    <row r="773" spans="1:28" x14ac:dyDescent="0.3">
      <c r="A773" s="8" t="str">
        <f t="shared" si="215"/>
        <v>S0772</v>
      </c>
      <c r="B773" s="3">
        <f t="shared" ca="1" si="204"/>
        <v>45839</v>
      </c>
      <c r="C773" s="3" t="str">
        <f ca="1">INDEX(Customers!$A$2:$A$21,RANDBETWEEN(1,20))</f>
        <v>C014</v>
      </c>
      <c r="D773" s="3" t="str">
        <f ca="1">INDEX(Routes!$A$2:$A$31,RANDBETWEEN(1,30))</f>
        <v>R004</v>
      </c>
      <c r="E773" s="3" t="str">
        <f ca="1">INDEX(Vehicles!$A$2:$A$21,RANDBETWEEN(1,20))</f>
        <v>V011</v>
      </c>
      <c r="F773" s="3" t="str">
        <f ca="1">INDEX(Drivers!$A$2:$A$31,RANDBETWEEN(1,30))</f>
        <v>D005</v>
      </c>
      <c r="G773" s="3">
        <f t="shared" ca="1" si="205"/>
        <v>25.6</v>
      </c>
      <c r="H773" s="3">
        <f t="shared" ca="1" si="206"/>
        <v>57437</v>
      </c>
      <c r="I773" s="3">
        <f t="shared" ca="1" si="207"/>
        <v>16082</v>
      </c>
      <c r="J773" s="3">
        <f t="shared" ca="1" si="208"/>
        <v>1109</v>
      </c>
      <c r="K773" s="3">
        <f t="shared" ca="1" si="209"/>
        <v>36</v>
      </c>
      <c r="L773" s="3">
        <f t="shared" ca="1" si="210"/>
        <v>41</v>
      </c>
      <c r="M773" s="3">
        <f t="shared" ca="1" si="211"/>
        <v>5</v>
      </c>
      <c r="N773" s="3" t="str">
        <f t="shared" ca="1" si="212"/>
        <v>Delayed</v>
      </c>
      <c r="O773" s="3" t="str">
        <f t="shared" ca="1" si="213"/>
        <v>Low</v>
      </c>
      <c r="P773" s="3">
        <f t="shared" ca="1" si="214"/>
        <v>85.3</v>
      </c>
      <c r="Q773" s="1" t="str">
        <f ca="1">VLOOKUP(D773,Routes!$A$2:$D$31,2,FALSE)</f>
        <v>Mumbai</v>
      </c>
      <c r="R773" s="1" t="str">
        <f ca="1">VLOOKUP(D773,Routes!$A$2:$D$31,3,FALSE)</f>
        <v>Bengaluru</v>
      </c>
      <c r="S773" s="3">
        <f ca="1">VLOOKUP(D773,Routes!$A$2:$D$31,4,FALSE)</f>
        <v>980</v>
      </c>
      <c r="T773" s="3" t="str">
        <f ca="1">VLOOKUP(E773,Vehicles!$A$2:$D$21,2,FALSE)</f>
        <v>Truck</v>
      </c>
      <c r="U773" s="3">
        <f ca="1">VLOOKUP(E773,Vehicles!$A$2:$D$21,3,FALSE)</f>
        <v>18</v>
      </c>
      <c r="V773" s="3" t="str">
        <f ca="1">VLOOKUP(E773,Vehicles!$A$2:$D$21,4,FALSE)</f>
        <v>CNG</v>
      </c>
      <c r="W773" s="3">
        <f ca="1">VLOOKUP(V773,Fuel_Rates!$A$2:$B$3,2,FALSE)</f>
        <v>78</v>
      </c>
      <c r="X773" s="3">
        <f t="shared" ca="1" si="216"/>
        <v>58.61</v>
      </c>
      <c r="Y773" s="3">
        <f t="shared" ca="1" si="217"/>
        <v>74628</v>
      </c>
      <c r="Z773" s="3" t="str">
        <f t="shared" ca="1" si="218"/>
        <v>Jul</v>
      </c>
      <c r="AA773" s="3" t="str">
        <f t="shared" ca="1" si="219"/>
        <v>Q3</v>
      </c>
      <c r="AB773" s="4" t="str">
        <f t="shared" ca="1" si="220"/>
        <v>Long Haul</v>
      </c>
    </row>
    <row r="774" spans="1:28" x14ac:dyDescent="0.3">
      <c r="A774" s="8" t="str">
        <f t="shared" si="215"/>
        <v>S0773</v>
      </c>
      <c r="B774" s="3">
        <f t="shared" ca="1" si="204"/>
        <v>45833</v>
      </c>
      <c r="C774" s="3" t="str">
        <f ca="1">INDEX(Customers!$A$2:$A$21,RANDBETWEEN(1,20))</f>
        <v>C009</v>
      </c>
      <c r="D774" s="3" t="str">
        <f ca="1">INDEX(Routes!$A$2:$A$31,RANDBETWEEN(1,30))</f>
        <v>R029</v>
      </c>
      <c r="E774" s="3" t="str">
        <f ca="1">INDEX(Vehicles!$A$2:$A$21,RANDBETWEEN(1,20))</f>
        <v>V007</v>
      </c>
      <c r="F774" s="3" t="str">
        <f ca="1">INDEX(Drivers!$A$2:$A$31,RANDBETWEEN(1,30))</f>
        <v>D021</v>
      </c>
      <c r="G774" s="3">
        <f t="shared" ca="1" si="205"/>
        <v>5.3</v>
      </c>
      <c r="H774" s="3">
        <f t="shared" ca="1" si="206"/>
        <v>22511</v>
      </c>
      <c r="I774" s="3">
        <f t="shared" ca="1" si="207"/>
        <v>6303</v>
      </c>
      <c r="J774" s="3">
        <f t="shared" ca="1" si="208"/>
        <v>3546</v>
      </c>
      <c r="K774" s="3">
        <f t="shared" ca="1" si="209"/>
        <v>21</v>
      </c>
      <c r="L774" s="3">
        <f t="shared" ca="1" si="210"/>
        <v>24</v>
      </c>
      <c r="M774" s="3">
        <f t="shared" ca="1" si="211"/>
        <v>3</v>
      </c>
      <c r="N774" s="3" t="str">
        <f t="shared" ca="1" si="212"/>
        <v>Delayed</v>
      </c>
      <c r="O774" s="3" t="str">
        <f t="shared" ca="1" si="213"/>
        <v>Low</v>
      </c>
      <c r="P774" s="3">
        <f t="shared" ca="1" si="214"/>
        <v>17.7</v>
      </c>
      <c r="Q774" s="1" t="str">
        <f ca="1">VLOOKUP(D774,Routes!$A$2:$D$31,2,FALSE)</f>
        <v>Chandigarh</v>
      </c>
      <c r="R774" s="1" t="str">
        <f ca="1">VLOOKUP(D774,Routes!$A$2:$D$31,3,FALSE)</f>
        <v>Delhi</v>
      </c>
      <c r="S774" s="3">
        <f ca="1">VLOOKUP(D774,Routes!$A$2:$D$31,4,FALSE)</f>
        <v>250</v>
      </c>
      <c r="T774" s="3" t="str">
        <f ca="1">VLOOKUP(E774,Vehicles!$A$2:$D$21,2,FALSE)</f>
        <v>Container</v>
      </c>
      <c r="U774" s="3">
        <f ca="1">VLOOKUP(E774,Vehicles!$A$2:$D$21,3,FALSE)</f>
        <v>20</v>
      </c>
      <c r="V774" s="3" t="str">
        <f ca="1">VLOOKUP(E774,Vehicles!$A$2:$D$21,4,FALSE)</f>
        <v>Diesel</v>
      </c>
      <c r="W774" s="3">
        <f ca="1">VLOOKUP(V774,Fuel_Rates!$A$2:$B$3,2,FALSE)</f>
        <v>95</v>
      </c>
      <c r="X774" s="3">
        <f t="shared" ca="1" si="216"/>
        <v>90.04</v>
      </c>
      <c r="Y774" s="3">
        <f t="shared" ca="1" si="217"/>
        <v>32360</v>
      </c>
      <c r="Z774" s="3" t="str">
        <f t="shared" ca="1" si="218"/>
        <v>Jun</v>
      </c>
      <c r="AA774" s="3" t="str">
        <f t="shared" ca="1" si="219"/>
        <v>Q2</v>
      </c>
      <c r="AB774" s="4" t="str">
        <f t="shared" ca="1" si="220"/>
        <v>Short Haul</v>
      </c>
    </row>
    <row r="775" spans="1:28" x14ac:dyDescent="0.3">
      <c r="A775" s="8" t="str">
        <f t="shared" si="215"/>
        <v>S0774</v>
      </c>
      <c r="B775" s="3">
        <f t="shared" ca="1" si="204"/>
        <v>46016</v>
      </c>
      <c r="C775" s="3" t="str">
        <f ca="1">INDEX(Customers!$A$2:$A$21,RANDBETWEEN(1,20))</f>
        <v>C013</v>
      </c>
      <c r="D775" s="3" t="str">
        <f ca="1">INDEX(Routes!$A$2:$A$31,RANDBETWEEN(1,30))</f>
        <v>R017</v>
      </c>
      <c r="E775" s="3" t="str">
        <f ca="1">INDEX(Vehicles!$A$2:$A$21,RANDBETWEEN(1,20))</f>
        <v>V015</v>
      </c>
      <c r="F775" s="3" t="str">
        <f ca="1">INDEX(Drivers!$A$2:$A$31,RANDBETWEEN(1,30))</f>
        <v>D028</v>
      </c>
      <c r="G775" s="3">
        <f t="shared" ca="1" si="205"/>
        <v>8.1999999999999993</v>
      </c>
      <c r="H775" s="3">
        <f t="shared" ca="1" si="206"/>
        <v>28755</v>
      </c>
      <c r="I775" s="3">
        <f t="shared" ca="1" si="207"/>
        <v>8051</v>
      </c>
      <c r="J775" s="3">
        <f t="shared" ca="1" si="208"/>
        <v>3359</v>
      </c>
      <c r="K775" s="3">
        <f t="shared" ca="1" si="209"/>
        <v>18</v>
      </c>
      <c r="L775" s="3">
        <f t="shared" ca="1" si="210"/>
        <v>25</v>
      </c>
      <c r="M775" s="3">
        <f t="shared" ca="1" si="211"/>
        <v>7</v>
      </c>
      <c r="N775" s="3" t="str">
        <f t="shared" ca="1" si="212"/>
        <v>Delayed</v>
      </c>
      <c r="O775" s="3" t="str">
        <f t="shared" ca="1" si="213"/>
        <v>Low</v>
      </c>
      <c r="P775" s="3">
        <f t="shared" ca="1" si="214"/>
        <v>27.3</v>
      </c>
      <c r="Q775" s="1" t="str">
        <f ca="1">VLOOKUP(D775,Routes!$A$2:$D$31,2,FALSE)</f>
        <v>Kolkata</v>
      </c>
      <c r="R775" s="1" t="str">
        <f ca="1">VLOOKUP(D775,Routes!$A$2:$D$31,3,FALSE)</f>
        <v>Patna</v>
      </c>
      <c r="S775" s="3">
        <f ca="1">VLOOKUP(D775,Routes!$A$2:$D$31,4,FALSE)</f>
        <v>620</v>
      </c>
      <c r="T775" s="3" t="str">
        <f ca="1">VLOOKUP(E775,Vehicles!$A$2:$D$21,2,FALSE)</f>
        <v>Trailer</v>
      </c>
      <c r="U775" s="3">
        <f ca="1">VLOOKUP(E775,Vehicles!$A$2:$D$21,3,FALSE)</f>
        <v>30</v>
      </c>
      <c r="V775" s="3" t="str">
        <f ca="1">VLOOKUP(E775,Vehicles!$A$2:$D$21,4,FALSE)</f>
        <v>Diesel</v>
      </c>
      <c r="W775" s="3">
        <f ca="1">VLOOKUP(V775,Fuel_Rates!$A$2:$B$3,2,FALSE)</f>
        <v>95</v>
      </c>
      <c r="X775" s="3">
        <f t="shared" ca="1" si="216"/>
        <v>46.38</v>
      </c>
      <c r="Y775" s="3">
        <f t="shared" ca="1" si="217"/>
        <v>40165</v>
      </c>
      <c r="Z775" s="3" t="str">
        <f t="shared" ca="1" si="218"/>
        <v>Dec</v>
      </c>
      <c r="AA775" s="3" t="str">
        <f t="shared" ca="1" si="219"/>
        <v>Q4</v>
      </c>
      <c r="AB775" s="4" t="str">
        <f t="shared" ca="1" si="220"/>
        <v>Medium Haul</v>
      </c>
    </row>
    <row r="776" spans="1:28" x14ac:dyDescent="0.3">
      <c r="A776" s="8" t="str">
        <f t="shared" si="215"/>
        <v>S0775</v>
      </c>
      <c r="B776" s="3">
        <f t="shared" ca="1" si="204"/>
        <v>45662</v>
      </c>
      <c r="C776" s="3" t="str">
        <f ca="1">INDEX(Customers!$A$2:$A$21,RANDBETWEEN(1,20))</f>
        <v>C004</v>
      </c>
      <c r="D776" s="3" t="str">
        <f ca="1">INDEX(Routes!$A$2:$A$31,RANDBETWEEN(1,30))</f>
        <v>R005</v>
      </c>
      <c r="E776" s="3" t="str">
        <f ca="1">INDEX(Vehicles!$A$2:$A$21,RANDBETWEEN(1,20))</f>
        <v>V001</v>
      </c>
      <c r="F776" s="3" t="str">
        <f ca="1">INDEX(Drivers!$A$2:$A$31,RANDBETWEEN(1,30))</f>
        <v>D023</v>
      </c>
      <c r="G776" s="3">
        <f t="shared" ca="1" si="205"/>
        <v>17.5</v>
      </c>
      <c r="H776" s="3">
        <f t="shared" ca="1" si="206"/>
        <v>36269</v>
      </c>
      <c r="I776" s="3">
        <f t="shared" ca="1" si="207"/>
        <v>10155</v>
      </c>
      <c r="J776" s="3">
        <f t="shared" ca="1" si="208"/>
        <v>3493</v>
      </c>
      <c r="K776" s="3">
        <f t="shared" ca="1" si="209"/>
        <v>27</v>
      </c>
      <c r="L776" s="3">
        <f t="shared" ca="1" si="210"/>
        <v>35</v>
      </c>
      <c r="M776" s="3">
        <f t="shared" ca="1" si="211"/>
        <v>8</v>
      </c>
      <c r="N776" s="3" t="str">
        <f t="shared" ca="1" si="212"/>
        <v>Delayed</v>
      </c>
      <c r="O776" s="3" t="str">
        <f t="shared" ca="1" si="213"/>
        <v>High</v>
      </c>
      <c r="P776" s="3">
        <f t="shared" ca="1" si="214"/>
        <v>58.3</v>
      </c>
      <c r="Q776" s="1" t="str">
        <f ca="1">VLOOKUP(D776,Routes!$A$2:$D$31,2,FALSE)</f>
        <v>Delhi</v>
      </c>
      <c r="R776" s="1" t="str">
        <f ca="1">VLOOKUP(D776,Routes!$A$2:$D$31,3,FALSE)</f>
        <v>Jaipur</v>
      </c>
      <c r="S776" s="3">
        <f ca="1">VLOOKUP(D776,Routes!$A$2:$D$31,4,FALSE)</f>
        <v>280</v>
      </c>
      <c r="T776" s="3" t="str">
        <f ca="1">VLOOKUP(E776,Vehicles!$A$2:$D$21,2,FALSE)</f>
        <v>Truck</v>
      </c>
      <c r="U776" s="3">
        <f ca="1">VLOOKUP(E776,Vehicles!$A$2:$D$21,3,FALSE)</f>
        <v>16</v>
      </c>
      <c r="V776" s="3" t="str">
        <f ca="1">VLOOKUP(E776,Vehicles!$A$2:$D$21,4,FALSE)</f>
        <v>Diesel</v>
      </c>
      <c r="W776" s="3">
        <f ca="1">VLOOKUP(V776,Fuel_Rates!$A$2:$B$3,2,FALSE)</f>
        <v>95</v>
      </c>
      <c r="X776" s="3">
        <f t="shared" ca="1" si="216"/>
        <v>129.53</v>
      </c>
      <c r="Y776" s="3">
        <f t="shared" ca="1" si="217"/>
        <v>49917</v>
      </c>
      <c r="Z776" s="3" t="str">
        <f t="shared" ca="1" si="218"/>
        <v>Jan</v>
      </c>
      <c r="AA776" s="3" t="str">
        <f t="shared" ca="1" si="219"/>
        <v>Q1</v>
      </c>
      <c r="AB776" s="4" t="str">
        <f t="shared" ca="1" si="220"/>
        <v>Short Haul</v>
      </c>
    </row>
    <row r="777" spans="1:28" x14ac:dyDescent="0.3">
      <c r="A777" s="8" t="str">
        <f t="shared" si="215"/>
        <v>S0776</v>
      </c>
      <c r="B777" s="3">
        <f t="shared" ca="1" si="204"/>
        <v>45872</v>
      </c>
      <c r="C777" s="3" t="str">
        <f ca="1">INDEX(Customers!$A$2:$A$21,RANDBETWEEN(1,20))</f>
        <v>C011</v>
      </c>
      <c r="D777" s="3" t="str">
        <f ca="1">INDEX(Routes!$A$2:$A$31,RANDBETWEEN(1,30))</f>
        <v>R019</v>
      </c>
      <c r="E777" s="3" t="str">
        <f ca="1">INDEX(Vehicles!$A$2:$A$21,RANDBETWEEN(1,20))</f>
        <v>V010</v>
      </c>
      <c r="F777" s="3" t="str">
        <f ca="1">INDEX(Drivers!$A$2:$A$31,RANDBETWEEN(1,30))</f>
        <v>D018</v>
      </c>
      <c r="G777" s="3">
        <f t="shared" ca="1" si="205"/>
        <v>18.399999999999999</v>
      </c>
      <c r="H777" s="3">
        <f t="shared" ca="1" si="206"/>
        <v>39520</v>
      </c>
      <c r="I777" s="3">
        <f t="shared" ca="1" si="207"/>
        <v>11066</v>
      </c>
      <c r="J777" s="3">
        <f t="shared" ca="1" si="208"/>
        <v>3048</v>
      </c>
      <c r="K777" s="3">
        <f t="shared" ca="1" si="209"/>
        <v>34</v>
      </c>
      <c r="L777" s="3">
        <f t="shared" ca="1" si="210"/>
        <v>42</v>
      </c>
      <c r="M777" s="3">
        <f t="shared" ca="1" si="211"/>
        <v>8</v>
      </c>
      <c r="N777" s="3" t="str">
        <f t="shared" ca="1" si="212"/>
        <v>Delayed</v>
      </c>
      <c r="O777" s="3" t="str">
        <f t="shared" ca="1" si="213"/>
        <v>Low</v>
      </c>
      <c r="P777" s="3">
        <f t="shared" ca="1" si="214"/>
        <v>61.3</v>
      </c>
      <c r="Q777" s="1" t="str">
        <f ca="1">VLOOKUP(D777,Routes!$A$2:$D$31,2,FALSE)</f>
        <v>Ahmedabad</v>
      </c>
      <c r="R777" s="1" t="str">
        <f ca="1">VLOOKUP(D777,Routes!$A$2:$D$31,3,FALSE)</f>
        <v>Indore</v>
      </c>
      <c r="S777" s="3">
        <f ca="1">VLOOKUP(D777,Routes!$A$2:$D$31,4,FALSE)</f>
        <v>390</v>
      </c>
      <c r="T777" s="3" t="str">
        <f ca="1">VLOOKUP(E777,Vehicles!$A$2:$D$21,2,FALSE)</f>
        <v>LCV</v>
      </c>
      <c r="U777" s="3">
        <f ca="1">VLOOKUP(E777,Vehicles!$A$2:$D$21,3,FALSE)</f>
        <v>7</v>
      </c>
      <c r="V777" s="3" t="str">
        <f ca="1">VLOOKUP(E777,Vehicles!$A$2:$D$21,4,FALSE)</f>
        <v>Diesel</v>
      </c>
      <c r="W777" s="3">
        <f ca="1">VLOOKUP(V777,Fuel_Rates!$A$2:$B$3,2,FALSE)</f>
        <v>95</v>
      </c>
      <c r="X777" s="3">
        <f t="shared" ca="1" si="216"/>
        <v>101.33</v>
      </c>
      <c r="Y777" s="3">
        <f t="shared" ca="1" si="217"/>
        <v>53634</v>
      </c>
      <c r="Z777" s="3" t="str">
        <f t="shared" ca="1" si="218"/>
        <v>Aug</v>
      </c>
      <c r="AA777" s="3" t="str">
        <f t="shared" ca="1" si="219"/>
        <v>Q3</v>
      </c>
      <c r="AB777" s="4" t="str">
        <f t="shared" ca="1" si="220"/>
        <v>Medium Haul</v>
      </c>
    </row>
    <row r="778" spans="1:28" x14ac:dyDescent="0.3">
      <c r="A778" s="8" t="str">
        <f t="shared" si="215"/>
        <v>S0777</v>
      </c>
      <c r="B778" s="3">
        <f t="shared" ca="1" si="204"/>
        <v>45858</v>
      </c>
      <c r="C778" s="3" t="str">
        <f ca="1">INDEX(Customers!$A$2:$A$21,RANDBETWEEN(1,20))</f>
        <v>C011</v>
      </c>
      <c r="D778" s="3" t="str">
        <f ca="1">INDEX(Routes!$A$2:$A$31,RANDBETWEEN(1,30))</f>
        <v>R004</v>
      </c>
      <c r="E778" s="3" t="str">
        <f ca="1">INDEX(Vehicles!$A$2:$A$21,RANDBETWEEN(1,20))</f>
        <v>V010</v>
      </c>
      <c r="F778" s="3" t="str">
        <f ca="1">INDEX(Drivers!$A$2:$A$31,RANDBETWEEN(1,30))</f>
        <v>D025</v>
      </c>
      <c r="G778" s="3">
        <f t="shared" ca="1" si="205"/>
        <v>30</v>
      </c>
      <c r="H778" s="3">
        <f t="shared" ca="1" si="206"/>
        <v>59278</v>
      </c>
      <c r="I778" s="3">
        <f t="shared" ca="1" si="207"/>
        <v>16598</v>
      </c>
      <c r="J778" s="3">
        <f t="shared" ca="1" si="208"/>
        <v>3662</v>
      </c>
      <c r="K778" s="3">
        <f t="shared" ca="1" si="209"/>
        <v>44</v>
      </c>
      <c r="L778" s="3">
        <f t="shared" ca="1" si="210"/>
        <v>51</v>
      </c>
      <c r="M778" s="3">
        <f t="shared" ca="1" si="211"/>
        <v>7</v>
      </c>
      <c r="N778" s="3" t="str">
        <f t="shared" ca="1" si="212"/>
        <v>Delayed</v>
      </c>
      <c r="O778" s="3" t="str">
        <f t="shared" ca="1" si="213"/>
        <v>High</v>
      </c>
      <c r="P778" s="3">
        <f t="shared" ca="1" si="214"/>
        <v>100</v>
      </c>
      <c r="Q778" s="1" t="str">
        <f ca="1">VLOOKUP(D778,Routes!$A$2:$D$31,2,FALSE)</f>
        <v>Mumbai</v>
      </c>
      <c r="R778" s="1" t="str">
        <f ca="1">VLOOKUP(D778,Routes!$A$2:$D$31,3,FALSE)</f>
        <v>Bengaluru</v>
      </c>
      <c r="S778" s="3">
        <f ca="1">VLOOKUP(D778,Routes!$A$2:$D$31,4,FALSE)</f>
        <v>980</v>
      </c>
      <c r="T778" s="3" t="str">
        <f ca="1">VLOOKUP(E778,Vehicles!$A$2:$D$21,2,FALSE)</f>
        <v>LCV</v>
      </c>
      <c r="U778" s="3">
        <f ca="1">VLOOKUP(E778,Vehicles!$A$2:$D$21,3,FALSE)</f>
        <v>7</v>
      </c>
      <c r="V778" s="3" t="str">
        <f ca="1">VLOOKUP(E778,Vehicles!$A$2:$D$21,4,FALSE)</f>
        <v>Diesel</v>
      </c>
      <c r="W778" s="3">
        <f ca="1">VLOOKUP(V778,Fuel_Rates!$A$2:$B$3,2,FALSE)</f>
        <v>95</v>
      </c>
      <c r="X778" s="3">
        <f t="shared" ca="1" si="216"/>
        <v>60.49</v>
      </c>
      <c r="Y778" s="3">
        <f t="shared" ca="1" si="217"/>
        <v>79538</v>
      </c>
      <c r="Z778" s="3" t="str">
        <f t="shared" ca="1" si="218"/>
        <v>Jul</v>
      </c>
      <c r="AA778" s="3" t="str">
        <f t="shared" ca="1" si="219"/>
        <v>Q3</v>
      </c>
      <c r="AB778" s="4" t="str">
        <f t="shared" ca="1" si="220"/>
        <v>Long Haul</v>
      </c>
    </row>
    <row r="779" spans="1:28" x14ac:dyDescent="0.3">
      <c r="A779" s="8" t="str">
        <f t="shared" si="215"/>
        <v>S0778</v>
      </c>
      <c r="B779" s="3">
        <f t="shared" ca="1" si="204"/>
        <v>45989</v>
      </c>
      <c r="C779" s="3" t="str">
        <f ca="1">INDEX(Customers!$A$2:$A$21,RANDBETWEEN(1,20))</f>
        <v>C014</v>
      </c>
      <c r="D779" s="3" t="str">
        <f ca="1">INDEX(Routes!$A$2:$A$31,RANDBETWEEN(1,30))</f>
        <v>R015</v>
      </c>
      <c r="E779" s="3" t="str">
        <f ca="1">INDEX(Vehicles!$A$2:$A$21,RANDBETWEEN(1,20))</f>
        <v>V015</v>
      </c>
      <c r="F779" s="3" t="str">
        <f ca="1">INDEX(Drivers!$A$2:$A$31,RANDBETWEEN(1,30))</f>
        <v>D030</v>
      </c>
      <c r="G779" s="3">
        <f t="shared" ca="1" si="205"/>
        <v>3.3</v>
      </c>
      <c r="H779" s="3">
        <f t="shared" ca="1" si="206"/>
        <v>19394</v>
      </c>
      <c r="I779" s="3">
        <f t="shared" ca="1" si="207"/>
        <v>5430</v>
      </c>
      <c r="J779" s="3">
        <f t="shared" ca="1" si="208"/>
        <v>3712</v>
      </c>
      <c r="K779" s="3">
        <f t="shared" ca="1" si="209"/>
        <v>48</v>
      </c>
      <c r="L779" s="3">
        <f t="shared" ca="1" si="210"/>
        <v>49</v>
      </c>
      <c r="M779" s="3">
        <f t="shared" ca="1" si="211"/>
        <v>1</v>
      </c>
      <c r="N779" s="3" t="str">
        <f t="shared" ca="1" si="212"/>
        <v>On Time</v>
      </c>
      <c r="O779" s="3" t="str">
        <f t="shared" ca="1" si="213"/>
        <v>Low</v>
      </c>
      <c r="P779" s="3">
        <f t="shared" ca="1" si="214"/>
        <v>11</v>
      </c>
      <c r="Q779" s="1" t="str">
        <f ca="1">VLOOKUP(D779,Routes!$A$2:$D$31,2,FALSE)</f>
        <v>Hyderabad</v>
      </c>
      <c r="R779" s="1" t="str">
        <f ca="1">VLOOKUP(D779,Routes!$A$2:$D$31,3,FALSE)</f>
        <v>Pune</v>
      </c>
      <c r="S779" s="3">
        <f ca="1">VLOOKUP(D779,Routes!$A$2:$D$31,4,FALSE)</f>
        <v>560</v>
      </c>
      <c r="T779" s="3" t="str">
        <f ca="1">VLOOKUP(E779,Vehicles!$A$2:$D$21,2,FALSE)</f>
        <v>Trailer</v>
      </c>
      <c r="U779" s="3">
        <f ca="1">VLOOKUP(E779,Vehicles!$A$2:$D$21,3,FALSE)</f>
        <v>30</v>
      </c>
      <c r="V779" s="3" t="str">
        <f ca="1">VLOOKUP(E779,Vehicles!$A$2:$D$21,4,FALSE)</f>
        <v>Diesel</v>
      </c>
      <c r="W779" s="3">
        <f ca="1">VLOOKUP(V779,Fuel_Rates!$A$2:$B$3,2,FALSE)</f>
        <v>95</v>
      </c>
      <c r="X779" s="3">
        <f t="shared" ca="1" si="216"/>
        <v>34.630000000000003</v>
      </c>
      <c r="Y779" s="3">
        <f t="shared" ca="1" si="217"/>
        <v>28536</v>
      </c>
      <c r="Z779" s="3" t="str">
        <f t="shared" ca="1" si="218"/>
        <v>Nov</v>
      </c>
      <c r="AA779" s="3" t="str">
        <f t="shared" ca="1" si="219"/>
        <v>Q4</v>
      </c>
      <c r="AB779" s="4" t="str">
        <f t="shared" ca="1" si="220"/>
        <v>Medium Haul</v>
      </c>
    </row>
    <row r="780" spans="1:28" x14ac:dyDescent="0.3">
      <c r="A780" s="8" t="str">
        <f t="shared" si="215"/>
        <v>S0779</v>
      </c>
      <c r="B780" s="3">
        <f t="shared" ca="1" si="204"/>
        <v>45852</v>
      </c>
      <c r="C780" s="3" t="str">
        <f ca="1">INDEX(Customers!$A$2:$A$21,RANDBETWEEN(1,20))</f>
        <v>C005</v>
      </c>
      <c r="D780" s="3" t="str">
        <f ca="1">INDEX(Routes!$A$2:$A$31,RANDBETWEEN(1,30))</f>
        <v>R001</v>
      </c>
      <c r="E780" s="3" t="str">
        <f ca="1">INDEX(Vehicles!$A$2:$A$21,RANDBETWEEN(1,20))</f>
        <v>V004</v>
      </c>
      <c r="F780" s="3" t="str">
        <f ca="1">INDEX(Drivers!$A$2:$A$31,RANDBETWEEN(1,30))</f>
        <v>D007</v>
      </c>
      <c r="G780" s="3">
        <f t="shared" ca="1" si="205"/>
        <v>24.2</v>
      </c>
      <c r="H780" s="3">
        <f t="shared" ca="1" si="206"/>
        <v>48336</v>
      </c>
      <c r="I780" s="3">
        <f t="shared" ca="1" si="207"/>
        <v>13534</v>
      </c>
      <c r="J780" s="3">
        <f t="shared" ca="1" si="208"/>
        <v>1226</v>
      </c>
      <c r="K780" s="3">
        <f t="shared" ca="1" si="209"/>
        <v>42</v>
      </c>
      <c r="L780" s="3">
        <f t="shared" ca="1" si="210"/>
        <v>48</v>
      </c>
      <c r="M780" s="3">
        <f t="shared" ca="1" si="211"/>
        <v>6</v>
      </c>
      <c r="N780" s="3" t="str">
        <f t="shared" ca="1" si="212"/>
        <v>Delayed</v>
      </c>
      <c r="O780" s="3" t="str">
        <f t="shared" ca="1" si="213"/>
        <v>High</v>
      </c>
      <c r="P780" s="3">
        <f t="shared" ca="1" si="214"/>
        <v>80.7</v>
      </c>
      <c r="Q780" s="1" t="str">
        <f ca="1">VLOOKUP(D780,Routes!$A$2:$D$31,2,FALSE)</f>
        <v>Mumbai</v>
      </c>
      <c r="R780" s="1" t="str">
        <f ca="1">VLOOKUP(D780,Routes!$A$2:$D$31,3,FALSE)</f>
        <v>Pune</v>
      </c>
      <c r="S780" s="3">
        <f ca="1">VLOOKUP(D780,Routes!$A$2:$D$31,4,FALSE)</f>
        <v>150</v>
      </c>
      <c r="T780" s="3" t="str">
        <f ca="1">VLOOKUP(E780,Vehicles!$A$2:$D$21,2,FALSE)</f>
        <v>Trailer</v>
      </c>
      <c r="U780" s="3">
        <f ca="1">VLOOKUP(E780,Vehicles!$A$2:$D$21,3,FALSE)</f>
        <v>28</v>
      </c>
      <c r="V780" s="3" t="str">
        <f ca="1">VLOOKUP(E780,Vehicles!$A$2:$D$21,4,FALSE)</f>
        <v>Diesel</v>
      </c>
      <c r="W780" s="3">
        <f ca="1">VLOOKUP(V780,Fuel_Rates!$A$2:$B$3,2,FALSE)</f>
        <v>95</v>
      </c>
      <c r="X780" s="3">
        <f t="shared" ca="1" si="216"/>
        <v>322.24</v>
      </c>
      <c r="Y780" s="3">
        <f t="shared" ca="1" si="217"/>
        <v>63096</v>
      </c>
      <c r="Z780" s="3" t="str">
        <f t="shared" ca="1" si="218"/>
        <v>Jul</v>
      </c>
      <c r="AA780" s="3" t="str">
        <f t="shared" ca="1" si="219"/>
        <v>Q3</v>
      </c>
      <c r="AB780" s="4" t="str">
        <f t="shared" ca="1" si="220"/>
        <v>Short Haul</v>
      </c>
    </row>
    <row r="781" spans="1:28" x14ac:dyDescent="0.3">
      <c r="A781" s="8" t="str">
        <f t="shared" si="215"/>
        <v>S0780</v>
      </c>
      <c r="B781" s="3">
        <f t="shared" ca="1" si="204"/>
        <v>45766</v>
      </c>
      <c r="C781" s="3" t="str">
        <f ca="1">INDEX(Customers!$A$2:$A$21,RANDBETWEEN(1,20))</f>
        <v>C017</v>
      </c>
      <c r="D781" s="3" t="str">
        <f ca="1">INDEX(Routes!$A$2:$A$31,RANDBETWEEN(1,30))</f>
        <v>R014</v>
      </c>
      <c r="E781" s="3" t="str">
        <f ca="1">INDEX(Vehicles!$A$2:$A$21,RANDBETWEEN(1,20))</f>
        <v>V013</v>
      </c>
      <c r="F781" s="3" t="str">
        <f ca="1">INDEX(Drivers!$A$2:$A$31,RANDBETWEEN(1,30))</f>
        <v>D016</v>
      </c>
      <c r="G781" s="3">
        <f t="shared" ca="1" si="205"/>
        <v>2.4</v>
      </c>
      <c r="H781" s="3">
        <f t="shared" ca="1" si="206"/>
        <v>17284</v>
      </c>
      <c r="I781" s="3">
        <f t="shared" ca="1" si="207"/>
        <v>4840</v>
      </c>
      <c r="J781" s="3">
        <f t="shared" ca="1" si="208"/>
        <v>2002</v>
      </c>
      <c r="K781" s="3">
        <f t="shared" ca="1" si="209"/>
        <v>28</v>
      </c>
      <c r="L781" s="3">
        <f t="shared" ca="1" si="210"/>
        <v>34</v>
      </c>
      <c r="M781" s="3">
        <f t="shared" ca="1" si="211"/>
        <v>6</v>
      </c>
      <c r="N781" s="3" t="str">
        <f t="shared" ca="1" si="212"/>
        <v>Delayed</v>
      </c>
      <c r="O781" s="3" t="str">
        <f t="shared" ca="1" si="213"/>
        <v>High</v>
      </c>
      <c r="P781" s="3">
        <f t="shared" ca="1" si="214"/>
        <v>8</v>
      </c>
      <c r="Q781" s="1" t="str">
        <f ca="1">VLOOKUP(D781,Routes!$A$2:$D$31,2,FALSE)</f>
        <v>Hyderabad</v>
      </c>
      <c r="R781" s="1" t="str">
        <f ca="1">VLOOKUP(D781,Routes!$A$2:$D$31,3,FALSE)</f>
        <v>Nagpur</v>
      </c>
      <c r="S781" s="3">
        <f ca="1">VLOOKUP(D781,Routes!$A$2:$D$31,4,FALSE)</f>
        <v>500</v>
      </c>
      <c r="T781" s="3" t="str">
        <f ca="1">VLOOKUP(E781,Vehicles!$A$2:$D$21,2,FALSE)</f>
        <v>LCV</v>
      </c>
      <c r="U781" s="3">
        <f ca="1">VLOOKUP(E781,Vehicles!$A$2:$D$21,3,FALSE)</f>
        <v>4</v>
      </c>
      <c r="V781" s="3" t="str">
        <f ca="1">VLOOKUP(E781,Vehicles!$A$2:$D$21,4,FALSE)</f>
        <v>CNG</v>
      </c>
      <c r="W781" s="3">
        <f ca="1">VLOOKUP(V781,Fuel_Rates!$A$2:$B$3,2,FALSE)</f>
        <v>78</v>
      </c>
      <c r="X781" s="3">
        <f t="shared" ca="1" si="216"/>
        <v>34.57</v>
      </c>
      <c r="Y781" s="3">
        <f t="shared" ca="1" si="217"/>
        <v>24126</v>
      </c>
      <c r="Z781" s="3" t="str">
        <f t="shared" ca="1" si="218"/>
        <v>Apr</v>
      </c>
      <c r="AA781" s="3" t="str">
        <f t="shared" ca="1" si="219"/>
        <v>Q2</v>
      </c>
      <c r="AB781" s="4" t="str">
        <f t="shared" ca="1" si="220"/>
        <v>Medium Haul</v>
      </c>
    </row>
    <row r="782" spans="1:28" x14ac:dyDescent="0.3">
      <c r="A782" s="8" t="str">
        <f t="shared" si="215"/>
        <v>S0781</v>
      </c>
      <c r="B782" s="3">
        <f t="shared" ca="1" si="204"/>
        <v>45890</v>
      </c>
      <c r="C782" s="3" t="str">
        <f ca="1">INDEX(Customers!$A$2:$A$21,RANDBETWEEN(1,20))</f>
        <v>C016</v>
      </c>
      <c r="D782" s="3" t="str">
        <f ca="1">INDEX(Routes!$A$2:$A$31,RANDBETWEEN(1,30))</f>
        <v>R005</v>
      </c>
      <c r="E782" s="3" t="str">
        <f ca="1">INDEX(Vehicles!$A$2:$A$21,RANDBETWEEN(1,20))</f>
        <v>V007</v>
      </c>
      <c r="F782" s="3" t="str">
        <f ca="1">INDEX(Drivers!$A$2:$A$31,RANDBETWEEN(1,30))</f>
        <v>D026</v>
      </c>
      <c r="G782" s="3">
        <f t="shared" ca="1" si="205"/>
        <v>20.6</v>
      </c>
      <c r="H782" s="3">
        <f t="shared" ca="1" si="206"/>
        <v>46269</v>
      </c>
      <c r="I782" s="3">
        <f t="shared" ca="1" si="207"/>
        <v>12955</v>
      </c>
      <c r="J782" s="3">
        <f t="shared" ca="1" si="208"/>
        <v>3620</v>
      </c>
      <c r="K782" s="3">
        <f t="shared" ca="1" si="209"/>
        <v>11</v>
      </c>
      <c r="L782" s="3">
        <f t="shared" ca="1" si="210"/>
        <v>18</v>
      </c>
      <c r="M782" s="3">
        <f t="shared" ca="1" si="211"/>
        <v>7</v>
      </c>
      <c r="N782" s="3" t="str">
        <f t="shared" ca="1" si="212"/>
        <v>Delayed</v>
      </c>
      <c r="O782" s="3" t="str">
        <f t="shared" ca="1" si="213"/>
        <v>Low</v>
      </c>
      <c r="P782" s="3">
        <f t="shared" ca="1" si="214"/>
        <v>68.7</v>
      </c>
      <c r="Q782" s="1" t="str">
        <f ca="1">VLOOKUP(D782,Routes!$A$2:$D$31,2,FALSE)</f>
        <v>Delhi</v>
      </c>
      <c r="R782" s="1" t="str">
        <f ca="1">VLOOKUP(D782,Routes!$A$2:$D$31,3,FALSE)</f>
        <v>Jaipur</v>
      </c>
      <c r="S782" s="3">
        <f ca="1">VLOOKUP(D782,Routes!$A$2:$D$31,4,FALSE)</f>
        <v>280</v>
      </c>
      <c r="T782" s="3" t="str">
        <f ca="1">VLOOKUP(E782,Vehicles!$A$2:$D$21,2,FALSE)</f>
        <v>Container</v>
      </c>
      <c r="U782" s="3">
        <f ca="1">VLOOKUP(E782,Vehicles!$A$2:$D$21,3,FALSE)</f>
        <v>20</v>
      </c>
      <c r="V782" s="3" t="str">
        <f ca="1">VLOOKUP(E782,Vehicles!$A$2:$D$21,4,FALSE)</f>
        <v>Diesel</v>
      </c>
      <c r="W782" s="3">
        <f ca="1">VLOOKUP(V782,Fuel_Rates!$A$2:$B$3,2,FALSE)</f>
        <v>95</v>
      </c>
      <c r="X782" s="3">
        <f t="shared" ca="1" si="216"/>
        <v>165.25</v>
      </c>
      <c r="Y782" s="3">
        <f t="shared" ca="1" si="217"/>
        <v>62844</v>
      </c>
      <c r="Z782" s="3" t="str">
        <f t="shared" ca="1" si="218"/>
        <v>Aug</v>
      </c>
      <c r="AA782" s="3" t="str">
        <f t="shared" ca="1" si="219"/>
        <v>Q3</v>
      </c>
      <c r="AB782" s="4" t="str">
        <f t="shared" ca="1" si="220"/>
        <v>Short Haul</v>
      </c>
    </row>
    <row r="783" spans="1:28" x14ac:dyDescent="0.3">
      <c r="A783" s="8" t="str">
        <f t="shared" si="215"/>
        <v>S0782</v>
      </c>
      <c r="B783" s="3">
        <f t="shared" ca="1" si="204"/>
        <v>45717</v>
      </c>
      <c r="C783" s="3" t="str">
        <f ca="1">INDEX(Customers!$A$2:$A$21,RANDBETWEEN(1,20))</f>
        <v>C020</v>
      </c>
      <c r="D783" s="3" t="str">
        <f ca="1">INDEX(Routes!$A$2:$A$31,RANDBETWEEN(1,30))</f>
        <v>R003</v>
      </c>
      <c r="E783" s="3" t="str">
        <f ca="1">INDEX(Vehicles!$A$2:$A$21,RANDBETWEEN(1,20))</f>
        <v>V002</v>
      </c>
      <c r="F783" s="3" t="str">
        <f ca="1">INDEX(Drivers!$A$2:$A$31,RANDBETWEEN(1,30))</f>
        <v>D002</v>
      </c>
      <c r="G783" s="3">
        <f t="shared" ca="1" si="205"/>
        <v>29.1</v>
      </c>
      <c r="H783" s="3">
        <f t="shared" ca="1" si="206"/>
        <v>57956</v>
      </c>
      <c r="I783" s="3">
        <f t="shared" ca="1" si="207"/>
        <v>16228</v>
      </c>
      <c r="J783" s="3">
        <f t="shared" ca="1" si="208"/>
        <v>3020</v>
      </c>
      <c r="K783" s="3">
        <f t="shared" ca="1" si="209"/>
        <v>8</v>
      </c>
      <c r="L783" s="3">
        <f t="shared" ca="1" si="210"/>
        <v>13</v>
      </c>
      <c r="M783" s="3">
        <f t="shared" ca="1" si="211"/>
        <v>5</v>
      </c>
      <c r="N783" s="3" t="str">
        <f t="shared" ca="1" si="212"/>
        <v>Delayed</v>
      </c>
      <c r="O783" s="3" t="str">
        <f t="shared" ca="1" si="213"/>
        <v>Medium</v>
      </c>
      <c r="P783" s="3">
        <f t="shared" ca="1" si="214"/>
        <v>97</v>
      </c>
      <c r="Q783" s="1" t="str">
        <f ca="1">VLOOKUP(D783,Routes!$A$2:$D$31,2,FALSE)</f>
        <v>Mumbai</v>
      </c>
      <c r="R783" s="1" t="str">
        <f ca="1">VLOOKUP(D783,Routes!$A$2:$D$31,3,FALSE)</f>
        <v>Delhi</v>
      </c>
      <c r="S783" s="3">
        <f ca="1">VLOOKUP(D783,Routes!$A$2:$D$31,4,FALSE)</f>
        <v>1450</v>
      </c>
      <c r="T783" s="3" t="str">
        <f ca="1">VLOOKUP(E783,Vehicles!$A$2:$D$21,2,FALSE)</f>
        <v>Truck</v>
      </c>
      <c r="U783" s="3">
        <f ca="1">VLOOKUP(E783,Vehicles!$A$2:$D$21,3,FALSE)</f>
        <v>20</v>
      </c>
      <c r="V783" s="3" t="str">
        <f ca="1">VLOOKUP(E783,Vehicles!$A$2:$D$21,4,FALSE)</f>
        <v>Diesel</v>
      </c>
      <c r="W783" s="3">
        <f ca="1">VLOOKUP(V783,Fuel_Rates!$A$2:$B$3,2,FALSE)</f>
        <v>95</v>
      </c>
      <c r="X783" s="3">
        <f t="shared" ca="1" si="216"/>
        <v>39.97</v>
      </c>
      <c r="Y783" s="3">
        <f t="shared" ca="1" si="217"/>
        <v>77204</v>
      </c>
      <c r="Z783" s="3" t="str">
        <f t="shared" ca="1" si="218"/>
        <v>Mar</v>
      </c>
      <c r="AA783" s="3" t="str">
        <f t="shared" ca="1" si="219"/>
        <v>Q1</v>
      </c>
      <c r="AB783" s="4" t="str">
        <f t="shared" ca="1" si="220"/>
        <v>Long Haul</v>
      </c>
    </row>
    <row r="784" spans="1:28" x14ac:dyDescent="0.3">
      <c r="A784" s="8" t="str">
        <f t="shared" si="215"/>
        <v>S0783</v>
      </c>
      <c r="B784" s="3">
        <f t="shared" ca="1" si="204"/>
        <v>45799</v>
      </c>
      <c r="C784" s="3" t="str">
        <f ca="1">INDEX(Customers!$A$2:$A$21,RANDBETWEEN(1,20))</f>
        <v>C009</v>
      </c>
      <c r="D784" s="3" t="str">
        <f ca="1">INDEX(Routes!$A$2:$A$31,RANDBETWEEN(1,30))</f>
        <v>R026</v>
      </c>
      <c r="E784" s="3" t="str">
        <f ca="1">INDEX(Vehicles!$A$2:$A$21,RANDBETWEEN(1,20))</f>
        <v>V008</v>
      </c>
      <c r="F784" s="3" t="str">
        <f ca="1">INDEX(Drivers!$A$2:$A$31,RANDBETWEEN(1,30))</f>
        <v>D015</v>
      </c>
      <c r="G784" s="3">
        <f t="shared" ca="1" si="205"/>
        <v>3.9</v>
      </c>
      <c r="H784" s="3">
        <f t="shared" ca="1" si="206"/>
        <v>19141</v>
      </c>
      <c r="I784" s="3">
        <f t="shared" ca="1" si="207"/>
        <v>5359</v>
      </c>
      <c r="J784" s="3">
        <f t="shared" ca="1" si="208"/>
        <v>3799</v>
      </c>
      <c r="K784" s="3">
        <f t="shared" ca="1" si="209"/>
        <v>41</v>
      </c>
      <c r="L784" s="3">
        <f t="shared" ca="1" si="210"/>
        <v>48</v>
      </c>
      <c r="M784" s="3">
        <f t="shared" ca="1" si="211"/>
        <v>7</v>
      </c>
      <c r="N784" s="3" t="str">
        <f t="shared" ca="1" si="212"/>
        <v>Delayed</v>
      </c>
      <c r="O784" s="3" t="str">
        <f t="shared" ca="1" si="213"/>
        <v>Medium</v>
      </c>
      <c r="P784" s="3">
        <f t="shared" ca="1" si="214"/>
        <v>13</v>
      </c>
      <c r="Q784" s="1" t="str">
        <f ca="1">VLOOKUP(D784,Routes!$A$2:$D$31,2,FALSE)</f>
        <v>Nagpur</v>
      </c>
      <c r="R784" s="1" t="str">
        <f ca="1">VLOOKUP(D784,Routes!$A$2:$D$31,3,FALSE)</f>
        <v>Bhopal</v>
      </c>
      <c r="S784" s="3">
        <f ca="1">VLOOKUP(D784,Routes!$A$2:$D$31,4,FALSE)</f>
        <v>350</v>
      </c>
      <c r="T784" s="3" t="str">
        <f ca="1">VLOOKUP(E784,Vehicles!$A$2:$D$21,2,FALSE)</f>
        <v>Container</v>
      </c>
      <c r="U784" s="3">
        <f ca="1">VLOOKUP(E784,Vehicles!$A$2:$D$21,3,FALSE)</f>
        <v>25</v>
      </c>
      <c r="V784" s="3" t="str">
        <f ca="1">VLOOKUP(E784,Vehicles!$A$2:$D$21,4,FALSE)</f>
        <v>Diesel</v>
      </c>
      <c r="W784" s="3">
        <f ca="1">VLOOKUP(V784,Fuel_Rates!$A$2:$B$3,2,FALSE)</f>
        <v>95</v>
      </c>
      <c r="X784" s="3">
        <f t="shared" ca="1" si="216"/>
        <v>54.69</v>
      </c>
      <c r="Y784" s="3">
        <f t="shared" ca="1" si="217"/>
        <v>28299</v>
      </c>
      <c r="Z784" s="3" t="str">
        <f t="shared" ca="1" si="218"/>
        <v>May</v>
      </c>
      <c r="AA784" s="3" t="str">
        <f t="shared" ca="1" si="219"/>
        <v>Q2</v>
      </c>
      <c r="AB784" s="4" t="str">
        <f t="shared" ca="1" si="220"/>
        <v>Medium Haul</v>
      </c>
    </row>
    <row r="785" spans="1:28" x14ac:dyDescent="0.3">
      <c r="A785" s="8" t="str">
        <f t="shared" si="215"/>
        <v>S0784</v>
      </c>
      <c r="B785" s="3">
        <f t="shared" ca="1" si="204"/>
        <v>45922</v>
      </c>
      <c r="C785" s="3" t="str">
        <f ca="1">INDEX(Customers!$A$2:$A$21,RANDBETWEEN(1,20))</f>
        <v>C020</v>
      </c>
      <c r="D785" s="3" t="str">
        <f ca="1">INDEX(Routes!$A$2:$A$31,RANDBETWEEN(1,30))</f>
        <v>R003</v>
      </c>
      <c r="E785" s="3" t="str">
        <f ca="1">INDEX(Vehicles!$A$2:$A$21,RANDBETWEEN(1,20))</f>
        <v>V005</v>
      </c>
      <c r="F785" s="3" t="str">
        <f ca="1">INDEX(Drivers!$A$2:$A$31,RANDBETWEEN(1,30))</f>
        <v>D028</v>
      </c>
      <c r="G785" s="3">
        <f t="shared" ca="1" si="205"/>
        <v>17.899999999999999</v>
      </c>
      <c r="H785" s="3">
        <f t="shared" ca="1" si="206"/>
        <v>38202</v>
      </c>
      <c r="I785" s="3">
        <f t="shared" ca="1" si="207"/>
        <v>10697</v>
      </c>
      <c r="J785" s="3">
        <f t="shared" ca="1" si="208"/>
        <v>1675</v>
      </c>
      <c r="K785" s="3">
        <f t="shared" ca="1" si="209"/>
        <v>37</v>
      </c>
      <c r="L785" s="3">
        <f t="shared" ca="1" si="210"/>
        <v>40</v>
      </c>
      <c r="M785" s="3">
        <f t="shared" ca="1" si="211"/>
        <v>3</v>
      </c>
      <c r="N785" s="3" t="str">
        <f t="shared" ca="1" si="212"/>
        <v>Delayed</v>
      </c>
      <c r="O785" s="3" t="str">
        <f t="shared" ca="1" si="213"/>
        <v>High</v>
      </c>
      <c r="P785" s="3">
        <f t="shared" ca="1" si="214"/>
        <v>59.7</v>
      </c>
      <c r="Q785" s="1" t="str">
        <f ca="1">VLOOKUP(D785,Routes!$A$2:$D$31,2,FALSE)</f>
        <v>Mumbai</v>
      </c>
      <c r="R785" s="1" t="str">
        <f ca="1">VLOOKUP(D785,Routes!$A$2:$D$31,3,FALSE)</f>
        <v>Delhi</v>
      </c>
      <c r="S785" s="3">
        <f ca="1">VLOOKUP(D785,Routes!$A$2:$D$31,4,FALSE)</f>
        <v>1450</v>
      </c>
      <c r="T785" s="3" t="str">
        <f ca="1">VLOOKUP(E785,Vehicles!$A$2:$D$21,2,FALSE)</f>
        <v>Trailer</v>
      </c>
      <c r="U785" s="3">
        <f ca="1">VLOOKUP(E785,Vehicles!$A$2:$D$21,3,FALSE)</f>
        <v>32</v>
      </c>
      <c r="V785" s="3" t="str">
        <f ca="1">VLOOKUP(E785,Vehicles!$A$2:$D$21,4,FALSE)</f>
        <v>Diesel</v>
      </c>
      <c r="W785" s="3">
        <f ca="1">VLOOKUP(V785,Fuel_Rates!$A$2:$B$3,2,FALSE)</f>
        <v>95</v>
      </c>
      <c r="X785" s="3">
        <f t="shared" ca="1" si="216"/>
        <v>26.35</v>
      </c>
      <c r="Y785" s="3">
        <f t="shared" ca="1" si="217"/>
        <v>50574</v>
      </c>
      <c r="Z785" s="3" t="str">
        <f t="shared" ca="1" si="218"/>
        <v>Sep</v>
      </c>
      <c r="AA785" s="3" t="str">
        <f t="shared" ca="1" si="219"/>
        <v>Q3</v>
      </c>
      <c r="AB785" s="4" t="str">
        <f t="shared" ca="1" si="220"/>
        <v>Long Haul</v>
      </c>
    </row>
    <row r="786" spans="1:28" x14ac:dyDescent="0.3">
      <c r="A786" s="8" t="str">
        <f t="shared" si="215"/>
        <v>S0785</v>
      </c>
      <c r="B786" s="3">
        <f t="shared" ca="1" si="204"/>
        <v>45824</v>
      </c>
      <c r="C786" s="3" t="str">
        <f ca="1">INDEX(Customers!$A$2:$A$21,RANDBETWEEN(1,20))</f>
        <v>C009</v>
      </c>
      <c r="D786" s="3" t="str">
        <f ca="1">INDEX(Routes!$A$2:$A$31,RANDBETWEEN(1,30))</f>
        <v>R019</v>
      </c>
      <c r="E786" s="3" t="str">
        <f ca="1">INDEX(Vehicles!$A$2:$A$21,RANDBETWEEN(1,20))</f>
        <v>V010</v>
      </c>
      <c r="F786" s="3" t="str">
        <f ca="1">INDEX(Drivers!$A$2:$A$31,RANDBETWEEN(1,30))</f>
        <v>D022</v>
      </c>
      <c r="G786" s="3">
        <f t="shared" ca="1" si="205"/>
        <v>12.4</v>
      </c>
      <c r="H786" s="3">
        <f t="shared" ca="1" si="206"/>
        <v>25923</v>
      </c>
      <c r="I786" s="3">
        <f t="shared" ca="1" si="207"/>
        <v>7258</v>
      </c>
      <c r="J786" s="3">
        <f t="shared" ca="1" si="208"/>
        <v>1972</v>
      </c>
      <c r="K786" s="3">
        <f t="shared" ca="1" si="209"/>
        <v>15</v>
      </c>
      <c r="L786" s="3">
        <f t="shared" ca="1" si="210"/>
        <v>22</v>
      </c>
      <c r="M786" s="3">
        <f t="shared" ca="1" si="211"/>
        <v>7</v>
      </c>
      <c r="N786" s="3" t="str">
        <f t="shared" ca="1" si="212"/>
        <v>Delayed</v>
      </c>
      <c r="O786" s="3" t="str">
        <f t="shared" ca="1" si="213"/>
        <v>Low</v>
      </c>
      <c r="P786" s="3">
        <f t="shared" ca="1" si="214"/>
        <v>41.3</v>
      </c>
      <c r="Q786" s="1" t="str">
        <f ca="1">VLOOKUP(D786,Routes!$A$2:$D$31,2,FALSE)</f>
        <v>Ahmedabad</v>
      </c>
      <c r="R786" s="1" t="str">
        <f ca="1">VLOOKUP(D786,Routes!$A$2:$D$31,3,FALSE)</f>
        <v>Indore</v>
      </c>
      <c r="S786" s="3">
        <f ca="1">VLOOKUP(D786,Routes!$A$2:$D$31,4,FALSE)</f>
        <v>390</v>
      </c>
      <c r="T786" s="3" t="str">
        <f ca="1">VLOOKUP(E786,Vehicles!$A$2:$D$21,2,FALSE)</f>
        <v>LCV</v>
      </c>
      <c r="U786" s="3">
        <f ca="1">VLOOKUP(E786,Vehicles!$A$2:$D$21,3,FALSE)</f>
        <v>7</v>
      </c>
      <c r="V786" s="3" t="str">
        <f ca="1">VLOOKUP(E786,Vehicles!$A$2:$D$21,4,FALSE)</f>
        <v>Diesel</v>
      </c>
      <c r="W786" s="3">
        <f ca="1">VLOOKUP(V786,Fuel_Rates!$A$2:$B$3,2,FALSE)</f>
        <v>95</v>
      </c>
      <c r="X786" s="3">
        <f t="shared" ca="1" si="216"/>
        <v>66.47</v>
      </c>
      <c r="Y786" s="3">
        <f t="shared" ca="1" si="217"/>
        <v>35153</v>
      </c>
      <c r="Z786" s="3" t="str">
        <f t="shared" ca="1" si="218"/>
        <v>Jun</v>
      </c>
      <c r="AA786" s="3" t="str">
        <f t="shared" ca="1" si="219"/>
        <v>Q2</v>
      </c>
      <c r="AB786" s="4" t="str">
        <f t="shared" ca="1" si="220"/>
        <v>Medium Haul</v>
      </c>
    </row>
    <row r="787" spans="1:28" x14ac:dyDescent="0.3">
      <c r="A787" s="8" t="str">
        <f t="shared" si="215"/>
        <v>S0786</v>
      </c>
      <c r="B787" s="3">
        <f t="shared" ca="1" si="204"/>
        <v>45876</v>
      </c>
      <c r="C787" s="3" t="str">
        <f ca="1">INDEX(Customers!$A$2:$A$21,RANDBETWEEN(1,20))</f>
        <v>C018</v>
      </c>
      <c r="D787" s="3" t="str">
        <f ca="1">INDEX(Routes!$A$2:$A$31,RANDBETWEEN(1,30))</f>
        <v>R030</v>
      </c>
      <c r="E787" s="3" t="str">
        <f ca="1">INDEX(Vehicles!$A$2:$A$21,RANDBETWEEN(1,20))</f>
        <v>V015</v>
      </c>
      <c r="F787" s="3" t="str">
        <f ca="1">INDEX(Drivers!$A$2:$A$31,RANDBETWEEN(1,30))</f>
        <v>D006</v>
      </c>
      <c r="G787" s="3">
        <f t="shared" ca="1" si="205"/>
        <v>9.6999999999999993</v>
      </c>
      <c r="H787" s="3">
        <f t="shared" ca="1" si="206"/>
        <v>29022</v>
      </c>
      <c r="I787" s="3">
        <f t="shared" ca="1" si="207"/>
        <v>8126</v>
      </c>
      <c r="J787" s="3">
        <f t="shared" ca="1" si="208"/>
        <v>961</v>
      </c>
      <c r="K787" s="3">
        <f t="shared" ca="1" si="209"/>
        <v>16</v>
      </c>
      <c r="L787" s="3">
        <f t="shared" ca="1" si="210"/>
        <v>21</v>
      </c>
      <c r="M787" s="3">
        <f t="shared" ca="1" si="211"/>
        <v>5</v>
      </c>
      <c r="N787" s="3" t="str">
        <f t="shared" ca="1" si="212"/>
        <v>Delayed</v>
      </c>
      <c r="O787" s="3" t="str">
        <f t="shared" ca="1" si="213"/>
        <v>High</v>
      </c>
      <c r="P787" s="3">
        <f t="shared" ca="1" si="214"/>
        <v>32.299999999999997</v>
      </c>
      <c r="Q787" s="1" t="str">
        <f ca="1">VLOOKUP(D787,Routes!$A$2:$D$31,2,FALSE)</f>
        <v>Bhubaneswar</v>
      </c>
      <c r="R787" s="1" t="str">
        <f ca="1">VLOOKUP(D787,Routes!$A$2:$D$31,3,FALSE)</f>
        <v>Kolkata</v>
      </c>
      <c r="S787" s="3">
        <f ca="1">VLOOKUP(D787,Routes!$A$2:$D$31,4,FALSE)</f>
        <v>440</v>
      </c>
      <c r="T787" s="3" t="str">
        <f ca="1">VLOOKUP(E787,Vehicles!$A$2:$D$21,2,FALSE)</f>
        <v>Trailer</v>
      </c>
      <c r="U787" s="3">
        <f ca="1">VLOOKUP(E787,Vehicles!$A$2:$D$21,3,FALSE)</f>
        <v>30</v>
      </c>
      <c r="V787" s="3" t="str">
        <f ca="1">VLOOKUP(E787,Vehicles!$A$2:$D$21,4,FALSE)</f>
        <v>Diesel</v>
      </c>
      <c r="W787" s="3">
        <f ca="1">VLOOKUP(V787,Fuel_Rates!$A$2:$B$3,2,FALSE)</f>
        <v>95</v>
      </c>
      <c r="X787" s="3">
        <f t="shared" ca="1" si="216"/>
        <v>65.959999999999994</v>
      </c>
      <c r="Y787" s="3">
        <f t="shared" ca="1" si="217"/>
        <v>38109</v>
      </c>
      <c r="Z787" s="3" t="str">
        <f t="shared" ca="1" si="218"/>
        <v>Aug</v>
      </c>
      <c r="AA787" s="3" t="str">
        <f t="shared" ca="1" si="219"/>
        <v>Q3</v>
      </c>
      <c r="AB787" s="4" t="str">
        <f t="shared" ca="1" si="220"/>
        <v>Medium Haul</v>
      </c>
    </row>
    <row r="788" spans="1:28" x14ac:dyDescent="0.3">
      <c r="A788" s="8" t="str">
        <f t="shared" si="215"/>
        <v>S0787</v>
      </c>
      <c r="B788" s="3">
        <f t="shared" ca="1" si="204"/>
        <v>45885</v>
      </c>
      <c r="C788" s="3" t="str">
        <f ca="1">INDEX(Customers!$A$2:$A$21,RANDBETWEEN(1,20))</f>
        <v>C009</v>
      </c>
      <c r="D788" s="3" t="str">
        <f ca="1">INDEX(Routes!$A$2:$A$31,RANDBETWEEN(1,30))</f>
        <v>R016</v>
      </c>
      <c r="E788" s="3" t="str">
        <f ca="1">INDEX(Vehicles!$A$2:$A$21,RANDBETWEEN(1,20))</f>
        <v>V018</v>
      </c>
      <c r="F788" s="3" t="str">
        <f ca="1">INDEX(Drivers!$A$2:$A$31,RANDBETWEEN(1,30))</f>
        <v>D002</v>
      </c>
      <c r="G788" s="3">
        <f t="shared" ca="1" si="205"/>
        <v>11.8</v>
      </c>
      <c r="H788" s="3">
        <f t="shared" ca="1" si="206"/>
        <v>34430</v>
      </c>
      <c r="I788" s="3">
        <f t="shared" ca="1" si="207"/>
        <v>9640</v>
      </c>
      <c r="J788" s="3">
        <f t="shared" ca="1" si="208"/>
        <v>2278</v>
      </c>
      <c r="K788" s="3">
        <f t="shared" ca="1" si="209"/>
        <v>36</v>
      </c>
      <c r="L788" s="3">
        <f t="shared" ca="1" si="210"/>
        <v>44</v>
      </c>
      <c r="M788" s="3">
        <f t="shared" ca="1" si="211"/>
        <v>8</v>
      </c>
      <c r="N788" s="3" t="str">
        <f t="shared" ca="1" si="212"/>
        <v>Delayed</v>
      </c>
      <c r="O788" s="3" t="str">
        <f t="shared" ca="1" si="213"/>
        <v>Low</v>
      </c>
      <c r="P788" s="3">
        <f t="shared" ca="1" si="214"/>
        <v>39.299999999999997</v>
      </c>
      <c r="Q788" s="1" t="str">
        <f ca="1">VLOOKUP(D788,Routes!$A$2:$D$31,2,FALSE)</f>
        <v>Kolkata</v>
      </c>
      <c r="R788" s="1" t="str">
        <f ca="1">VLOOKUP(D788,Routes!$A$2:$D$31,3,FALSE)</f>
        <v>Bhubaneswar</v>
      </c>
      <c r="S788" s="3">
        <f ca="1">VLOOKUP(D788,Routes!$A$2:$D$31,4,FALSE)</f>
        <v>440</v>
      </c>
      <c r="T788" s="3" t="str">
        <f ca="1">VLOOKUP(E788,Vehicles!$A$2:$D$21,2,FALSE)</f>
        <v>Truck</v>
      </c>
      <c r="U788" s="3">
        <f ca="1">VLOOKUP(E788,Vehicles!$A$2:$D$21,3,FALSE)</f>
        <v>26</v>
      </c>
      <c r="V788" s="3" t="str">
        <f ca="1">VLOOKUP(E788,Vehicles!$A$2:$D$21,4,FALSE)</f>
        <v>Diesel</v>
      </c>
      <c r="W788" s="3">
        <f ca="1">VLOOKUP(V788,Fuel_Rates!$A$2:$B$3,2,FALSE)</f>
        <v>95</v>
      </c>
      <c r="X788" s="3">
        <f t="shared" ca="1" si="216"/>
        <v>78.25</v>
      </c>
      <c r="Y788" s="3">
        <f t="shared" ca="1" si="217"/>
        <v>46348</v>
      </c>
      <c r="Z788" s="3" t="str">
        <f t="shared" ca="1" si="218"/>
        <v>Aug</v>
      </c>
      <c r="AA788" s="3" t="str">
        <f t="shared" ca="1" si="219"/>
        <v>Q3</v>
      </c>
      <c r="AB788" s="4" t="str">
        <f t="shared" ca="1" si="220"/>
        <v>Medium Haul</v>
      </c>
    </row>
    <row r="789" spans="1:28" x14ac:dyDescent="0.3">
      <c r="A789" s="8" t="str">
        <f t="shared" si="215"/>
        <v>S0788</v>
      </c>
      <c r="B789" s="3">
        <f t="shared" ca="1" si="204"/>
        <v>45879</v>
      </c>
      <c r="C789" s="3" t="str">
        <f ca="1">INDEX(Customers!$A$2:$A$21,RANDBETWEEN(1,20))</f>
        <v>C009</v>
      </c>
      <c r="D789" s="3" t="str">
        <f ca="1">INDEX(Routes!$A$2:$A$31,RANDBETWEEN(1,30))</f>
        <v>R029</v>
      </c>
      <c r="E789" s="3" t="str">
        <f ca="1">INDEX(Vehicles!$A$2:$A$21,RANDBETWEEN(1,20))</f>
        <v>V013</v>
      </c>
      <c r="F789" s="3" t="str">
        <f ca="1">INDEX(Drivers!$A$2:$A$31,RANDBETWEEN(1,30))</f>
        <v>D018</v>
      </c>
      <c r="G789" s="3">
        <f t="shared" ca="1" si="205"/>
        <v>12.6</v>
      </c>
      <c r="H789" s="3">
        <f t="shared" ca="1" si="206"/>
        <v>37197</v>
      </c>
      <c r="I789" s="3">
        <f t="shared" ca="1" si="207"/>
        <v>10415</v>
      </c>
      <c r="J789" s="3">
        <f t="shared" ca="1" si="208"/>
        <v>2219</v>
      </c>
      <c r="K789" s="3">
        <f t="shared" ca="1" si="209"/>
        <v>31</v>
      </c>
      <c r="L789" s="3">
        <f t="shared" ca="1" si="210"/>
        <v>33</v>
      </c>
      <c r="M789" s="3">
        <f t="shared" ca="1" si="211"/>
        <v>2</v>
      </c>
      <c r="N789" s="3" t="str">
        <f t="shared" ca="1" si="212"/>
        <v>On Time</v>
      </c>
      <c r="O789" s="3" t="str">
        <f t="shared" ca="1" si="213"/>
        <v>High</v>
      </c>
      <c r="P789" s="3">
        <f t="shared" ca="1" si="214"/>
        <v>42</v>
      </c>
      <c r="Q789" s="1" t="str">
        <f ca="1">VLOOKUP(D789,Routes!$A$2:$D$31,2,FALSE)</f>
        <v>Chandigarh</v>
      </c>
      <c r="R789" s="1" t="str">
        <f ca="1">VLOOKUP(D789,Routes!$A$2:$D$31,3,FALSE)</f>
        <v>Delhi</v>
      </c>
      <c r="S789" s="3">
        <f ca="1">VLOOKUP(D789,Routes!$A$2:$D$31,4,FALSE)</f>
        <v>250</v>
      </c>
      <c r="T789" s="3" t="str">
        <f ca="1">VLOOKUP(E789,Vehicles!$A$2:$D$21,2,FALSE)</f>
        <v>LCV</v>
      </c>
      <c r="U789" s="3">
        <f ca="1">VLOOKUP(E789,Vehicles!$A$2:$D$21,3,FALSE)</f>
        <v>4</v>
      </c>
      <c r="V789" s="3" t="str">
        <f ca="1">VLOOKUP(E789,Vehicles!$A$2:$D$21,4,FALSE)</f>
        <v>CNG</v>
      </c>
      <c r="W789" s="3">
        <f ca="1">VLOOKUP(V789,Fuel_Rates!$A$2:$B$3,2,FALSE)</f>
        <v>78</v>
      </c>
      <c r="X789" s="3">
        <f t="shared" ca="1" si="216"/>
        <v>148.79</v>
      </c>
      <c r="Y789" s="3">
        <f t="shared" ca="1" si="217"/>
        <v>49831</v>
      </c>
      <c r="Z789" s="3" t="str">
        <f t="shared" ca="1" si="218"/>
        <v>Aug</v>
      </c>
      <c r="AA789" s="3" t="str">
        <f t="shared" ca="1" si="219"/>
        <v>Q3</v>
      </c>
      <c r="AB789" s="4" t="str">
        <f t="shared" ca="1" si="220"/>
        <v>Short Haul</v>
      </c>
    </row>
    <row r="790" spans="1:28" x14ac:dyDescent="0.3">
      <c r="A790" s="8" t="str">
        <f t="shared" si="215"/>
        <v>S0789</v>
      </c>
      <c r="B790" s="3">
        <f t="shared" ca="1" si="204"/>
        <v>45699</v>
      </c>
      <c r="C790" s="3" t="str">
        <f ca="1">INDEX(Customers!$A$2:$A$21,RANDBETWEEN(1,20))</f>
        <v>C003</v>
      </c>
      <c r="D790" s="3" t="str">
        <f ca="1">INDEX(Routes!$A$2:$A$31,RANDBETWEEN(1,30))</f>
        <v>R030</v>
      </c>
      <c r="E790" s="3" t="str">
        <f ca="1">INDEX(Vehicles!$A$2:$A$21,RANDBETWEEN(1,20))</f>
        <v>V011</v>
      </c>
      <c r="F790" s="3" t="str">
        <f ca="1">INDEX(Drivers!$A$2:$A$31,RANDBETWEEN(1,30))</f>
        <v>D024</v>
      </c>
      <c r="G790" s="3">
        <f t="shared" ca="1" si="205"/>
        <v>10.8</v>
      </c>
      <c r="H790" s="3">
        <f t="shared" ca="1" si="206"/>
        <v>24983</v>
      </c>
      <c r="I790" s="3">
        <f t="shared" ca="1" si="207"/>
        <v>6995</v>
      </c>
      <c r="J790" s="3">
        <f t="shared" ca="1" si="208"/>
        <v>3945</v>
      </c>
      <c r="K790" s="3">
        <f t="shared" ca="1" si="209"/>
        <v>15</v>
      </c>
      <c r="L790" s="3">
        <f t="shared" ca="1" si="210"/>
        <v>22</v>
      </c>
      <c r="M790" s="3">
        <f t="shared" ca="1" si="211"/>
        <v>7</v>
      </c>
      <c r="N790" s="3" t="str">
        <f t="shared" ca="1" si="212"/>
        <v>Delayed</v>
      </c>
      <c r="O790" s="3" t="str">
        <f t="shared" ca="1" si="213"/>
        <v>Low</v>
      </c>
      <c r="P790" s="3">
        <f t="shared" ca="1" si="214"/>
        <v>36</v>
      </c>
      <c r="Q790" s="1" t="str">
        <f ca="1">VLOOKUP(D790,Routes!$A$2:$D$31,2,FALSE)</f>
        <v>Bhubaneswar</v>
      </c>
      <c r="R790" s="1" t="str">
        <f ca="1">VLOOKUP(D790,Routes!$A$2:$D$31,3,FALSE)</f>
        <v>Kolkata</v>
      </c>
      <c r="S790" s="3">
        <f ca="1">VLOOKUP(D790,Routes!$A$2:$D$31,4,FALSE)</f>
        <v>440</v>
      </c>
      <c r="T790" s="3" t="str">
        <f ca="1">VLOOKUP(E790,Vehicles!$A$2:$D$21,2,FALSE)</f>
        <v>Truck</v>
      </c>
      <c r="U790" s="3">
        <f ca="1">VLOOKUP(E790,Vehicles!$A$2:$D$21,3,FALSE)</f>
        <v>18</v>
      </c>
      <c r="V790" s="3" t="str">
        <f ca="1">VLOOKUP(E790,Vehicles!$A$2:$D$21,4,FALSE)</f>
        <v>CNG</v>
      </c>
      <c r="W790" s="3">
        <f ca="1">VLOOKUP(V790,Fuel_Rates!$A$2:$B$3,2,FALSE)</f>
        <v>78</v>
      </c>
      <c r="X790" s="3">
        <f t="shared" ca="1" si="216"/>
        <v>56.78</v>
      </c>
      <c r="Y790" s="3">
        <f t="shared" ca="1" si="217"/>
        <v>35923</v>
      </c>
      <c r="Z790" s="3" t="str">
        <f t="shared" ca="1" si="218"/>
        <v>Feb</v>
      </c>
      <c r="AA790" s="3" t="str">
        <f t="shared" ca="1" si="219"/>
        <v>Q1</v>
      </c>
      <c r="AB790" s="4" t="str">
        <f t="shared" ca="1" si="220"/>
        <v>Medium Haul</v>
      </c>
    </row>
    <row r="791" spans="1:28" x14ac:dyDescent="0.3">
      <c r="A791" s="8" t="str">
        <f t="shared" si="215"/>
        <v>S0790</v>
      </c>
      <c r="B791" s="3">
        <f t="shared" ca="1" si="204"/>
        <v>45790</v>
      </c>
      <c r="C791" s="3" t="str">
        <f ca="1">INDEX(Customers!$A$2:$A$21,RANDBETWEEN(1,20))</f>
        <v>C009</v>
      </c>
      <c r="D791" s="3" t="str">
        <f ca="1">INDEX(Routes!$A$2:$A$31,RANDBETWEEN(1,30))</f>
        <v>R015</v>
      </c>
      <c r="E791" s="3" t="str">
        <f ca="1">INDEX(Vehicles!$A$2:$A$21,RANDBETWEEN(1,20))</f>
        <v>V017</v>
      </c>
      <c r="F791" s="3" t="str">
        <f ca="1">INDEX(Drivers!$A$2:$A$31,RANDBETWEEN(1,30))</f>
        <v>D016</v>
      </c>
      <c r="G791" s="3">
        <f t="shared" ca="1" si="205"/>
        <v>28.6</v>
      </c>
      <c r="H791" s="3">
        <f t="shared" ca="1" si="206"/>
        <v>65951</v>
      </c>
      <c r="I791" s="3">
        <f t="shared" ca="1" si="207"/>
        <v>18466</v>
      </c>
      <c r="J791" s="3">
        <f t="shared" ca="1" si="208"/>
        <v>1376</v>
      </c>
      <c r="K791" s="3">
        <f t="shared" ca="1" si="209"/>
        <v>26</v>
      </c>
      <c r="L791" s="3">
        <f t="shared" ca="1" si="210"/>
        <v>26</v>
      </c>
      <c r="M791" s="3">
        <f t="shared" ca="1" si="211"/>
        <v>0</v>
      </c>
      <c r="N791" s="3" t="str">
        <f t="shared" ca="1" si="212"/>
        <v>On Time</v>
      </c>
      <c r="O791" s="3" t="str">
        <f t="shared" ca="1" si="213"/>
        <v>Low</v>
      </c>
      <c r="P791" s="3">
        <f t="shared" ca="1" si="214"/>
        <v>95.3</v>
      </c>
      <c r="Q791" s="1" t="str">
        <f ca="1">VLOOKUP(D791,Routes!$A$2:$D$31,2,FALSE)</f>
        <v>Hyderabad</v>
      </c>
      <c r="R791" s="1" t="str">
        <f ca="1">VLOOKUP(D791,Routes!$A$2:$D$31,3,FALSE)</f>
        <v>Pune</v>
      </c>
      <c r="S791" s="3">
        <f ca="1">VLOOKUP(D791,Routes!$A$2:$D$31,4,FALSE)</f>
        <v>560</v>
      </c>
      <c r="T791" s="3" t="str">
        <f ca="1">VLOOKUP(E791,Vehicles!$A$2:$D$21,2,FALSE)</f>
        <v>Truck</v>
      </c>
      <c r="U791" s="3">
        <f ca="1">VLOOKUP(E791,Vehicles!$A$2:$D$21,3,FALSE)</f>
        <v>24</v>
      </c>
      <c r="V791" s="3" t="str">
        <f ca="1">VLOOKUP(E791,Vehicles!$A$2:$D$21,4,FALSE)</f>
        <v>Diesel</v>
      </c>
      <c r="W791" s="3">
        <f ca="1">VLOOKUP(V791,Fuel_Rates!$A$2:$B$3,2,FALSE)</f>
        <v>95</v>
      </c>
      <c r="X791" s="3">
        <f t="shared" ca="1" si="216"/>
        <v>117.77</v>
      </c>
      <c r="Y791" s="3">
        <f t="shared" ca="1" si="217"/>
        <v>85793</v>
      </c>
      <c r="Z791" s="3" t="str">
        <f t="shared" ca="1" si="218"/>
        <v>May</v>
      </c>
      <c r="AA791" s="3" t="str">
        <f t="shared" ca="1" si="219"/>
        <v>Q2</v>
      </c>
      <c r="AB791" s="4" t="str">
        <f t="shared" ca="1" si="220"/>
        <v>Medium Haul</v>
      </c>
    </row>
    <row r="792" spans="1:28" x14ac:dyDescent="0.3">
      <c r="A792" s="8" t="str">
        <f t="shared" si="215"/>
        <v>S0791</v>
      </c>
      <c r="B792" s="3">
        <f t="shared" ca="1" si="204"/>
        <v>45917</v>
      </c>
      <c r="C792" s="3" t="str">
        <f ca="1">INDEX(Customers!$A$2:$A$21,RANDBETWEEN(1,20))</f>
        <v>C020</v>
      </c>
      <c r="D792" s="3" t="str">
        <f ca="1">INDEX(Routes!$A$2:$A$31,RANDBETWEEN(1,30))</f>
        <v>R011</v>
      </c>
      <c r="E792" s="3" t="str">
        <f ca="1">INDEX(Vehicles!$A$2:$A$21,RANDBETWEEN(1,20))</f>
        <v>V015</v>
      </c>
      <c r="F792" s="3" t="str">
        <f ca="1">INDEX(Drivers!$A$2:$A$31,RANDBETWEEN(1,30))</f>
        <v>D021</v>
      </c>
      <c r="G792" s="3">
        <f t="shared" ca="1" si="205"/>
        <v>5.7</v>
      </c>
      <c r="H792" s="3">
        <f t="shared" ca="1" si="206"/>
        <v>18901</v>
      </c>
      <c r="I792" s="3">
        <f t="shared" ca="1" si="207"/>
        <v>5292</v>
      </c>
      <c r="J792" s="3">
        <f t="shared" ca="1" si="208"/>
        <v>1449</v>
      </c>
      <c r="K792" s="3">
        <f t="shared" ca="1" si="209"/>
        <v>26</v>
      </c>
      <c r="L792" s="3">
        <f t="shared" ca="1" si="210"/>
        <v>34</v>
      </c>
      <c r="M792" s="3">
        <f t="shared" ca="1" si="211"/>
        <v>8</v>
      </c>
      <c r="N792" s="3" t="str">
        <f t="shared" ca="1" si="212"/>
        <v>Delayed</v>
      </c>
      <c r="O792" s="3" t="str">
        <f t="shared" ca="1" si="213"/>
        <v>Low</v>
      </c>
      <c r="P792" s="3">
        <f t="shared" ca="1" si="214"/>
        <v>19</v>
      </c>
      <c r="Q792" s="1" t="str">
        <f ca="1">VLOOKUP(D792,Routes!$A$2:$D$31,2,FALSE)</f>
        <v>Bengaluru</v>
      </c>
      <c r="R792" s="1" t="str">
        <f ca="1">VLOOKUP(D792,Routes!$A$2:$D$31,3,FALSE)</f>
        <v>Kochi</v>
      </c>
      <c r="S792" s="3">
        <f ca="1">VLOOKUP(D792,Routes!$A$2:$D$31,4,FALSE)</f>
        <v>550</v>
      </c>
      <c r="T792" s="3" t="str">
        <f ca="1">VLOOKUP(E792,Vehicles!$A$2:$D$21,2,FALSE)</f>
        <v>Trailer</v>
      </c>
      <c r="U792" s="3">
        <f ca="1">VLOOKUP(E792,Vehicles!$A$2:$D$21,3,FALSE)</f>
        <v>30</v>
      </c>
      <c r="V792" s="3" t="str">
        <f ca="1">VLOOKUP(E792,Vehicles!$A$2:$D$21,4,FALSE)</f>
        <v>Diesel</v>
      </c>
      <c r="W792" s="3">
        <f ca="1">VLOOKUP(V792,Fuel_Rates!$A$2:$B$3,2,FALSE)</f>
        <v>95</v>
      </c>
      <c r="X792" s="3">
        <f t="shared" ca="1" si="216"/>
        <v>34.369999999999997</v>
      </c>
      <c r="Y792" s="3">
        <f t="shared" ca="1" si="217"/>
        <v>25642</v>
      </c>
      <c r="Z792" s="3" t="str">
        <f t="shared" ca="1" si="218"/>
        <v>Sep</v>
      </c>
      <c r="AA792" s="3" t="str">
        <f t="shared" ca="1" si="219"/>
        <v>Q3</v>
      </c>
      <c r="AB792" s="4" t="str">
        <f t="shared" ca="1" si="220"/>
        <v>Medium Haul</v>
      </c>
    </row>
    <row r="793" spans="1:28" x14ac:dyDescent="0.3">
      <c r="A793" s="8" t="str">
        <f t="shared" si="215"/>
        <v>S0792</v>
      </c>
      <c r="B793" s="3">
        <f t="shared" ca="1" si="204"/>
        <v>45814</v>
      </c>
      <c r="C793" s="3" t="str">
        <f ca="1">INDEX(Customers!$A$2:$A$21,RANDBETWEEN(1,20))</f>
        <v>C019</v>
      </c>
      <c r="D793" s="3" t="str">
        <f ca="1">INDEX(Routes!$A$2:$A$31,RANDBETWEEN(1,30))</f>
        <v>R017</v>
      </c>
      <c r="E793" s="3" t="str">
        <f ca="1">INDEX(Vehicles!$A$2:$A$21,RANDBETWEEN(1,20))</f>
        <v>V014</v>
      </c>
      <c r="F793" s="3" t="str">
        <f ca="1">INDEX(Drivers!$A$2:$A$31,RANDBETWEEN(1,30))</f>
        <v>D010</v>
      </c>
      <c r="G793" s="3">
        <f t="shared" ca="1" si="205"/>
        <v>12.2</v>
      </c>
      <c r="H793" s="3">
        <f t="shared" ca="1" si="206"/>
        <v>25510</v>
      </c>
      <c r="I793" s="3">
        <f t="shared" ca="1" si="207"/>
        <v>7143</v>
      </c>
      <c r="J793" s="3">
        <f t="shared" ca="1" si="208"/>
        <v>2110</v>
      </c>
      <c r="K793" s="3">
        <f t="shared" ca="1" si="209"/>
        <v>47</v>
      </c>
      <c r="L793" s="3">
        <f t="shared" ca="1" si="210"/>
        <v>50</v>
      </c>
      <c r="M793" s="3">
        <f t="shared" ca="1" si="211"/>
        <v>3</v>
      </c>
      <c r="N793" s="3" t="str">
        <f t="shared" ca="1" si="212"/>
        <v>Delayed</v>
      </c>
      <c r="O793" s="3" t="str">
        <f t="shared" ca="1" si="213"/>
        <v>Medium</v>
      </c>
      <c r="P793" s="3">
        <f t="shared" ca="1" si="214"/>
        <v>40.700000000000003</v>
      </c>
      <c r="Q793" s="1" t="str">
        <f ca="1">VLOOKUP(D793,Routes!$A$2:$D$31,2,FALSE)</f>
        <v>Kolkata</v>
      </c>
      <c r="R793" s="1" t="str">
        <f ca="1">VLOOKUP(D793,Routes!$A$2:$D$31,3,FALSE)</f>
        <v>Patna</v>
      </c>
      <c r="S793" s="3">
        <f ca="1">VLOOKUP(D793,Routes!$A$2:$D$31,4,FALSE)</f>
        <v>620</v>
      </c>
      <c r="T793" s="3" t="str">
        <f ca="1">VLOOKUP(E793,Vehicles!$A$2:$D$21,2,FALSE)</f>
        <v>LCV</v>
      </c>
      <c r="U793" s="3">
        <f ca="1">VLOOKUP(E793,Vehicles!$A$2:$D$21,3,FALSE)</f>
        <v>6</v>
      </c>
      <c r="V793" s="3" t="str">
        <f ca="1">VLOOKUP(E793,Vehicles!$A$2:$D$21,4,FALSE)</f>
        <v>CNG</v>
      </c>
      <c r="W793" s="3">
        <f ca="1">VLOOKUP(V793,Fuel_Rates!$A$2:$B$3,2,FALSE)</f>
        <v>78</v>
      </c>
      <c r="X793" s="3">
        <f t="shared" ca="1" si="216"/>
        <v>41.15</v>
      </c>
      <c r="Y793" s="3">
        <f t="shared" ca="1" si="217"/>
        <v>34763</v>
      </c>
      <c r="Z793" s="3" t="str">
        <f t="shared" ca="1" si="218"/>
        <v>Jun</v>
      </c>
      <c r="AA793" s="3" t="str">
        <f t="shared" ca="1" si="219"/>
        <v>Q2</v>
      </c>
      <c r="AB793" s="4" t="str">
        <f t="shared" ca="1" si="220"/>
        <v>Medium Haul</v>
      </c>
    </row>
    <row r="794" spans="1:28" x14ac:dyDescent="0.3">
      <c r="A794" s="8" t="str">
        <f t="shared" si="215"/>
        <v>S0793</v>
      </c>
      <c r="B794" s="3">
        <f t="shared" ca="1" si="204"/>
        <v>45689</v>
      </c>
      <c r="C794" s="3" t="str">
        <f ca="1">INDEX(Customers!$A$2:$A$21,RANDBETWEEN(1,20))</f>
        <v>C017</v>
      </c>
      <c r="D794" s="3" t="str">
        <f ca="1">INDEX(Routes!$A$2:$A$31,RANDBETWEEN(1,30))</f>
        <v>R003</v>
      </c>
      <c r="E794" s="3" t="str">
        <f ca="1">INDEX(Vehicles!$A$2:$A$21,RANDBETWEEN(1,20))</f>
        <v>V016</v>
      </c>
      <c r="F794" s="3" t="str">
        <f ca="1">INDEX(Drivers!$A$2:$A$31,RANDBETWEEN(1,30))</f>
        <v>D008</v>
      </c>
      <c r="G794" s="3">
        <f t="shared" ca="1" si="205"/>
        <v>18.399999999999999</v>
      </c>
      <c r="H794" s="3">
        <f t="shared" ca="1" si="206"/>
        <v>39917</v>
      </c>
      <c r="I794" s="3">
        <f t="shared" ca="1" si="207"/>
        <v>11177</v>
      </c>
      <c r="J794" s="3">
        <f t="shared" ca="1" si="208"/>
        <v>2899</v>
      </c>
      <c r="K794" s="3">
        <f t="shared" ca="1" si="209"/>
        <v>44</v>
      </c>
      <c r="L794" s="3">
        <f t="shared" ca="1" si="210"/>
        <v>48</v>
      </c>
      <c r="M794" s="3">
        <f t="shared" ca="1" si="211"/>
        <v>4</v>
      </c>
      <c r="N794" s="3" t="str">
        <f t="shared" ca="1" si="212"/>
        <v>Delayed</v>
      </c>
      <c r="O794" s="3" t="str">
        <f t="shared" ca="1" si="213"/>
        <v>High</v>
      </c>
      <c r="P794" s="3">
        <f t="shared" ca="1" si="214"/>
        <v>61.3</v>
      </c>
      <c r="Q794" s="1" t="str">
        <f ca="1">VLOOKUP(D794,Routes!$A$2:$D$31,2,FALSE)</f>
        <v>Mumbai</v>
      </c>
      <c r="R794" s="1" t="str">
        <f ca="1">VLOOKUP(D794,Routes!$A$2:$D$31,3,FALSE)</f>
        <v>Delhi</v>
      </c>
      <c r="S794" s="3">
        <f ca="1">VLOOKUP(D794,Routes!$A$2:$D$31,4,FALSE)</f>
        <v>1450</v>
      </c>
      <c r="T794" s="3" t="str">
        <f ca="1">VLOOKUP(E794,Vehicles!$A$2:$D$21,2,FALSE)</f>
        <v>Container</v>
      </c>
      <c r="U794" s="3">
        <f ca="1">VLOOKUP(E794,Vehicles!$A$2:$D$21,3,FALSE)</f>
        <v>22</v>
      </c>
      <c r="V794" s="3" t="str">
        <f ca="1">VLOOKUP(E794,Vehicles!$A$2:$D$21,4,FALSE)</f>
        <v>Diesel</v>
      </c>
      <c r="W794" s="3">
        <f ca="1">VLOOKUP(V794,Fuel_Rates!$A$2:$B$3,2,FALSE)</f>
        <v>95</v>
      </c>
      <c r="X794" s="3">
        <f t="shared" ca="1" si="216"/>
        <v>27.53</v>
      </c>
      <c r="Y794" s="3">
        <f t="shared" ca="1" si="217"/>
        <v>53993</v>
      </c>
      <c r="Z794" s="3" t="str">
        <f t="shared" ca="1" si="218"/>
        <v>Feb</v>
      </c>
      <c r="AA794" s="3" t="str">
        <f t="shared" ca="1" si="219"/>
        <v>Q1</v>
      </c>
      <c r="AB794" s="4" t="str">
        <f t="shared" ca="1" si="220"/>
        <v>Long Haul</v>
      </c>
    </row>
    <row r="795" spans="1:28" x14ac:dyDescent="0.3">
      <c r="A795" s="8" t="str">
        <f t="shared" si="215"/>
        <v>S0794</v>
      </c>
      <c r="B795" s="3">
        <f t="shared" ca="1" si="204"/>
        <v>45958</v>
      </c>
      <c r="C795" s="3" t="str">
        <f ca="1">INDEX(Customers!$A$2:$A$21,RANDBETWEEN(1,20))</f>
        <v>C004</v>
      </c>
      <c r="D795" s="3" t="str">
        <f ca="1">INDEX(Routes!$A$2:$A$31,RANDBETWEEN(1,30))</f>
        <v>R007</v>
      </c>
      <c r="E795" s="3" t="str">
        <f ca="1">INDEX(Vehicles!$A$2:$A$21,RANDBETWEEN(1,20))</f>
        <v>V013</v>
      </c>
      <c r="F795" s="3" t="str">
        <f ca="1">INDEX(Drivers!$A$2:$A$31,RANDBETWEEN(1,30))</f>
        <v>D020</v>
      </c>
      <c r="G795" s="3">
        <f t="shared" ca="1" si="205"/>
        <v>3.3</v>
      </c>
      <c r="H795" s="3">
        <f t="shared" ca="1" si="206"/>
        <v>13478</v>
      </c>
      <c r="I795" s="3">
        <f t="shared" ca="1" si="207"/>
        <v>3774</v>
      </c>
      <c r="J795" s="3">
        <f t="shared" ca="1" si="208"/>
        <v>1693</v>
      </c>
      <c r="K795" s="3">
        <f t="shared" ca="1" si="209"/>
        <v>45</v>
      </c>
      <c r="L795" s="3">
        <f t="shared" ca="1" si="210"/>
        <v>45</v>
      </c>
      <c r="M795" s="3">
        <f t="shared" ca="1" si="211"/>
        <v>0</v>
      </c>
      <c r="N795" s="3" t="str">
        <f t="shared" ca="1" si="212"/>
        <v>On Time</v>
      </c>
      <c r="O795" s="3" t="str">
        <f t="shared" ca="1" si="213"/>
        <v>High</v>
      </c>
      <c r="P795" s="3">
        <f t="shared" ca="1" si="214"/>
        <v>11</v>
      </c>
      <c r="Q795" s="1" t="str">
        <f ca="1">VLOOKUP(D795,Routes!$A$2:$D$31,2,FALSE)</f>
        <v>Delhi</v>
      </c>
      <c r="R795" s="1" t="str">
        <f ca="1">VLOOKUP(D795,Routes!$A$2:$D$31,3,FALSE)</f>
        <v>Chandigarh</v>
      </c>
      <c r="S795" s="3">
        <f ca="1">VLOOKUP(D795,Routes!$A$2:$D$31,4,FALSE)</f>
        <v>250</v>
      </c>
      <c r="T795" s="3" t="str">
        <f ca="1">VLOOKUP(E795,Vehicles!$A$2:$D$21,2,FALSE)</f>
        <v>LCV</v>
      </c>
      <c r="U795" s="3">
        <f ca="1">VLOOKUP(E795,Vehicles!$A$2:$D$21,3,FALSE)</f>
        <v>4</v>
      </c>
      <c r="V795" s="3" t="str">
        <f ca="1">VLOOKUP(E795,Vehicles!$A$2:$D$21,4,FALSE)</f>
        <v>CNG</v>
      </c>
      <c r="W795" s="3">
        <f ca="1">VLOOKUP(V795,Fuel_Rates!$A$2:$B$3,2,FALSE)</f>
        <v>78</v>
      </c>
      <c r="X795" s="3">
        <f t="shared" ca="1" si="216"/>
        <v>53.91</v>
      </c>
      <c r="Y795" s="3">
        <f t="shared" ca="1" si="217"/>
        <v>18945</v>
      </c>
      <c r="Z795" s="3" t="str">
        <f t="shared" ca="1" si="218"/>
        <v>Oct</v>
      </c>
      <c r="AA795" s="3" t="str">
        <f t="shared" ca="1" si="219"/>
        <v>Q4</v>
      </c>
      <c r="AB795" s="4" t="str">
        <f t="shared" ca="1" si="220"/>
        <v>Short Haul</v>
      </c>
    </row>
    <row r="796" spans="1:28" x14ac:dyDescent="0.3">
      <c r="A796" s="8" t="str">
        <f t="shared" si="215"/>
        <v>S0795</v>
      </c>
      <c r="B796" s="3">
        <f t="shared" ca="1" si="204"/>
        <v>45857</v>
      </c>
      <c r="C796" s="3" t="str">
        <f ca="1">INDEX(Customers!$A$2:$A$21,RANDBETWEEN(1,20))</f>
        <v>C001</v>
      </c>
      <c r="D796" s="3" t="str">
        <f ca="1">INDEX(Routes!$A$2:$A$31,RANDBETWEEN(1,30))</f>
        <v>R019</v>
      </c>
      <c r="E796" s="3" t="str">
        <f ca="1">INDEX(Vehicles!$A$2:$A$21,RANDBETWEEN(1,20))</f>
        <v>V003</v>
      </c>
      <c r="F796" s="3" t="str">
        <f ca="1">INDEX(Drivers!$A$2:$A$31,RANDBETWEEN(1,30))</f>
        <v>D022</v>
      </c>
      <c r="G796" s="3">
        <f t="shared" ca="1" si="205"/>
        <v>13.5</v>
      </c>
      <c r="H796" s="3">
        <f t="shared" ca="1" si="206"/>
        <v>37170</v>
      </c>
      <c r="I796" s="3">
        <f t="shared" ca="1" si="207"/>
        <v>10408</v>
      </c>
      <c r="J796" s="3">
        <f t="shared" ca="1" si="208"/>
        <v>962</v>
      </c>
      <c r="K796" s="3">
        <f t="shared" ca="1" si="209"/>
        <v>47</v>
      </c>
      <c r="L796" s="3">
        <f t="shared" ca="1" si="210"/>
        <v>50</v>
      </c>
      <c r="M796" s="3">
        <f t="shared" ca="1" si="211"/>
        <v>3</v>
      </c>
      <c r="N796" s="3" t="str">
        <f t="shared" ca="1" si="212"/>
        <v>Delayed</v>
      </c>
      <c r="O796" s="3" t="str">
        <f t="shared" ca="1" si="213"/>
        <v>High</v>
      </c>
      <c r="P796" s="3">
        <f t="shared" ca="1" si="214"/>
        <v>45</v>
      </c>
      <c r="Q796" s="1" t="str">
        <f ca="1">VLOOKUP(D796,Routes!$A$2:$D$31,2,FALSE)</f>
        <v>Ahmedabad</v>
      </c>
      <c r="R796" s="1" t="str">
        <f ca="1">VLOOKUP(D796,Routes!$A$2:$D$31,3,FALSE)</f>
        <v>Indore</v>
      </c>
      <c r="S796" s="3">
        <f ca="1">VLOOKUP(D796,Routes!$A$2:$D$31,4,FALSE)</f>
        <v>390</v>
      </c>
      <c r="T796" s="3" t="str">
        <f ca="1">VLOOKUP(E796,Vehicles!$A$2:$D$21,2,FALSE)</f>
        <v>Truck</v>
      </c>
      <c r="U796" s="3">
        <f ca="1">VLOOKUP(E796,Vehicles!$A$2:$D$21,3,FALSE)</f>
        <v>25</v>
      </c>
      <c r="V796" s="3" t="str">
        <f ca="1">VLOOKUP(E796,Vehicles!$A$2:$D$21,4,FALSE)</f>
        <v>Diesel</v>
      </c>
      <c r="W796" s="3">
        <f ca="1">VLOOKUP(V796,Fuel_Rates!$A$2:$B$3,2,FALSE)</f>
        <v>95</v>
      </c>
      <c r="X796" s="3">
        <f t="shared" ca="1" si="216"/>
        <v>95.31</v>
      </c>
      <c r="Y796" s="3">
        <f t="shared" ca="1" si="217"/>
        <v>48540</v>
      </c>
      <c r="Z796" s="3" t="str">
        <f t="shared" ca="1" si="218"/>
        <v>Jul</v>
      </c>
      <c r="AA796" s="3" t="str">
        <f t="shared" ca="1" si="219"/>
        <v>Q3</v>
      </c>
      <c r="AB796" s="4" t="str">
        <f t="shared" ca="1" si="220"/>
        <v>Medium Haul</v>
      </c>
    </row>
    <row r="797" spans="1:28" x14ac:dyDescent="0.3">
      <c r="A797" s="8" t="str">
        <f t="shared" si="215"/>
        <v>S0796</v>
      </c>
      <c r="B797" s="3">
        <f t="shared" ca="1" si="204"/>
        <v>45700</v>
      </c>
      <c r="C797" s="3" t="str">
        <f ca="1">INDEX(Customers!$A$2:$A$21,RANDBETWEEN(1,20))</f>
        <v>C016</v>
      </c>
      <c r="D797" s="3" t="str">
        <f ca="1">INDEX(Routes!$A$2:$A$31,RANDBETWEEN(1,30))</f>
        <v>R012</v>
      </c>
      <c r="E797" s="3" t="str">
        <f ca="1">INDEX(Vehicles!$A$2:$A$21,RANDBETWEEN(1,20))</f>
        <v>V013</v>
      </c>
      <c r="F797" s="3" t="str">
        <f ca="1">INDEX(Drivers!$A$2:$A$31,RANDBETWEEN(1,30))</f>
        <v>D003</v>
      </c>
      <c r="G797" s="3">
        <f t="shared" ca="1" si="205"/>
        <v>17.8</v>
      </c>
      <c r="H797" s="3">
        <f t="shared" ca="1" si="206"/>
        <v>39590</v>
      </c>
      <c r="I797" s="3">
        <f t="shared" ca="1" si="207"/>
        <v>11085</v>
      </c>
      <c r="J797" s="3">
        <f t="shared" ca="1" si="208"/>
        <v>1868</v>
      </c>
      <c r="K797" s="3">
        <f t="shared" ca="1" si="209"/>
        <v>38</v>
      </c>
      <c r="L797" s="3">
        <f t="shared" ca="1" si="210"/>
        <v>39</v>
      </c>
      <c r="M797" s="3">
        <f t="shared" ca="1" si="211"/>
        <v>1</v>
      </c>
      <c r="N797" s="3" t="str">
        <f t="shared" ca="1" si="212"/>
        <v>On Time</v>
      </c>
      <c r="O797" s="3" t="str">
        <f t="shared" ca="1" si="213"/>
        <v>Low</v>
      </c>
      <c r="P797" s="3">
        <f t="shared" ca="1" si="214"/>
        <v>59.3</v>
      </c>
      <c r="Q797" s="1" t="str">
        <f ca="1">VLOOKUP(D797,Routes!$A$2:$D$31,2,FALSE)</f>
        <v>Chennai</v>
      </c>
      <c r="R797" s="1" t="str">
        <f ca="1">VLOOKUP(D797,Routes!$A$2:$D$31,3,FALSE)</f>
        <v>Coimbatore</v>
      </c>
      <c r="S797" s="3">
        <f ca="1">VLOOKUP(D797,Routes!$A$2:$D$31,4,FALSE)</f>
        <v>500</v>
      </c>
      <c r="T797" s="3" t="str">
        <f ca="1">VLOOKUP(E797,Vehicles!$A$2:$D$21,2,FALSE)</f>
        <v>LCV</v>
      </c>
      <c r="U797" s="3">
        <f ca="1">VLOOKUP(E797,Vehicles!$A$2:$D$21,3,FALSE)</f>
        <v>4</v>
      </c>
      <c r="V797" s="3" t="str">
        <f ca="1">VLOOKUP(E797,Vehicles!$A$2:$D$21,4,FALSE)</f>
        <v>CNG</v>
      </c>
      <c r="W797" s="3">
        <f ca="1">VLOOKUP(V797,Fuel_Rates!$A$2:$B$3,2,FALSE)</f>
        <v>78</v>
      </c>
      <c r="X797" s="3">
        <f t="shared" ca="1" si="216"/>
        <v>79.180000000000007</v>
      </c>
      <c r="Y797" s="3">
        <f t="shared" ca="1" si="217"/>
        <v>52543</v>
      </c>
      <c r="Z797" s="3" t="str">
        <f t="shared" ca="1" si="218"/>
        <v>Feb</v>
      </c>
      <c r="AA797" s="3" t="str">
        <f t="shared" ca="1" si="219"/>
        <v>Q1</v>
      </c>
      <c r="AB797" s="4" t="str">
        <f t="shared" ca="1" si="220"/>
        <v>Medium Haul</v>
      </c>
    </row>
    <row r="798" spans="1:28" x14ac:dyDescent="0.3">
      <c r="A798" s="8" t="str">
        <f t="shared" si="215"/>
        <v>S0797</v>
      </c>
      <c r="B798" s="3">
        <f t="shared" ca="1" si="204"/>
        <v>45664</v>
      </c>
      <c r="C798" s="3" t="str">
        <f ca="1">INDEX(Customers!$A$2:$A$21,RANDBETWEEN(1,20))</f>
        <v>C006</v>
      </c>
      <c r="D798" s="3" t="str">
        <f ca="1">INDEX(Routes!$A$2:$A$31,RANDBETWEEN(1,30))</f>
        <v>R007</v>
      </c>
      <c r="E798" s="3" t="str">
        <f ca="1">INDEX(Vehicles!$A$2:$A$21,RANDBETWEEN(1,20))</f>
        <v>V020</v>
      </c>
      <c r="F798" s="3" t="str">
        <f ca="1">INDEX(Drivers!$A$2:$A$31,RANDBETWEEN(1,30))</f>
        <v>D030</v>
      </c>
      <c r="G798" s="3">
        <f t="shared" ca="1" si="205"/>
        <v>19.899999999999999</v>
      </c>
      <c r="H798" s="3">
        <f t="shared" ca="1" si="206"/>
        <v>49653</v>
      </c>
      <c r="I798" s="3">
        <f t="shared" ca="1" si="207"/>
        <v>13903</v>
      </c>
      <c r="J798" s="3">
        <f t="shared" ca="1" si="208"/>
        <v>1590</v>
      </c>
      <c r="K798" s="3">
        <f t="shared" ca="1" si="209"/>
        <v>18</v>
      </c>
      <c r="L798" s="3">
        <f t="shared" ca="1" si="210"/>
        <v>18</v>
      </c>
      <c r="M798" s="3">
        <f t="shared" ca="1" si="211"/>
        <v>0</v>
      </c>
      <c r="N798" s="3" t="str">
        <f t="shared" ca="1" si="212"/>
        <v>On Time</v>
      </c>
      <c r="O798" s="3" t="str">
        <f t="shared" ca="1" si="213"/>
        <v>Low</v>
      </c>
      <c r="P798" s="3">
        <f t="shared" ca="1" si="214"/>
        <v>66.3</v>
      </c>
      <c r="Q798" s="1" t="str">
        <f ca="1">VLOOKUP(D798,Routes!$A$2:$D$31,2,FALSE)</f>
        <v>Delhi</v>
      </c>
      <c r="R798" s="1" t="str">
        <f ca="1">VLOOKUP(D798,Routes!$A$2:$D$31,3,FALSE)</f>
        <v>Chandigarh</v>
      </c>
      <c r="S798" s="3">
        <f ca="1">VLOOKUP(D798,Routes!$A$2:$D$31,4,FALSE)</f>
        <v>250</v>
      </c>
      <c r="T798" s="3" t="str">
        <f ca="1">VLOOKUP(E798,Vehicles!$A$2:$D$21,2,FALSE)</f>
        <v>Container</v>
      </c>
      <c r="U798" s="3">
        <f ca="1">VLOOKUP(E798,Vehicles!$A$2:$D$21,3,FALSE)</f>
        <v>28</v>
      </c>
      <c r="V798" s="3" t="str">
        <f ca="1">VLOOKUP(E798,Vehicles!$A$2:$D$21,4,FALSE)</f>
        <v>Diesel</v>
      </c>
      <c r="W798" s="3">
        <f ca="1">VLOOKUP(V798,Fuel_Rates!$A$2:$B$3,2,FALSE)</f>
        <v>95</v>
      </c>
      <c r="X798" s="3">
        <f t="shared" ca="1" si="216"/>
        <v>198.61</v>
      </c>
      <c r="Y798" s="3">
        <f t="shared" ca="1" si="217"/>
        <v>65146</v>
      </c>
      <c r="Z798" s="3" t="str">
        <f t="shared" ca="1" si="218"/>
        <v>Jan</v>
      </c>
      <c r="AA798" s="3" t="str">
        <f t="shared" ca="1" si="219"/>
        <v>Q1</v>
      </c>
      <c r="AB798" s="4" t="str">
        <f t="shared" ca="1" si="220"/>
        <v>Short Haul</v>
      </c>
    </row>
    <row r="799" spans="1:28" x14ac:dyDescent="0.3">
      <c r="A799" s="8" t="str">
        <f t="shared" si="215"/>
        <v>S0798</v>
      </c>
      <c r="B799" s="3">
        <f t="shared" ca="1" si="204"/>
        <v>45983</v>
      </c>
      <c r="C799" s="3" t="str">
        <f ca="1">INDEX(Customers!$A$2:$A$21,RANDBETWEEN(1,20))</f>
        <v>C008</v>
      </c>
      <c r="D799" s="3" t="str">
        <f ca="1">INDEX(Routes!$A$2:$A$31,RANDBETWEEN(1,30))</f>
        <v>R029</v>
      </c>
      <c r="E799" s="3" t="str">
        <f ca="1">INDEX(Vehicles!$A$2:$A$21,RANDBETWEEN(1,20))</f>
        <v>V013</v>
      </c>
      <c r="F799" s="3" t="str">
        <f ca="1">INDEX(Drivers!$A$2:$A$31,RANDBETWEEN(1,30))</f>
        <v>D001</v>
      </c>
      <c r="G799" s="3">
        <f t="shared" ca="1" si="205"/>
        <v>16.8</v>
      </c>
      <c r="H799" s="3">
        <f t="shared" ca="1" si="206"/>
        <v>40438</v>
      </c>
      <c r="I799" s="3">
        <f t="shared" ca="1" si="207"/>
        <v>11323</v>
      </c>
      <c r="J799" s="3">
        <f t="shared" ca="1" si="208"/>
        <v>903</v>
      </c>
      <c r="K799" s="3">
        <f t="shared" ca="1" si="209"/>
        <v>15</v>
      </c>
      <c r="L799" s="3">
        <f t="shared" ca="1" si="210"/>
        <v>20</v>
      </c>
      <c r="M799" s="3">
        <f t="shared" ca="1" si="211"/>
        <v>5</v>
      </c>
      <c r="N799" s="3" t="str">
        <f t="shared" ca="1" si="212"/>
        <v>Delayed</v>
      </c>
      <c r="O799" s="3" t="str">
        <f t="shared" ca="1" si="213"/>
        <v>Medium</v>
      </c>
      <c r="P799" s="3">
        <f t="shared" ca="1" si="214"/>
        <v>56</v>
      </c>
      <c r="Q799" s="1" t="str">
        <f ca="1">VLOOKUP(D799,Routes!$A$2:$D$31,2,FALSE)</f>
        <v>Chandigarh</v>
      </c>
      <c r="R799" s="1" t="str">
        <f ca="1">VLOOKUP(D799,Routes!$A$2:$D$31,3,FALSE)</f>
        <v>Delhi</v>
      </c>
      <c r="S799" s="3">
        <f ca="1">VLOOKUP(D799,Routes!$A$2:$D$31,4,FALSE)</f>
        <v>250</v>
      </c>
      <c r="T799" s="3" t="str">
        <f ca="1">VLOOKUP(E799,Vehicles!$A$2:$D$21,2,FALSE)</f>
        <v>LCV</v>
      </c>
      <c r="U799" s="3">
        <f ca="1">VLOOKUP(E799,Vehicles!$A$2:$D$21,3,FALSE)</f>
        <v>4</v>
      </c>
      <c r="V799" s="3" t="str">
        <f ca="1">VLOOKUP(E799,Vehicles!$A$2:$D$21,4,FALSE)</f>
        <v>CNG</v>
      </c>
      <c r="W799" s="3">
        <f ca="1">VLOOKUP(V799,Fuel_Rates!$A$2:$B$3,2,FALSE)</f>
        <v>78</v>
      </c>
      <c r="X799" s="3">
        <f t="shared" ca="1" si="216"/>
        <v>161.75</v>
      </c>
      <c r="Y799" s="3">
        <f t="shared" ca="1" si="217"/>
        <v>52664</v>
      </c>
      <c r="Z799" s="3" t="str">
        <f t="shared" ca="1" si="218"/>
        <v>Nov</v>
      </c>
      <c r="AA799" s="3" t="str">
        <f t="shared" ca="1" si="219"/>
        <v>Q4</v>
      </c>
      <c r="AB799" s="4" t="str">
        <f t="shared" ca="1" si="220"/>
        <v>Short Haul</v>
      </c>
    </row>
    <row r="800" spans="1:28" x14ac:dyDescent="0.3">
      <c r="A800" s="8" t="str">
        <f t="shared" si="215"/>
        <v>S0799</v>
      </c>
      <c r="B800" s="3">
        <f t="shared" ca="1" si="204"/>
        <v>45924</v>
      </c>
      <c r="C800" s="3" t="str">
        <f ca="1">INDEX(Customers!$A$2:$A$21,RANDBETWEEN(1,20))</f>
        <v>C007</v>
      </c>
      <c r="D800" s="3" t="str">
        <f ca="1">INDEX(Routes!$A$2:$A$31,RANDBETWEEN(1,30))</f>
        <v>R017</v>
      </c>
      <c r="E800" s="3" t="str">
        <f ca="1">INDEX(Vehicles!$A$2:$A$21,RANDBETWEEN(1,20))</f>
        <v>V015</v>
      </c>
      <c r="F800" s="3" t="str">
        <f ca="1">INDEX(Drivers!$A$2:$A$31,RANDBETWEEN(1,30))</f>
        <v>D011</v>
      </c>
      <c r="G800" s="3">
        <f t="shared" ca="1" si="205"/>
        <v>22.6</v>
      </c>
      <c r="H800" s="3">
        <f t="shared" ca="1" si="206"/>
        <v>48181</v>
      </c>
      <c r="I800" s="3">
        <f t="shared" ca="1" si="207"/>
        <v>13491</v>
      </c>
      <c r="J800" s="3">
        <f t="shared" ca="1" si="208"/>
        <v>1937</v>
      </c>
      <c r="K800" s="3">
        <f t="shared" ca="1" si="209"/>
        <v>26</v>
      </c>
      <c r="L800" s="3">
        <f t="shared" ca="1" si="210"/>
        <v>31</v>
      </c>
      <c r="M800" s="3">
        <f t="shared" ca="1" si="211"/>
        <v>5</v>
      </c>
      <c r="N800" s="3" t="str">
        <f t="shared" ca="1" si="212"/>
        <v>Delayed</v>
      </c>
      <c r="O800" s="3" t="str">
        <f t="shared" ca="1" si="213"/>
        <v>High</v>
      </c>
      <c r="P800" s="3">
        <f t="shared" ca="1" si="214"/>
        <v>75.3</v>
      </c>
      <c r="Q800" s="1" t="str">
        <f ca="1">VLOOKUP(D800,Routes!$A$2:$D$31,2,FALSE)</f>
        <v>Kolkata</v>
      </c>
      <c r="R800" s="1" t="str">
        <f ca="1">VLOOKUP(D800,Routes!$A$2:$D$31,3,FALSE)</f>
        <v>Patna</v>
      </c>
      <c r="S800" s="3">
        <f ca="1">VLOOKUP(D800,Routes!$A$2:$D$31,4,FALSE)</f>
        <v>620</v>
      </c>
      <c r="T800" s="3" t="str">
        <f ca="1">VLOOKUP(E800,Vehicles!$A$2:$D$21,2,FALSE)</f>
        <v>Trailer</v>
      </c>
      <c r="U800" s="3">
        <f ca="1">VLOOKUP(E800,Vehicles!$A$2:$D$21,3,FALSE)</f>
        <v>30</v>
      </c>
      <c r="V800" s="3" t="str">
        <f ca="1">VLOOKUP(E800,Vehicles!$A$2:$D$21,4,FALSE)</f>
        <v>Diesel</v>
      </c>
      <c r="W800" s="3">
        <f ca="1">VLOOKUP(V800,Fuel_Rates!$A$2:$B$3,2,FALSE)</f>
        <v>95</v>
      </c>
      <c r="X800" s="3">
        <f t="shared" ca="1" si="216"/>
        <v>77.709999999999994</v>
      </c>
      <c r="Y800" s="3">
        <f t="shared" ca="1" si="217"/>
        <v>63609</v>
      </c>
      <c r="Z800" s="3" t="str">
        <f t="shared" ca="1" si="218"/>
        <v>Sep</v>
      </c>
      <c r="AA800" s="3" t="str">
        <f t="shared" ca="1" si="219"/>
        <v>Q3</v>
      </c>
      <c r="AB800" s="4" t="str">
        <f t="shared" ca="1" si="220"/>
        <v>Medium Haul</v>
      </c>
    </row>
    <row r="801" spans="1:28" x14ac:dyDescent="0.3">
      <c r="A801" s="8" t="str">
        <f t="shared" si="215"/>
        <v>S0800</v>
      </c>
      <c r="B801" s="3">
        <f t="shared" ca="1" si="204"/>
        <v>45986</v>
      </c>
      <c r="C801" s="3" t="str">
        <f ca="1">INDEX(Customers!$A$2:$A$21,RANDBETWEEN(1,20))</f>
        <v>C011</v>
      </c>
      <c r="D801" s="3" t="str">
        <f ca="1">INDEX(Routes!$A$2:$A$31,RANDBETWEEN(1,30))</f>
        <v>R014</v>
      </c>
      <c r="E801" s="3" t="str">
        <f ca="1">INDEX(Vehicles!$A$2:$A$21,RANDBETWEEN(1,20))</f>
        <v>V003</v>
      </c>
      <c r="F801" s="3" t="str">
        <f ca="1">INDEX(Drivers!$A$2:$A$31,RANDBETWEEN(1,30))</f>
        <v>D013</v>
      </c>
      <c r="G801" s="3">
        <f t="shared" ca="1" si="205"/>
        <v>10</v>
      </c>
      <c r="H801" s="3">
        <f t="shared" ca="1" si="206"/>
        <v>30167</v>
      </c>
      <c r="I801" s="3">
        <f t="shared" ca="1" si="207"/>
        <v>8447</v>
      </c>
      <c r="J801" s="3">
        <f t="shared" ca="1" si="208"/>
        <v>3471</v>
      </c>
      <c r="K801" s="3">
        <f t="shared" ca="1" si="209"/>
        <v>9</v>
      </c>
      <c r="L801" s="3">
        <f t="shared" ca="1" si="210"/>
        <v>12</v>
      </c>
      <c r="M801" s="3">
        <f t="shared" ca="1" si="211"/>
        <v>3</v>
      </c>
      <c r="N801" s="3" t="str">
        <f t="shared" ca="1" si="212"/>
        <v>Delayed</v>
      </c>
      <c r="O801" s="3" t="str">
        <f t="shared" ca="1" si="213"/>
        <v>Low</v>
      </c>
      <c r="P801" s="3">
        <f t="shared" ca="1" si="214"/>
        <v>33.299999999999997</v>
      </c>
      <c r="Q801" s="1" t="str">
        <f ca="1">VLOOKUP(D801,Routes!$A$2:$D$31,2,FALSE)</f>
        <v>Hyderabad</v>
      </c>
      <c r="R801" s="1" t="str">
        <f ca="1">VLOOKUP(D801,Routes!$A$2:$D$31,3,FALSE)</f>
        <v>Nagpur</v>
      </c>
      <c r="S801" s="3">
        <f ca="1">VLOOKUP(D801,Routes!$A$2:$D$31,4,FALSE)</f>
        <v>500</v>
      </c>
      <c r="T801" s="3" t="str">
        <f ca="1">VLOOKUP(E801,Vehicles!$A$2:$D$21,2,FALSE)</f>
        <v>Truck</v>
      </c>
      <c r="U801" s="3">
        <f ca="1">VLOOKUP(E801,Vehicles!$A$2:$D$21,3,FALSE)</f>
        <v>25</v>
      </c>
      <c r="V801" s="3" t="str">
        <f ca="1">VLOOKUP(E801,Vehicles!$A$2:$D$21,4,FALSE)</f>
        <v>Diesel</v>
      </c>
      <c r="W801" s="3">
        <f ca="1">VLOOKUP(V801,Fuel_Rates!$A$2:$B$3,2,FALSE)</f>
        <v>95</v>
      </c>
      <c r="X801" s="3">
        <f t="shared" ca="1" si="216"/>
        <v>60.33</v>
      </c>
      <c r="Y801" s="3">
        <f t="shared" ca="1" si="217"/>
        <v>42085</v>
      </c>
      <c r="Z801" s="3" t="str">
        <f t="shared" ca="1" si="218"/>
        <v>Nov</v>
      </c>
      <c r="AA801" s="3" t="str">
        <f t="shared" ca="1" si="219"/>
        <v>Q4</v>
      </c>
      <c r="AB801" s="4" t="str">
        <f t="shared" ca="1" si="220"/>
        <v>Medium Haul</v>
      </c>
    </row>
    <row r="802" spans="1:28" x14ac:dyDescent="0.3">
      <c r="A802" s="8" t="str">
        <f t="shared" si="215"/>
        <v>S0801</v>
      </c>
      <c r="B802" s="3">
        <f t="shared" ca="1" si="204"/>
        <v>45726</v>
      </c>
      <c r="C802" s="3" t="str">
        <f ca="1">INDEX(Customers!$A$2:$A$21,RANDBETWEEN(1,20))</f>
        <v>C017</v>
      </c>
      <c r="D802" s="3" t="str">
        <f ca="1">INDEX(Routes!$A$2:$A$31,RANDBETWEEN(1,30))</f>
        <v>R025</v>
      </c>
      <c r="E802" s="3" t="str">
        <f ca="1">INDEX(Vehicles!$A$2:$A$21,RANDBETWEEN(1,20))</f>
        <v>V020</v>
      </c>
      <c r="F802" s="3" t="str">
        <f ca="1">INDEX(Drivers!$A$2:$A$31,RANDBETWEEN(1,30))</f>
        <v>D019</v>
      </c>
      <c r="G802" s="3">
        <f t="shared" ca="1" si="205"/>
        <v>18.2</v>
      </c>
      <c r="H802" s="3">
        <f t="shared" ca="1" si="206"/>
        <v>41645</v>
      </c>
      <c r="I802" s="3">
        <f t="shared" ca="1" si="207"/>
        <v>11661</v>
      </c>
      <c r="J802" s="3">
        <f t="shared" ca="1" si="208"/>
        <v>3333</v>
      </c>
      <c r="K802" s="3">
        <f t="shared" ca="1" si="209"/>
        <v>20</v>
      </c>
      <c r="L802" s="3">
        <f t="shared" ca="1" si="210"/>
        <v>25</v>
      </c>
      <c r="M802" s="3">
        <f t="shared" ca="1" si="211"/>
        <v>5</v>
      </c>
      <c r="N802" s="3" t="str">
        <f t="shared" ca="1" si="212"/>
        <v>Delayed</v>
      </c>
      <c r="O802" s="3" t="str">
        <f t="shared" ca="1" si="213"/>
        <v>Low</v>
      </c>
      <c r="P802" s="3">
        <f t="shared" ca="1" si="214"/>
        <v>60.7</v>
      </c>
      <c r="Q802" s="1" t="str">
        <f ca="1">VLOOKUP(D802,Routes!$A$2:$D$31,2,FALSE)</f>
        <v>Visakhapatnam</v>
      </c>
      <c r="R802" s="1" t="str">
        <f ca="1">VLOOKUP(D802,Routes!$A$2:$D$31,3,FALSE)</f>
        <v>Hyderabad</v>
      </c>
      <c r="S802" s="3">
        <f ca="1">VLOOKUP(D802,Routes!$A$2:$D$31,4,FALSE)</f>
        <v>620</v>
      </c>
      <c r="T802" s="3" t="str">
        <f ca="1">VLOOKUP(E802,Vehicles!$A$2:$D$21,2,FALSE)</f>
        <v>Container</v>
      </c>
      <c r="U802" s="3">
        <f ca="1">VLOOKUP(E802,Vehicles!$A$2:$D$21,3,FALSE)</f>
        <v>28</v>
      </c>
      <c r="V802" s="3" t="str">
        <f ca="1">VLOOKUP(E802,Vehicles!$A$2:$D$21,4,FALSE)</f>
        <v>Diesel</v>
      </c>
      <c r="W802" s="3">
        <f ca="1">VLOOKUP(V802,Fuel_Rates!$A$2:$B$3,2,FALSE)</f>
        <v>95</v>
      </c>
      <c r="X802" s="3">
        <f t="shared" ca="1" si="216"/>
        <v>67.17</v>
      </c>
      <c r="Y802" s="3">
        <f t="shared" ca="1" si="217"/>
        <v>56639</v>
      </c>
      <c r="Z802" s="3" t="str">
        <f t="shared" ca="1" si="218"/>
        <v>Mar</v>
      </c>
      <c r="AA802" s="3" t="str">
        <f t="shared" ca="1" si="219"/>
        <v>Q1</v>
      </c>
      <c r="AB802" s="4" t="str">
        <f t="shared" ca="1" si="220"/>
        <v>Medium Haul</v>
      </c>
    </row>
    <row r="803" spans="1:28" x14ac:dyDescent="0.3">
      <c r="A803" s="8" t="str">
        <f t="shared" si="215"/>
        <v>S0802</v>
      </c>
      <c r="B803" s="3">
        <f t="shared" ca="1" si="204"/>
        <v>45999</v>
      </c>
      <c r="C803" s="3" t="str">
        <f ca="1">INDEX(Customers!$A$2:$A$21,RANDBETWEEN(1,20))</f>
        <v>C005</v>
      </c>
      <c r="D803" s="3" t="str">
        <f ca="1">INDEX(Routes!$A$2:$A$31,RANDBETWEEN(1,30))</f>
        <v>R023</v>
      </c>
      <c r="E803" s="3" t="str">
        <f ca="1">INDEX(Vehicles!$A$2:$A$21,RANDBETWEEN(1,20))</f>
        <v>V005</v>
      </c>
      <c r="F803" s="3" t="str">
        <f ca="1">INDEX(Drivers!$A$2:$A$31,RANDBETWEEN(1,30))</f>
        <v>D007</v>
      </c>
      <c r="G803" s="3">
        <f t="shared" ca="1" si="205"/>
        <v>11.1</v>
      </c>
      <c r="H803" s="3">
        <f t="shared" ca="1" si="206"/>
        <v>27468</v>
      </c>
      <c r="I803" s="3">
        <f t="shared" ca="1" si="207"/>
        <v>7691</v>
      </c>
      <c r="J803" s="3">
        <f t="shared" ca="1" si="208"/>
        <v>1213</v>
      </c>
      <c r="K803" s="3">
        <f t="shared" ca="1" si="209"/>
        <v>44</v>
      </c>
      <c r="L803" s="3">
        <f t="shared" ca="1" si="210"/>
        <v>45</v>
      </c>
      <c r="M803" s="3">
        <f t="shared" ca="1" si="211"/>
        <v>1</v>
      </c>
      <c r="N803" s="3" t="str">
        <f t="shared" ca="1" si="212"/>
        <v>On Time</v>
      </c>
      <c r="O803" s="3" t="str">
        <f t="shared" ca="1" si="213"/>
        <v>Low</v>
      </c>
      <c r="P803" s="3">
        <f t="shared" ca="1" si="214"/>
        <v>37</v>
      </c>
      <c r="Q803" s="1" t="str">
        <f ca="1">VLOOKUP(D803,Routes!$A$2:$D$31,2,FALSE)</f>
        <v>Kochi</v>
      </c>
      <c r="R803" s="1" t="str">
        <f ca="1">VLOOKUP(D803,Routes!$A$2:$D$31,3,FALSE)</f>
        <v>Bengaluru</v>
      </c>
      <c r="S803" s="3">
        <f ca="1">VLOOKUP(D803,Routes!$A$2:$D$31,4,FALSE)</f>
        <v>550</v>
      </c>
      <c r="T803" s="3" t="str">
        <f ca="1">VLOOKUP(E803,Vehicles!$A$2:$D$21,2,FALSE)</f>
        <v>Trailer</v>
      </c>
      <c r="U803" s="3">
        <f ca="1">VLOOKUP(E803,Vehicles!$A$2:$D$21,3,FALSE)</f>
        <v>32</v>
      </c>
      <c r="V803" s="3" t="str">
        <f ca="1">VLOOKUP(E803,Vehicles!$A$2:$D$21,4,FALSE)</f>
        <v>Diesel</v>
      </c>
      <c r="W803" s="3">
        <f ca="1">VLOOKUP(V803,Fuel_Rates!$A$2:$B$3,2,FALSE)</f>
        <v>95</v>
      </c>
      <c r="X803" s="3">
        <f t="shared" ca="1" si="216"/>
        <v>49.94</v>
      </c>
      <c r="Y803" s="3">
        <f t="shared" ca="1" si="217"/>
        <v>36372</v>
      </c>
      <c r="Z803" s="3" t="str">
        <f t="shared" ca="1" si="218"/>
        <v>Dec</v>
      </c>
      <c r="AA803" s="3" t="str">
        <f t="shared" ca="1" si="219"/>
        <v>Q4</v>
      </c>
      <c r="AB803" s="4" t="str">
        <f t="shared" ca="1" si="220"/>
        <v>Medium Haul</v>
      </c>
    </row>
    <row r="804" spans="1:28" x14ac:dyDescent="0.3">
      <c r="A804" s="8" t="str">
        <f t="shared" si="215"/>
        <v>S0803</v>
      </c>
      <c r="B804" s="3">
        <f t="shared" ca="1" si="204"/>
        <v>45730</v>
      </c>
      <c r="C804" s="3" t="str">
        <f ca="1">INDEX(Customers!$A$2:$A$21,RANDBETWEEN(1,20))</f>
        <v>C012</v>
      </c>
      <c r="D804" s="3" t="str">
        <f ca="1">INDEX(Routes!$A$2:$A$31,RANDBETWEEN(1,30))</f>
        <v>R008</v>
      </c>
      <c r="E804" s="3" t="str">
        <f ca="1">INDEX(Vehicles!$A$2:$A$21,RANDBETWEEN(1,20))</f>
        <v>V012</v>
      </c>
      <c r="F804" s="3" t="str">
        <f ca="1">INDEX(Drivers!$A$2:$A$31,RANDBETWEEN(1,30))</f>
        <v>D004</v>
      </c>
      <c r="G804" s="3">
        <f t="shared" ca="1" si="205"/>
        <v>15.6</v>
      </c>
      <c r="H804" s="3">
        <f t="shared" ca="1" si="206"/>
        <v>33304</v>
      </c>
      <c r="I804" s="3">
        <f t="shared" ca="1" si="207"/>
        <v>9325</v>
      </c>
      <c r="J804" s="3">
        <f t="shared" ca="1" si="208"/>
        <v>3436</v>
      </c>
      <c r="K804" s="3">
        <f t="shared" ca="1" si="209"/>
        <v>34</v>
      </c>
      <c r="L804" s="3">
        <f t="shared" ca="1" si="210"/>
        <v>34</v>
      </c>
      <c r="M804" s="3">
        <f t="shared" ca="1" si="211"/>
        <v>0</v>
      </c>
      <c r="N804" s="3" t="str">
        <f t="shared" ca="1" si="212"/>
        <v>On Time</v>
      </c>
      <c r="O804" s="3" t="str">
        <f t="shared" ca="1" si="213"/>
        <v>Low</v>
      </c>
      <c r="P804" s="3">
        <f t="shared" ca="1" si="214"/>
        <v>52</v>
      </c>
      <c r="Q804" s="1" t="str">
        <f ca="1">VLOOKUP(D804,Routes!$A$2:$D$31,2,FALSE)</f>
        <v>Delhi</v>
      </c>
      <c r="R804" s="1" t="str">
        <f ca="1">VLOOKUP(D804,Routes!$A$2:$D$31,3,FALSE)</f>
        <v>Kolkata</v>
      </c>
      <c r="S804" s="3">
        <f ca="1">VLOOKUP(D804,Routes!$A$2:$D$31,4,FALSE)</f>
        <v>1500</v>
      </c>
      <c r="T804" s="3" t="str">
        <f ca="1">VLOOKUP(E804,Vehicles!$A$2:$D$21,2,FALSE)</f>
        <v>Truck</v>
      </c>
      <c r="U804" s="3">
        <f ca="1">VLOOKUP(E804,Vehicles!$A$2:$D$21,3,FALSE)</f>
        <v>20</v>
      </c>
      <c r="V804" s="3" t="str">
        <f ca="1">VLOOKUP(E804,Vehicles!$A$2:$D$21,4,FALSE)</f>
        <v>CNG</v>
      </c>
      <c r="W804" s="3">
        <f ca="1">VLOOKUP(V804,Fuel_Rates!$A$2:$B$3,2,FALSE)</f>
        <v>78</v>
      </c>
      <c r="X804" s="3">
        <f t="shared" ca="1" si="216"/>
        <v>22.2</v>
      </c>
      <c r="Y804" s="3">
        <f t="shared" ca="1" si="217"/>
        <v>46065</v>
      </c>
      <c r="Z804" s="3" t="str">
        <f t="shared" ca="1" si="218"/>
        <v>Mar</v>
      </c>
      <c r="AA804" s="3" t="str">
        <f t="shared" ca="1" si="219"/>
        <v>Q1</v>
      </c>
      <c r="AB804" s="4" t="str">
        <f t="shared" ca="1" si="220"/>
        <v>Long Haul</v>
      </c>
    </row>
    <row r="805" spans="1:28" x14ac:dyDescent="0.3">
      <c r="A805" s="8" t="str">
        <f t="shared" si="215"/>
        <v>S0804</v>
      </c>
      <c r="B805" s="3">
        <f t="shared" ca="1" si="204"/>
        <v>45819</v>
      </c>
      <c r="C805" s="3" t="str">
        <f ca="1">INDEX(Customers!$A$2:$A$21,RANDBETWEEN(1,20))</f>
        <v>C001</v>
      </c>
      <c r="D805" s="3" t="str">
        <f ca="1">INDEX(Routes!$A$2:$A$31,RANDBETWEEN(1,30))</f>
        <v>R007</v>
      </c>
      <c r="E805" s="3" t="str">
        <f ca="1">INDEX(Vehicles!$A$2:$A$21,RANDBETWEEN(1,20))</f>
        <v>V020</v>
      </c>
      <c r="F805" s="3" t="str">
        <f ca="1">INDEX(Drivers!$A$2:$A$31,RANDBETWEEN(1,30))</f>
        <v>D028</v>
      </c>
      <c r="G805" s="3">
        <f t="shared" ca="1" si="205"/>
        <v>9.9</v>
      </c>
      <c r="H805" s="3">
        <f t="shared" ca="1" si="206"/>
        <v>32287</v>
      </c>
      <c r="I805" s="3">
        <f t="shared" ca="1" si="207"/>
        <v>9040</v>
      </c>
      <c r="J805" s="3">
        <f t="shared" ca="1" si="208"/>
        <v>2395</v>
      </c>
      <c r="K805" s="3">
        <f t="shared" ca="1" si="209"/>
        <v>21</v>
      </c>
      <c r="L805" s="3">
        <f t="shared" ca="1" si="210"/>
        <v>23</v>
      </c>
      <c r="M805" s="3">
        <f t="shared" ca="1" si="211"/>
        <v>2</v>
      </c>
      <c r="N805" s="3" t="str">
        <f t="shared" ca="1" si="212"/>
        <v>On Time</v>
      </c>
      <c r="O805" s="3" t="str">
        <f t="shared" ca="1" si="213"/>
        <v>Medium</v>
      </c>
      <c r="P805" s="3">
        <f t="shared" ca="1" si="214"/>
        <v>33</v>
      </c>
      <c r="Q805" s="1" t="str">
        <f ca="1">VLOOKUP(D805,Routes!$A$2:$D$31,2,FALSE)</f>
        <v>Delhi</v>
      </c>
      <c r="R805" s="1" t="str">
        <f ca="1">VLOOKUP(D805,Routes!$A$2:$D$31,3,FALSE)</f>
        <v>Chandigarh</v>
      </c>
      <c r="S805" s="3">
        <f ca="1">VLOOKUP(D805,Routes!$A$2:$D$31,4,FALSE)</f>
        <v>250</v>
      </c>
      <c r="T805" s="3" t="str">
        <f ca="1">VLOOKUP(E805,Vehicles!$A$2:$D$21,2,FALSE)</f>
        <v>Container</v>
      </c>
      <c r="U805" s="3">
        <f ca="1">VLOOKUP(E805,Vehicles!$A$2:$D$21,3,FALSE)</f>
        <v>28</v>
      </c>
      <c r="V805" s="3" t="str">
        <f ca="1">VLOOKUP(E805,Vehicles!$A$2:$D$21,4,FALSE)</f>
        <v>Diesel</v>
      </c>
      <c r="W805" s="3">
        <f ca="1">VLOOKUP(V805,Fuel_Rates!$A$2:$B$3,2,FALSE)</f>
        <v>95</v>
      </c>
      <c r="X805" s="3">
        <f t="shared" ca="1" si="216"/>
        <v>129.15</v>
      </c>
      <c r="Y805" s="3">
        <f t="shared" ca="1" si="217"/>
        <v>43722</v>
      </c>
      <c r="Z805" s="3" t="str">
        <f t="shared" ca="1" si="218"/>
        <v>Jun</v>
      </c>
      <c r="AA805" s="3" t="str">
        <f t="shared" ca="1" si="219"/>
        <v>Q2</v>
      </c>
      <c r="AB805" s="4" t="str">
        <f t="shared" ca="1" si="220"/>
        <v>Short Haul</v>
      </c>
    </row>
    <row r="806" spans="1:28" x14ac:dyDescent="0.3">
      <c r="A806" s="8" t="str">
        <f t="shared" si="215"/>
        <v>S0805</v>
      </c>
      <c r="B806" s="3">
        <f t="shared" ca="1" si="204"/>
        <v>45719</v>
      </c>
      <c r="C806" s="3" t="str">
        <f ca="1">INDEX(Customers!$A$2:$A$21,RANDBETWEEN(1,20))</f>
        <v>C004</v>
      </c>
      <c r="D806" s="3" t="str">
        <f ca="1">INDEX(Routes!$A$2:$A$31,RANDBETWEEN(1,30))</f>
        <v>R012</v>
      </c>
      <c r="E806" s="3" t="str">
        <f ca="1">INDEX(Vehicles!$A$2:$A$21,RANDBETWEEN(1,20))</f>
        <v>V016</v>
      </c>
      <c r="F806" s="3" t="str">
        <f ca="1">INDEX(Drivers!$A$2:$A$31,RANDBETWEEN(1,30))</f>
        <v>D010</v>
      </c>
      <c r="G806" s="3">
        <f t="shared" ca="1" si="205"/>
        <v>22.5</v>
      </c>
      <c r="H806" s="3">
        <f t="shared" ca="1" si="206"/>
        <v>48137</v>
      </c>
      <c r="I806" s="3">
        <f t="shared" ca="1" si="207"/>
        <v>13478</v>
      </c>
      <c r="J806" s="3">
        <f t="shared" ca="1" si="208"/>
        <v>2629</v>
      </c>
      <c r="K806" s="3">
        <f t="shared" ca="1" si="209"/>
        <v>28</v>
      </c>
      <c r="L806" s="3">
        <f t="shared" ca="1" si="210"/>
        <v>31</v>
      </c>
      <c r="M806" s="3">
        <f t="shared" ca="1" si="211"/>
        <v>3</v>
      </c>
      <c r="N806" s="3" t="str">
        <f t="shared" ca="1" si="212"/>
        <v>Delayed</v>
      </c>
      <c r="O806" s="3" t="str">
        <f t="shared" ca="1" si="213"/>
        <v>Medium</v>
      </c>
      <c r="P806" s="3">
        <f t="shared" ca="1" si="214"/>
        <v>75</v>
      </c>
      <c r="Q806" s="1" t="str">
        <f ca="1">VLOOKUP(D806,Routes!$A$2:$D$31,2,FALSE)</f>
        <v>Chennai</v>
      </c>
      <c r="R806" s="1" t="str">
        <f ca="1">VLOOKUP(D806,Routes!$A$2:$D$31,3,FALSE)</f>
        <v>Coimbatore</v>
      </c>
      <c r="S806" s="3">
        <f ca="1">VLOOKUP(D806,Routes!$A$2:$D$31,4,FALSE)</f>
        <v>500</v>
      </c>
      <c r="T806" s="3" t="str">
        <f ca="1">VLOOKUP(E806,Vehicles!$A$2:$D$21,2,FALSE)</f>
        <v>Container</v>
      </c>
      <c r="U806" s="3">
        <f ca="1">VLOOKUP(E806,Vehicles!$A$2:$D$21,3,FALSE)</f>
        <v>22</v>
      </c>
      <c r="V806" s="3" t="str">
        <f ca="1">VLOOKUP(E806,Vehicles!$A$2:$D$21,4,FALSE)</f>
        <v>Diesel</v>
      </c>
      <c r="W806" s="3">
        <f ca="1">VLOOKUP(V806,Fuel_Rates!$A$2:$B$3,2,FALSE)</f>
        <v>95</v>
      </c>
      <c r="X806" s="3">
        <f t="shared" ca="1" si="216"/>
        <v>96.27</v>
      </c>
      <c r="Y806" s="3">
        <f t="shared" ca="1" si="217"/>
        <v>64244</v>
      </c>
      <c r="Z806" s="3" t="str">
        <f t="shared" ca="1" si="218"/>
        <v>Mar</v>
      </c>
      <c r="AA806" s="3" t="str">
        <f t="shared" ca="1" si="219"/>
        <v>Q1</v>
      </c>
      <c r="AB806" s="4" t="str">
        <f t="shared" ca="1" si="220"/>
        <v>Medium Haul</v>
      </c>
    </row>
    <row r="807" spans="1:28" x14ac:dyDescent="0.3">
      <c r="A807" s="8" t="str">
        <f t="shared" si="215"/>
        <v>S0806</v>
      </c>
      <c r="B807" s="3">
        <f t="shared" ca="1" si="204"/>
        <v>46017</v>
      </c>
      <c r="C807" s="3" t="str">
        <f ca="1">INDEX(Customers!$A$2:$A$21,RANDBETWEEN(1,20))</f>
        <v>C020</v>
      </c>
      <c r="D807" s="3" t="str">
        <f ca="1">INDEX(Routes!$A$2:$A$31,RANDBETWEEN(1,30))</f>
        <v>R016</v>
      </c>
      <c r="E807" s="3" t="str">
        <f ca="1">INDEX(Vehicles!$A$2:$A$21,RANDBETWEEN(1,20))</f>
        <v>V016</v>
      </c>
      <c r="F807" s="3" t="str">
        <f ca="1">INDEX(Drivers!$A$2:$A$31,RANDBETWEEN(1,30))</f>
        <v>D012</v>
      </c>
      <c r="G807" s="3">
        <f t="shared" ca="1" si="205"/>
        <v>21.5</v>
      </c>
      <c r="H807" s="3">
        <f t="shared" ca="1" si="206"/>
        <v>49554</v>
      </c>
      <c r="I807" s="3">
        <f t="shared" ca="1" si="207"/>
        <v>13875</v>
      </c>
      <c r="J807" s="3">
        <f t="shared" ca="1" si="208"/>
        <v>2180</v>
      </c>
      <c r="K807" s="3">
        <f t="shared" ca="1" si="209"/>
        <v>25</v>
      </c>
      <c r="L807" s="3">
        <f t="shared" ca="1" si="210"/>
        <v>29</v>
      </c>
      <c r="M807" s="3">
        <f t="shared" ca="1" si="211"/>
        <v>4</v>
      </c>
      <c r="N807" s="3" t="str">
        <f t="shared" ca="1" si="212"/>
        <v>Delayed</v>
      </c>
      <c r="O807" s="3" t="str">
        <f t="shared" ca="1" si="213"/>
        <v>High</v>
      </c>
      <c r="P807" s="3">
        <f t="shared" ca="1" si="214"/>
        <v>71.7</v>
      </c>
      <c r="Q807" s="1" t="str">
        <f ca="1">VLOOKUP(D807,Routes!$A$2:$D$31,2,FALSE)</f>
        <v>Kolkata</v>
      </c>
      <c r="R807" s="1" t="str">
        <f ca="1">VLOOKUP(D807,Routes!$A$2:$D$31,3,FALSE)</f>
        <v>Bhubaneswar</v>
      </c>
      <c r="S807" s="3">
        <f ca="1">VLOOKUP(D807,Routes!$A$2:$D$31,4,FALSE)</f>
        <v>440</v>
      </c>
      <c r="T807" s="3" t="str">
        <f ca="1">VLOOKUP(E807,Vehicles!$A$2:$D$21,2,FALSE)</f>
        <v>Container</v>
      </c>
      <c r="U807" s="3">
        <f ca="1">VLOOKUP(E807,Vehicles!$A$2:$D$21,3,FALSE)</f>
        <v>22</v>
      </c>
      <c r="V807" s="3" t="str">
        <f ca="1">VLOOKUP(E807,Vehicles!$A$2:$D$21,4,FALSE)</f>
        <v>Diesel</v>
      </c>
      <c r="W807" s="3">
        <f ca="1">VLOOKUP(V807,Fuel_Rates!$A$2:$B$3,2,FALSE)</f>
        <v>95</v>
      </c>
      <c r="X807" s="3">
        <f t="shared" ca="1" si="216"/>
        <v>112.62</v>
      </c>
      <c r="Y807" s="3">
        <f t="shared" ca="1" si="217"/>
        <v>65609</v>
      </c>
      <c r="Z807" s="3" t="str">
        <f t="shared" ca="1" si="218"/>
        <v>Dec</v>
      </c>
      <c r="AA807" s="3" t="str">
        <f t="shared" ca="1" si="219"/>
        <v>Q4</v>
      </c>
      <c r="AB807" s="4" t="str">
        <f t="shared" ca="1" si="220"/>
        <v>Medium Haul</v>
      </c>
    </row>
    <row r="808" spans="1:28" x14ac:dyDescent="0.3">
      <c r="A808" s="8" t="str">
        <f t="shared" si="215"/>
        <v>S0807</v>
      </c>
      <c r="B808" s="3">
        <f t="shared" ca="1" si="204"/>
        <v>45748</v>
      </c>
      <c r="C808" s="3" t="str">
        <f ca="1">INDEX(Customers!$A$2:$A$21,RANDBETWEEN(1,20))</f>
        <v>C012</v>
      </c>
      <c r="D808" s="3" t="str">
        <f ca="1">INDEX(Routes!$A$2:$A$31,RANDBETWEEN(1,30))</f>
        <v>R013</v>
      </c>
      <c r="E808" s="3" t="str">
        <f ca="1">INDEX(Vehicles!$A$2:$A$21,RANDBETWEEN(1,20))</f>
        <v>V005</v>
      </c>
      <c r="F808" s="3" t="str">
        <f ca="1">INDEX(Drivers!$A$2:$A$31,RANDBETWEEN(1,30))</f>
        <v>D004</v>
      </c>
      <c r="G808" s="3">
        <f t="shared" ca="1" si="205"/>
        <v>7.8</v>
      </c>
      <c r="H808" s="3">
        <f t="shared" ca="1" si="206"/>
        <v>22191</v>
      </c>
      <c r="I808" s="3">
        <f t="shared" ca="1" si="207"/>
        <v>6213</v>
      </c>
      <c r="J808" s="3">
        <f t="shared" ca="1" si="208"/>
        <v>640</v>
      </c>
      <c r="K808" s="3">
        <f t="shared" ca="1" si="209"/>
        <v>15</v>
      </c>
      <c r="L808" s="3">
        <f t="shared" ca="1" si="210"/>
        <v>22</v>
      </c>
      <c r="M808" s="3">
        <f t="shared" ca="1" si="211"/>
        <v>7</v>
      </c>
      <c r="N808" s="3" t="str">
        <f t="shared" ca="1" si="212"/>
        <v>Delayed</v>
      </c>
      <c r="O808" s="3" t="str">
        <f t="shared" ca="1" si="213"/>
        <v>High</v>
      </c>
      <c r="P808" s="3">
        <f t="shared" ca="1" si="214"/>
        <v>26</v>
      </c>
      <c r="Q808" s="1" t="str">
        <f ca="1">VLOOKUP(D808,Routes!$A$2:$D$31,2,FALSE)</f>
        <v>Chennai</v>
      </c>
      <c r="R808" s="1" t="str">
        <f ca="1">VLOOKUP(D808,Routes!$A$2:$D$31,3,FALSE)</f>
        <v>Hyderabad</v>
      </c>
      <c r="S808" s="3">
        <f ca="1">VLOOKUP(D808,Routes!$A$2:$D$31,4,FALSE)</f>
        <v>630</v>
      </c>
      <c r="T808" s="3" t="str">
        <f ca="1">VLOOKUP(E808,Vehicles!$A$2:$D$21,2,FALSE)</f>
        <v>Trailer</v>
      </c>
      <c r="U808" s="3">
        <f ca="1">VLOOKUP(E808,Vehicles!$A$2:$D$21,3,FALSE)</f>
        <v>32</v>
      </c>
      <c r="V808" s="3" t="str">
        <f ca="1">VLOOKUP(E808,Vehicles!$A$2:$D$21,4,FALSE)</f>
        <v>Diesel</v>
      </c>
      <c r="W808" s="3">
        <f ca="1">VLOOKUP(V808,Fuel_Rates!$A$2:$B$3,2,FALSE)</f>
        <v>95</v>
      </c>
      <c r="X808" s="3">
        <f t="shared" ca="1" si="216"/>
        <v>35.22</v>
      </c>
      <c r="Y808" s="3">
        <f t="shared" ca="1" si="217"/>
        <v>29044</v>
      </c>
      <c r="Z808" s="3" t="str">
        <f t="shared" ca="1" si="218"/>
        <v>Apr</v>
      </c>
      <c r="AA808" s="3" t="str">
        <f t="shared" ca="1" si="219"/>
        <v>Q2</v>
      </c>
      <c r="AB808" s="4" t="str">
        <f t="shared" ca="1" si="220"/>
        <v>Medium Haul</v>
      </c>
    </row>
    <row r="809" spans="1:28" x14ac:dyDescent="0.3">
      <c r="A809" s="8" t="str">
        <f t="shared" si="215"/>
        <v>S0808</v>
      </c>
      <c r="B809" s="3">
        <f t="shared" ca="1" si="204"/>
        <v>45824</v>
      </c>
      <c r="C809" s="3" t="str">
        <f ca="1">INDEX(Customers!$A$2:$A$21,RANDBETWEEN(1,20))</f>
        <v>C001</v>
      </c>
      <c r="D809" s="3" t="str">
        <f ca="1">INDEX(Routes!$A$2:$A$31,RANDBETWEEN(1,30))</f>
        <v>R017</v>
      </c>
      <c r="E809" s="3" t="str">
        <f ca="1">INDEX(Vehicles!$A$2:$A$21,RANDBETWEEN(1,20))</f>
        <v>V006</v>
      </c>
      <c r="F809" s="3" t="str">
        <f ca="1">INDEX(Drivers!$A$2:$A$31,RANDBETWEEN(1,30))</f>
        <v>D005</v>
      </c>
      <c r="G809" s="3">
        <f t="shared" ca="1" si="205"/>
        <v>27</v>
      </c>
      <c r="H809" s="3">
        <f t="shared" ca="1" si="206"/>
        <v>61514</v>
      </c>
      <c r="I809" s="3">
        <f t="shared" ca="1" si="207"/>
        <v>17224</v>
      </c>
      <c r="J809" s="3">
        <f t="shared" ca="1" si="208"/>
        <v>2937</v>
      </c>
      <c r="K809" s="3">
        <f t="shared" ca="1" si="209"/>
        <v>47</v>
      </c>
      <c r="L809" s="3">
        <f t="shared" ca="1" si="210"/>
        <v>48</v>
      </c>
      <c r="M809" s="3">
        <f t="shared" ca="1" si="211"/>
        <v>1</v>
      </c>
      <c r="N809" s="3" t="str">
        <f t="shared" ca="1" si="212"/>
        <v>On Time</v>
      </c>
      <c r="O809" s="3" t="str">
        <f t="shared" ca="1" si="213"/>
        <v>Low</v>
      </c>
      <c r="P809" s="3">
        <f t="shared" ca="1" si="214"/>
        <v>90</v>
      </c>
      <c r="Q809" s="1" t="str">
        <f ca="1">VLOOKUP(D809,Routes!$A$2:$D$31,2,FALSE)</f>
        <v>Kolkata</v>
      </c>
      <c r="R809" s="1" t="str">
        <f ca="1">VLOOKUP(D809,Routes!$A$2:$D$31,3,FALSE)</f>
        <v>Patna</v>
      </c>
      <c r="S809" s="3">
        <f ca="1">VLOOKUP(D809,Routes!$A$2:$D$31,4,FALSE)</f>
        <v>620</v>
      </c>
      <c r="T809" s="3" t="str">
        <f ca="1">VLOOKUP(E809,Vehicles!$A$2:$D$21,2,FALSE)</f>
        <v>Container</v>
      </c>
      <c r="U809" s="3">
        <f ca="1">VLOOKUP(E809,Vehicles!$A$2:$D$21,3,FALSE)</f>
        <v>18</v>
      </c>
      <c r="V809" s="3" t="str">
        <f ca="1">VLOOKUP(E809,Vehicles!$A$2:$D$21,4,FALSE)</f>
        <v>Diesel</v>
      </c>
      <c r="W809" s="3">
        <f ca="1">VLOOKUP(V809,Fuel_Rates!$A$2:$B$3,2,FALSE)</f>
        <v>95</v>
      </c>
      <c r="X809" s="3">
        <f t="shared" ca="1" si="216"/>
        <v>99.22</v>
      </c>
      <c r="Y809" s="3">
        <f t="shared" ca="1" si="217"/>
        <v>81675</v>
      </c>
      <c r="Z809" s="3" t="str">
        <f t="shared" ca="1" si="218"/>
        <v>Jun</v>
      </c>
      <c r="AA809" s="3" t="str">
        <f t="shared" ca="1" si="219"/>
        <v>Q2</v>
      </c>
      <c r="AB809" s="4" t="str">
        <f t="shared" ca="1" si="220"/>
        <v>Medium Haul</v>
      </c>
    </row>
    <row r="810" spans="1:28" x14ac:dyDescent="0.3">
      <c r="A810" s="8" t="str">
        <f t="shared" si="215"/>
        <v>S0809</v>
      </c>
      <c r="B810" s="3">
        <f t="shared" ca="1" si="204"/>
        <v>46002</v>
      </c>
      <c r="C810" s="3" t="str">
        <f ca="1">INDEX(Customers!$A$2:$A$21,RANDBETWEEN(1,20))</f>
        <v>C003</v>
      </c>
      <c r="D810" s="3" t="str">
        <f ca="1">INDEX(Routes!$A$2:$A$31,RANDBETWEEN(1,30))</f>
        <v>R018</v>
      </c>
      <c r="E810" s="3" t="str">
        <f ca="1">INDEX(Vehicles!$A$2:$A$21,RANDBETWEEN(1,20))</f>
        <v>V007</v>
      </c>
      <c r="F810" s="3" t="str">
        <f ca="1">INDEX(Drivers!$A$2:$A$31,RANDBETWEEN(1,30))</f>
        <v>D027</v>
      </c>
      <c r="G810" s="3">
        <f t="shared" ca="1" si="205"/>
        <v>28</v>
      </c>
      <c r="H810" s="3">
        <f t="shared" ca="1" si="206"/>
        <v>59545</v>
      </c>
      <c r="I810" s="3">
        <f t="shared" ca="1" si="207"/>
        <v>16673</v>
      </c>
      <c r="J810" s="3">
        <f t="shared" ca="1" si="208"/>
        <v>3491</v>
      </c>
      <c r="K810" s="3">
        <f t="shared" ca="1" si="209"/>
        <v>27</v>
      </c>
      <c r="L810" s="3">
        <f t="shared" ca="1" si="210"/>
        <v>33</v>
      </c>
      <c r="M810" s="3">
        <f t="shared" ca="1" si="211"/>
        <v>6</v>
      </c>
      <c r="N810" s="3" t="str">
        <f t="shared" ca="1" si="212"/>
        <v>Delayed</v>
      </c>
      <c r="O810" s="3" t="str">
        <f t="shared" ca="1" si="213"/>
        <v>Medium</v>
      </c>
      <c r="P810" s="3">
        <f t="shared" ca="1" si="214"/>
        <v>93.3</v>
      </c>
      <c r="Q810" s="1" t="str">
        <f ca="1">VLOOKUP(D810,Routes!$A$2:$D$31,2,FALSE)</f>
        <v>Ahmedabad</v>
      </c>
      <c r="R810" s="1" t="str">
        <f ca="1">VLOOKUP(D810,Routes!$A$2:$D$31,3,FALSE)</f>
        <v>Jaipur</v>
      </c>
      <c r="S810" s="3">
        <f ca="1">VLOOKUP(D810,Routes!$A$2:$D$31,4,FALSE)</f>
        <v>670</v>
      </c>
      <c r="T810" s="3" t="str">
        <f ca="1">VLOOKUP(E810,Vehicles!$A$2:$D$21,2,FALSE)</f>
        <v>Container</v>
      </c>
      <c r="U810" s="3">
        <f ca="1">VLOOKUP(E810,Vehicles!$A$2:$D$21,3,FALSE)</f>
        <v>20</v>
      </c>
      <c r="V810" s="3" t="str">
        <f ca="1">VLOOKUP(E810,Vehicles!$A$2:$D$21,4,FALSE)</f>
        <v>Diesel</v>
      </c>
      <c r="W810" s="3">
        <f ca="1">VLOOKUP(V810,Fuel_Rates!$A$2:$B$3,2,FALSE)</f>
        <v>95</v>
      </c>
      <c r="X810" s="3">
        <f t="shared" ca="1" si="216"/>
        <v>88.87</v>
      </c>
      <c r="Y810" s="3">
        <f t="shared" ca="1" si="217"/>
        <v>79709</v>
      </c>
      <c r="Z810" s="3" t="str">
        <f t="shared" ca="1" si="218"/>
        <v>Dec</v>
      </c>
      <c r="AA810" s="3" t="str">
        <f t="shared" ca="1" si="219"/>
        <v>Q4</v>
      </c>
      <c r="AB810" s="4" t="str">
        <f t="shared" ca="1" si="220"/>
        <v>Medium Haul</v>
      </c>
    </row>
    <row r="811" spans="1:28" x14ac:dyDescent="0.3">
      <c r="A811" s="8" t="str">
        <f t="shared" si="215"/>
        <v>S0810</v>
      </c>
      <c r="B811" s="3">
        <f t="shared" ca="1" si="204"/>
        <v>45893</v>
      </c>
      <c r="C811" s="3" t="str">
        <f ca="1">INDEX(Customers!$A$2:$A$21,RANDBETWEEN(1,20))</f>
        <v>C010</v>
      </c>
      <c r="D811" s="3" t="str">
        <f ca="1">INDEX(Routes!$A$2:$A$31,RANDBETWEEN(1,30))</f>
        <v>R028</v>
      </c>
      <c r="E811" s="3" t="str">
        <f ca="1">INDEX(Vehicles!$A$2:$A$21,RANDBETWEEN(1,20))</f>
        <v>V017</v>
      </c>
      <c r="F811" s="3" t="str">
        <f ca="1">INDEX(Drivers!$A$2:$A$31,RANDBETWEEN(1,30))</f>
        <v>D024</v>
      </c>
      <c r="G811" s="3">
        <f t="shared" ca="1" si="205"/>
        <v>16.899999999999999</v>
      </c>
      <c r="H811" s="3">
        <f t="shared" ca="1" si="206"/>
        <v>39294</v>
      </c>
      <c r="I811" s="3">
        <f t="shared" ca="1" si="207"/>
        <v>11002</v>
      </c>
      <c r="J811" s="3">
        <f t="shared" ca="1" si="208"/>
        <v>1134</v>
      </c>
      <c r="K811" s="3">
        <f t="shared" ca="1" si="209"/>
        <v>37</v>
      </c>
      <c r="L811" s="3">
        <f t="shared" ca="1" si="210"/>
        <v>42</v>
      </c>
      <c r="M811" s="3">
        <f t="shared" ca="1" si="211"/>
        <v>5</v>
      </c>
      <c r="N811" s="3" t="str">
        <f t="shared" ca="1" si="212"/>
        <v>Delayed</v>
      </c>
      <c r="O811" s="3" t="str">
        <f t="shared" ca="1" si="213"/>
        <v>Medium</v>
      </c>
      <c r="P811" s="3">
        <f t="shared" ca="1" si="214"/>
        <v>56.3</v>
      </c>
      <c r="Q811" s="1" t="str">
        <f ca="1">VLOOKUP(D811,Routes!$A$2:$D$31,2,FALSE)</f>
        <v>Indore</v>
      </c>
      <c r="R811" s="1" t="str">
        <f ca="1">VLOOKUP(D811,Routes!$A$2:$D$31,3,FALSE)</f>
        <v>Mumbai</v>
      </c>
      <c r="S811" s="3">
        <f ca="1">VLOOKUP(D811,Routes!$A$2:$D$31,4,FALSE)</f>
        <v>590</v>
      </c>
      <c r="T811" s="3" t="str">
        <f ca="1">VLOOKUP(E811,Vehicles!$A$2:$D$21,2,FALSE)</f>
        <v>Truck</v>
      </c>
      <c r="U811" s="3">
        <f ca="1">VLOOKUP(E811,Vehicles!$A$2:$D$21,3,FALSE)</f>
        <v>24</v>
      </c>
      <c r="V811" s="3" t="str">
        <f ca="1">VLOOKUP(E811,Vehicles!$A$2:$D$21,4,FALSE)</f>
        <v>Diesel</v>
      </c>
      <c r="W811" s="3">
        <f ca="1">VLOOKUP(V811,Fuel_Rates!$A$2:$B$3,2,FALSE)</f>
        <v>95</v>
      </c>
      <c r="X811" s="3">
        <f t="shared" ca="1" si="216"/>
        <v>66.599999999999994</v>
      </c>
      <c r="Y811" s="3">
        <f t="shared" ca="1" si="217"/>
        <v>51430</v>
      </c>
      <c r="Z811" s="3" t="str">
        <f t="shared" ca="1" si="218"/>
        <v>Aug</v>
      </c>
      <c r="AA811" s="3" t="str">
        <f t="shared" ca="1" si="219"/>
        <v>Q3</v>
      </c>
      <c r="AB811" s="4" t="str">
        <f t="shared" ca="1" si="220"/>
        <v>Medium Haul</v>
      </c>
    </row>
    <row r="812" spans="1:28" x14ac:dyDescent="0.3">
      <c r="A812" s="8" t="str">
        <f t="shared" si="215"/>
        <v>S0811</v>
      </c>
      <c r="B812" s="3">
        <f t="shared" ca="1" si="204"/>
        <v>45816</v>
      </c>
      <c r="C812" s="3" t="str">
        <f ca="1">INDEX(Customers!$A$2:$A$21,RANDBETWEEN(1,20))</f>
        <v>C013</v>
      </c>
      <c r="D812" s="3" t="str">
        <f ca="1">INDEX(Routes!$A$2:$A$31,RANDBETWEEN(1,30))</f>
        <v>R024</v>
      </c>
      <c r="E812" s="3" t="str">
        <f ca="1">INDEX(Vehicles!$A$2:$A$21,RANDBETWEEN(1,20))</f>
        <v>V006</v>
      </c>
      <c r="F812" s="3" t="str">
        <f ca="1">INDEX(Drivers!$A$2:$A$31,RANDBETWEEN(1,30))</f>
        <v>D026</v>
      </c>
      <c r="G812" s="3">
        <f t="shared" ca="1" si="205"/>
        <v>18.2</v>
      </c>
      <c r="H812" s="3">
        <f t="shared" ca="1" si="206"/>
        <v>46783</v>
      </c>
      <c r="I812" s="3">
        <f t="shared" ca="1" si="207"/>
        <v>13099</v>
      </c>
      <c r="J812" s="3">
        <f t="shared" ca="1" si="208"/>
        <v>1418</v>
      </c>
      <c r="K812" s="3">
        <f t="shared" ca="1" si="209"/>
        <v>7</v>
      </c>
      <c r="L812" s="3">
        <f t="shared" ca="1" si="210"/>
        <v>7</v>
      </c>
      <c r="M812" s="3">
        <f t="shared" ca="1" si="211"/>
        <v>0</v>
      </c>
      <c r="N812" s="3" t="str">
        <f t="shared" ca="1" si="212"/>
        <v>On Time</v>
      </c>
      <c r="O812" s="3" t="str">
        <f t="shared" ca="1" si="213"/>
        <v>Low</v>
      </c>
      <c r="P812" s="3">
        <f t="shared" ca="1" si="214"/>
        <v>60.7</v>
      </c>
      <c r="Q812" s="1" t="str">
        <f ca="1">VLOOKUP(D812,Routes!$A$2:$D$31,2,FALSE)</f>
        <v>Surat</v>
      </c>
      <c r="R812" s="1" t="str">
        <f ca="1">VLOOKUP(D812,Routes!$A$2:$D$31,3,FALSE)</f>
        <v>Mumbai</v>
      </c>
      <c r="S812" s="3">
        <f ca="1">VLOOKUP(D812,Routes!$A$2:$D$31,4,FALSE)</f>
        <v>280</v>
      </c>
      <c r="T812" s="3" t="str">
        <f ca="1">VLOOKUP(E812,Vehicles!$A$2:$D$21,2,FALSE)</f>
        <v>Container</v>
      </c>
      <c r="U812" s="3">
        <f ca="1">VLOOKUP(E812,Vehicles!$A$2:$D$21,3,FALSE)</f>
        <v>18</v>
      </c>
      <c r="V812" s="3" t="str">
        <f ca="1">VLOOKUP(E812,Vehicles!$A$2:$D$21,4,FALSE)</f>
        <v>Diesel</v>
      </c>
      <c r="W812" s="3">
        <f ca="1">VLOOKUP(V812,Fuel_Rates!$A$2:$B$3,2,FALSE)</f>
        <v>95</v>
      </c>
      <c r="X812" s="3">
        <f t="shared" ca="1" si="216"/>
        <v>167.08</v>
      </c>
      <c r="Y812" s="3">
        <f t="shared" ca="1" si="217"/>
        <v>61300</v>
      </c>
      <c r="Z812" s="3" t="str">
        <f t="shared" ca="1" si="218"/>
        <v>Jun</v>
      </c>
      <c r="AA812" s="3" t="str">
        <f t="shared" ca="1" si="219"/>
        <v>Q2</v>
      </c>
      <c r="AB812" s="4" t="str">
        <f t="shared" ca="1" si="220"/>
        <v>Short Haul</v>
      </c>
    </row>
    <row r="813" spans="1:28" x14ac:dyDescent="0.3">
      <c r="A813" s="8" t="str">
        <f t="shared" si="215"/>
        <v>S0812</v>
      </c>
      <c r="B813" s="3">
        <f t="shared" ca="1" si="204"/>
        <v>45847</v>
      </c>
      <c r="C813" s="3" t="str">
        <f ca="1">INDEX(Customers!$A$2:$A$21,RANDBETWEEN(1,20))</f>
        <v>C012</v>
      </c>
      <c r="D813" s="3" t="str">
        <f ca="1">INDEX(Routes!$A$2:$A$31,RANDBETWEEN(1,30))</f>
        <v>R023</v>
      </c>
      <c r="E813" s="3" t="str">
        <f ca="1">INDEX(Vehicles!$A$2:$A$21,RANDBETWEEN(1,20))</f>
        <v>V009</v>
      </c>
      <c r="F813" s="3" t="str">
        <f ca="1">INDEX(Drivers!$A$2:$A$31,RANDBETWEEN(1,30))</f>
        <v>D008</v>
      </c>
      <c r="G813" s="3">
        <f t="shared" ca="1" si="205"/>
        <v>9.1</v>
      </c>
      <c r="H813" s="3">
        <f t="shared" ca="1" si="206"/>
        <v>28279</v>
      </c>
      <c r="I813" s="3">
        <f t="shared" ca="1" si="207"/>
        <v>7918</v>
      </c>
      <c r="J813" s="3">
        <f t="shared" ca="1" si="208"/>
        <v>610</v>
      </c>
      <c r="K813" s="3">
        <f t="shared" ca="1" si="209"/>
        <v>12</v>
      </c>
      <c r="L813" s="3">
        <f t="shared" ca="1" si="210"/>
        <v>17</v>
      </c>
      <c r="M813" s="3">
        <f t="shared" ca="1" si="211"/>
        <v>5</v>
      </c>
      <c r="N813" s="3" t="str">
        <f t="shared" ca="1" si="212"/>
        <v>Delayed</v>
      </c>
      <c r="O813" s="3" t="str">
        <f t="shared" ca="1" si="213"/>
        <v>Low</v>
      </c>
      <c r="P813" s="3">
        <f t="shared" ca="1" si="214"/>
        <v>30.3</v>
      </c>
      <c r="Q813" s="1" t="str">
        <f ca="1">VLOOKUP(D813,Routes!$A$2:$D$31,2,FALSE)</f>
        <v>Kochi</v>
      </c>
      <c r="R813" s="1" t="str">
        <f ca="1">VLOOKUP(D813,Routes!$A$2:$D$31,3,FALSE)</f>
        <v>Bengaluru</v>
      </c>
      <c r="S813" s="3">
        <f ca="1">VLOOKUP(D813,Routes!$A$2:$D$31,4,FALSE)</f>
        <v>550</v>
      </c>
      <c r="T813" s="3" t="str">
        <f ca="1">VLOOKUP(E813,Vehicles!$A$2:$D$21,2,FALSE)</f>
        <v>LCV</v>
      </c>
      <c r="U813" s="3">
        <f ca="1">VLOOKUP(E813,Vehicles!$A$2:$D$21,3,FALSE)</f>
        <v>5</v>
      </c>
      <c r="V813" s="3" t="str">
        <f ca="1">VLOOKUP(E813,Vehicles!$A$2:$D$21,4,FALSE)</f>
        <v>Diesel</v>
      </c>
      <c r="W813" s="3">
        <f ca="1">VLOOKUP(V813,Fuel_Rates!$A$2:$B$3,2,FALSE)</f>
        <v>95</v>
      </c>
      <c r="X813" s="3">
        <f t="shared" ca="1" si="216"/>
        <v>51.42</v>
      </c>
      <c r="Y813" s="3">
        <f t="shared" ca="1" si="217"/>
        <v>36807</v>
      </c>
      <c r="Z813" s="3" t="str">
        <f t="shared" ca="1" si="218"/>
        <v>Jul</v>
      </c>
      <c r="AA813" s="3" t="str">
        <f t="shared" ca="1" si="219"/>
        <v>Q3</v>
      </c>
      <c r="AB813" s="4" t="str">
        <f t="shared" ca="1" si="220"/>
        <v>Medium Haul</v>
      </c>
    </row>
    <row r="814" spans="1:28" x14ac:dyDescent="0.3">
      <c r="A814" s="8" t="str">
        <f t="shared" si="215"/>
        <v>S0813</v>
      </c>
      <c r="B814" s="3">
        <f t="shared" ca="1" si="204"/>
        <v>45663</v>
      </c>
      <c r="C814" s="3" t="str">
        <f ca="1">INDEX(Customers!$A$2:$A$21,RANDBETWEEN(1,20))</f>
        <v>C013</v>
      </c>
      <c r="D814" s="3" t="str">
        <f ca="1">INDEX(Routes!$A$2:$A$31,RANDBETWEEN(1,30))</f>
        <v>R018</v>
      </c>
      <c r="E814" s="3" t="str">
        <f ca="1">INDEX(Vehicles!$A$2:$A$21,RANDBETWEEN(1,20))</f>
        <v>V003</v>
      </c>
      <c r="F814" s="3" t="str">
        <f ca="1">INDEX(Drivers!$A$2:$A$31,RANDBETWEEN(1,30))</f>
        <v>D019</v>
      </c>
      <c r="G814" s="3">
        <f t="shared" ca="1" si="205"/>
        <v>16.2</v>
      </c>
      <c r="H814" s="3">
        <f t="shared" ca="1" si="206"/>
        <v>41005</v>
      </c>
      <c r="I814" s="3">
        <f t="shared" ca="1" si="207"/>
        <v>11481</v>
      </c>
      <c r="J814" s="3">
        <f t="shared" ca="1" si="208"/>
        <v>3582</v>
      </c>
      <c r="K814" s="3">
        <f t="shared" ca="1" si="209"/>
        <v>21</v>
      </c>
      <c r="L814" s="3">
        <f t="shared" ca="1" si="210"/>
        <v>24</v>
      </c>
      <c r="M814" s="3">
        <f t="shared" ca="1" si="211"/>
        <v>3</v>
      </c>
      <c r="N814" s="3" t="str">
        <f t="shared" ca="1" si="212"/>
        <v>Delayed</v>
      </c>
      <c r="O814" s="3" t="str">
        <f t="shared" ca="1" si="213"/>
        <v>Medium</v>
      </c>
      <c r="P814" s="3">
        <f t="shared" ca="1" si="214"/>
        <v>54</v>
      </c>
      <c r="Q814" s="1" t="str">
        <f ca="1">VLOOKUP(D814,Routes!$A$2:$D$31,2,FALSE)</f>
        <v>Ahmedabad</v>
      </c>
      <c r="R814" s="1" t="str">
        <f ca="1">VLOOKUP(D814,Routes!$A$2:$D$31,3,FALSE)</f>
        <v>Jaipur</v>
      </c>
      <c r="S814" s="3">
        <f ca="1">VLOOKUP(D814,Routes!$A$2:$D$31,4,FALSE)</f>
        <v>670</v>
      </c>
      <c r="T814" s="3" t="str">
        <f ca="1">VLOOKUP(E814,Vehicles!$A$2:$D$21,2,FALSE)</f>
        <v>Truck</v>
      </c>
      <c r="U814" s="3">
        <f ca="1">VLOOKUP(E814,Vehicles!$A$2:$D$21,3,FALSE)</f>
        <v>25</v>
      </c>
      <c r="V814" s="3" t="str">
        <f ca="1">VLOOKUP(E814,Vehicles!$A$2:$D$21,4,FALSE)</f>
        <v>Diesel</v>
      </c>
      <c r="W814" s="3">
        <f ca="1">VLOOKUP(V814,Fuel_Rates!$A$2:$B$3,2,FALSE)</f>
        <v>95</v>
      </c>
      <c r="X814" s="3">
        <f t="shared" ca="1" si="216"/>
        <v>61.2</v>
      </c>
      <c r="Y814" s="3">
        <f t="shared" ca="1" si="217"/>
        <v>56068</v>
      </c>
      <c r="Z814" s="3" t="str">
        <f t="shared" ca="1" si="218"/>
        <v>Jan</v>
      </c>
      <c r="AA814" s="3" t="str">
        <f t="shared" ca="1" si="219"/>
        <v>Q1</v>
      </c>
      <c r="AB814" s="4" t="str">
        <f t="shared" ca="1" si="220"/>
        <v>Medium Haul</v>
      </c>
    </row>
    <row r="815" spans="1:28" x14ac:dyDescent="0.3">
      <c r="A815" s="8" t="str">
        <f t="shared" si="215"/>
        <v>S0814</v>
      </c>
      <c r="B815" s="3">
        <f t="shared" ca="1" si="204"/>
        <v>45908</v>
      </c>
      <c r="C815" s="3" t="str">
        <f ca="1">INDEX(Customers!$A$2:$A$21,RANDBETWEEN(1,20))</f>
        <v>C009</v>
      </c>
      <c r="D815" s="3" t="str">
        <f ca="1">INDEX(Routes!$A$2:$A$31,RANDBETWEEN(1,30))</f>
        <v>R001</v>
      </c>
      <c r="E815" s="3" t="str">
        <f ca="1">INDEX(Vehicles!$A$2:$A$21,RANDBETWEEN(1,20))</f>
        <v>V001</v>
      </c>
      <c r="F815" s="3" t="str">
        <f ca="1">INDEX(Drivers!$A$2:$A$31,RANDBETWEEN(1,30))</f>
        <v>D001</v>
      </c>
      <c r="G815" s="3">
        <f t="shared" ca="1" si="205"/>
        <v>9.6</v>
      </c>
      <c r="H815" s="3">
        <f t="shared" ca="1" si="206"/>
        <v>20486</v>
      </c>
      <c r="I815" s="3">
        <f t="shared" ca="1" si="207"/>
        <v>5736</v>
      </c>
      <c r="J815" s="3">
        <f t="shared" ca="1" si="208"/>
        <v>2811</v>
      </c>
      <c r="K815" s="3">
        <f t="shared" ca="1" si="209"/>
        <v>6</v>
      </c>
      <c r="L815" s="3">
        <f t="shared" ca="1" si="210"/>
        <v>12</v>
      </c>
      <c r="M815" s="3">
        <f t="shared" ca="1" si="211"/>
        <v>6</v>
      </c>
      <c r="N815" s="3" t="str">
        <f t="shared" ca="1" si="212"/>
        <v>Delayed</v>
      </c>
      <c r="O815" s="3" t="str">
        <f t="shared" ca="1" si="213"/>
        <v>High</v>
      </c>
      <c r="P815" s="3">
        <f t="shared" ca="1" si="214"/>
        <v>32</v>
      </c>
      <c r="Q815" s="1" t="str">
        <f ca="1">VLOOKUP(D815,Routes!$A$2:$D$31,2,FALSE)</f>
        <v>Mumbai</v>
      </c>
      <c r="R815" s="1" t="str">
        <f ca="1">VLOOKUP(D815,Routes!$A$2:$D$31,3,FALSE)</f>
        <v>Pune</v>
      </c>
      <c r="S815" s="3">
        <f ca="1">VLOOKUP(D815,Routes!$A$2:$D$31,4,FALSE)</f>
        <v>150</v>
      </c>
      <c r="T815" s="3" t="str">
        <f ca="1">VLOOKUP(E815,Vehicles!$A$2:$D$21,2,FALSE)</f>
        <v>Truck</v>
      </c>
      <c r="U815" s="3">
        <f ca="1">VLOOKUP(E815,Vehicles!$A$2:$D$21,3,FALSE)</f>
        <v>16</v>
      </c>
      <c r="V815" s="3" t="str">
        <f ca="1">VLOOKUP(E815,Vehicles!$A$2:$D$21,4,FALSE)</f>
        <v>Diesel</v>
      </c>
      <c r="W815" s="3">
        <f ca="1">VLOOKUP(V815,Fuel_Rates!$A$2:$B$3,2,FALSE)</f>
        <v>95</v>
      </c>
      <c r="X815" s="3">
        <f t="shared" ca="1" si="216"/>
        <v>136.57</v>
      </c>
      <c r="Y815" s="3">
        <f t="shared" ca="1" si="217"/>
        <v>29033</v>
      </c>
      <c r="Z815" s="3" t="str">
        <f t="shared" ca="1" si="218"/>
        <v>Sep</v>
      </c>
      <c r="AA815" s="3" t="str">
        <f t="shared" ca="1" si="219"/>
        <v>Q3</v>
      </c>
      <c r="AB815" s="4" t="str">
        <f t="shared" ca="1" si="220"/>
        <v>Short Haul</v>
      </c>
    </row>
    <row r="816" spans="1:28" x14ac:dyDescent="0.3">
      <c r="A816" s="8" t="str">
        <f t="shared" si="215"/>
        <v>S0815</v>
      </c>
      <c r="B816" s="3">
        <f t="shared" ca="1" si="204"/>
        <v>45973</v>
      </c>
      <c r="C816" s="3" t="str">
        <f ca="1">INDEX(Customers!$A$2:$A$21,RANDBETWEEN(1,20))</f>
        <v>C009</v>
      </c>
      <c r="D816" s="3" t="str">
        <f ca="1">INDEX(Routes!$A$2:$A$31,RANDBETWEEN(1,30))</f>
        <v>R006</v>
      </c>
      <c r="E816" s="3" t="str">
        <f ca="1">INDEX(Vehicles!$A$2:$A$21,RANDBETWEEN(1,20))</f>
        <v>V008</v>
      </c>
      <c r="F816" s="3" t="str">
        <f ca="1">INDEX(Drivers!$A$2:$A$31,RANDBETWEEN(1,30))</f>
        <v>D004</v>
      </c>
      <c r="G816" s="3">
        <f t="shared" ca="1" si="205"/>
        <v>4.2</v>
      </c>
      <c r="H816" s="3">
        <f t="shared" ca="1" si="206"/>
        <v>15569</v>
      </c>
      <c r="I816" s="3">
        <f t="shared" ca="1" si="207"/>
        <v>4359</v>
      </c>
      <c r="J816" s="3">
        <f t="shared" ca="1" si="208"/>
        <v>1149</v>
      </c>
      <c r="K816" s="3">
        <f t="shared" ca="1" si="209"/>
        <v>19</v>
      </c>
      <c r="L816" s="3">
        <f t="shared" ca="1" si="210"/>
        <v>19</v>
      </c>
      <c r="M816" s="3">
        <f t="shared" ca="1" si="211"/>
        <v>0</v>
      </c>
      <c r="N816" s="3" t="str">
        <f t="shared" ca="1" si="212"/>
        <v>On Time</v>
      </c>
      <c r="O816" s="3" t="str">
        <f t="shared" ca="1" si="213"/>
        <v>Low</v>
      </c>
      <c r="P816" s="3">
        <f t="shared" ca="1" si="214"/>
        <v>14</v>
      </c>
      <c r="Q816" s="1" t="str">
        <f ca="1">VLOOKUP(D816,Routes!$A$2:$D$31,2,FALSE)</f>
        <v>Delhi</v>
      </c>
      <c r="R816" s="1" t="str">
        <f ca="1">VLOOKUP(D816,Routes!$A$2:$D$31,3,FALSE)</f>
        <v>Lucknow</v>
      </c>
      <c r="S816" s="3">
        <f ca="1">VLOOKUP(D816,Routes!$A$2:$D$31,4,FALSE)</f>
        <v>550</v>
      </c>
      <c r="T816" s="3" t="str">
        <f ca="1">VLOOKUP(E816,Vehicles!$A$2:$D$21,2,FALSE)</f>
        <v>Container</v>
      </c>
      <c r="U816" s="3">
        <f ca="1">VLOOKUP(E816,Vehicles!$A$2:$D$21,3,FALSE)</f>
        <v>25</v>
      </c>
      <c r="V816" s="3" t="str">
        <f ca="1">VLOOKUP(E816,Vehicles!$A$2:$D$21,4,FALSE)</f>
        <v>Diesel</v>
      </c>
      <c r="W816" s="3">
        <f ca="1">VLOOKUP(V816,Fuel_Rates!$A$2:$B$3,2,FALSE)</f>
        <v>95</v>
      </c>
      <c r="X816" s="3">
        <f t="shared" ca="1" si="216"/>
        <v>28.31</v>
      </c>
      <c r="Y816" s="3">
        <f t="shared" ca="1" si="217"/>
        <v>21077</v>
      </c>
      <c r="Z816" s="3" t="str">
        <f t="shared" ca="1" si="218"/>
        <v>Nov</v>
      </c>
      <c r="AA816" s="3" t="str">
        <f t="shared" ca="1" si="219"/>
        <v>Q4</v>
      </c>
      <c r="AB816" s="4" t="str">
        <f t="shared" ca="1" si="220"/>
        <v>Medium Haul</v>
      </c>
    </row>
    <row r="817" spans="1:28" x14ac:dyDescent="0.3">
      <c r="A817" s="8" t="str">
        <f t="shared" si="215"/>
        <v>S0816</v>
      </c>
      <c r="B817" s="3">
        <f t="shared" ca="1" si="204"/>
        <v>45678</v>
      </c>
      <c r="C817" s="3" t="str">
        <f ca="1">INDEX(Customers!$A$2:$A$21,RANDBETWEEN(1,20))</f>
        <v>C019</v>
      </c>
      <c r="D817" s="3" t="str">
        <f ca="1">INDEX(Routes!$A$2:$A$31,RANDBETWEEN(1,30))</f>
        <v>R014</v>
      </c>
      <c r="E817" s="3" t="str">
        <f ca="1">INDEX(Vehicles!$A$2:$A$21,RANDBETWEEN(1,20))</f>
        <v>V017</v>
      </c>
      <c r="F817" s="3" t="str">
        <f ca="1">INDEX(Drivers!$A$2:$A$31,RANDBETWEEN(1,30))</f>
        <v>D021</v>
      </c>
      <c r="G817" s="3">
        <f t="shared" ca="1" si="205"/>
        <v>9.6</v>
      </c>
      <c r="H817" s="3">
        <f t="shared" ca="1" si="206"/>
        <v>23407</v>
      </c>
      <c r="I817" s="3">
        <f t="shared" ca="1" si="207"/>
        <v>6554</v>
      </c>
      <c r="J817" s="3">
        <f t="shared" ca="1" si="208"/>
        <v>563</v>
      </c>
      <c r="K817" s="3">
        <f t="shared" ca="1" si="209"/>
        <v>12</v>
      </c>
      <c r="L817" s="3">
        <f t="shared" ca="1" si="210"/>
        <v>15</v>
      </c>
      <c r="M817" s="3">
        <f t="shared" ca="1" si="211"/>
        <v>3</v>
      </c>
      <c r="N817" s="3" t="str">
        <f t="shared" ca="1" si="212"/>
        <v>Delayed</v>
      </c>
      <c r="O817" s="3" t="str">
        <f t="shared" ca="1" si="213"/>
        <v>Medium</v>
      </c>
      <c r="P817" s="3">
        <f t="shared" ca="1" si="214"/>
        <v>32</v>
      </c>
      <c r="Q817" s="1" t="str">
        <f ca="1">VLOOKUP(D817,Routes!$A$2:$D$31,2,FALSE)</f>
        <v>Hyderabad</v>
      </c>
      <c r="R817" s="1" t="str">
        <f ca="1">VLOOKUP(D817,Routes!$A$2:$D$31,3,FALSE)</f>
        <v>Nagpur</v>
      </c>
      <c r="S817" s="3">
        <f ca="1">VLOOKUP(D817,Routes!$A$2:$D$31,4,FALSE)</f>
        <v>500</v>
      </c>
      <c r="T817" s="3" t="str">
        <f ca="1">VLOOKUP(E817,Vehicles!$A$2:$D$21,2,FALSE)</f>
        <v>Truck</v>
      </c>
      <c r="U817" s="3">
        <f ca="1">VLOOKUP(E817,Vehicles!$A$2:$D$21,3,FALSE)</f>
        <v>24</v>
      </c>
      <c r="V817" s="3" t="str">
        <f ca="1">VLOOKUP(E817,Vehicles!$A$2:$D$21,4,FALSE)</f>
        <v>Diesel</v>
      </c>
      <c r="W817" s="3">
        <f ca="1">VLOOKUP(V817,Fuel_Rates!$A$2:$B$3,2,FALSE)</f>
        <v>95</v>
      </c>
      <c r="X817" s="3">
        <f t="shared" ca="1" si="216"/>
        <v>46.81</v>
      </c>
      <c r="Y817" s="3">
        <f t="shared" ca="1" si="217"/>
        <v>30524</v>
      </c>
      <c r="Z817" s="3" t="str">
        <f t="shared" ca="1" si="218"/>
        <v>Jan</v>
      </c>
      <c r="AA817" s="3" t="str">
        <f t="shared" ca="1" si="219"/>
        <v>Q1</v>
      </c>
      <c r="AB817" s="4" t="str">
        <f t="shared" ca="1" si="220"/>
        <v>Medium Haul</v>
      </c>
    </row>
    <row r="818" spans="1:28" x14ac:dyDescent="0.3">
      <c r="A818" s="8" t="str">
        <f t="shared" si="215"/>
        <v>S0817</v>
      </c>
      <c r="B818" s="3">
        <f t="shared" ca="1" si="204"/>
        <v>45879</v>
      </c>
      <c r="C818" s="3" t="str">
        <f ca="1">INDEX(Customers!$A$2:$A$21,RANDBETWEEN(1,20))</f>
        <v>C009</v>
      </c>
      <c r="D818" s="3" t="str">
        <f ca="1">INDEX(Routes!$A$2:$A$31,RANDBETWEEN(1,30))</f>
        <v>R017</v>
      </c>
      <c r="E818" s="3" t="str">
        <f ca="1">INDEX(Vehicles!$A$2:$A$21,RANDBETWEEN(1,20))</f>
        <v>V016</v>
      </c>
      <c r="F818" s="3" t="str">
        <f ca="1">INDEX(Drivers!$A$2:$A$31,RANDBETWEEN(1,30))</f>
        <v>D024</v>
      </c>
      <c r="G818" s="3">
        <f t="shared" ca="1" si="205"/>
        <v>25.3</v>
      </c>
      <c r="H818" s="3">
        <f t="shared" ca="1" si="206"/>
        <v>53346</v>
      </c>
      <c r="I818" s="3">
        <f t="shared" ca="1" si="207"/>
        <v>14937</v>
      </c>
      <c r="J818" s="3">
        <f t="shared" ca="1" si="208"/>
        <v>1550</v>
      </c>
      <c r="K818" s="3">
        <f t="shared" ca="1" si="209"/>
        <v>29</v>
      </c>
      <c r="L818" s="3">
        <f t="shared" ca="1" si="210"/>
        <v>30</v>
      </c>
      <c r="M818" s="3">
        <f t="shared" ca="1" si="211"/>
        <v>1</v>
      </c>
      <c r="N818" s="3" t="str">
        <f t="shared" ca="1" si="212"/>
        <v>On Time</v>
      </c>
      <c r="O818" s="3" t="str">
        <f t="shared" ca="1" si="213"/>
        <v>Medium</v>
      </c>
      <c r="P818" s="3">
        <f t="shared" ca="1" si="214"/>
        <v>84.3</v>
      </c>
      <c r="Q818" s="1" t="str">
        <f ca="1">VLOOKUP(D818,Routes!$A$2:$D$31,2,FALSE)</f>
        <v>Kolkata</v>
      </c>
      <c r="R818" s="1" t="str">
        <f ca="1">VLOOKUP(D818,Routes!$A$2:$D$31,3,FALSE)</f>
        <v>Patna</v>
      </c>
      <c r="S818" s="3">
        <f ca="1">VLOOKUP(D818,Routes!$A$2:$D$31,4,FALSE)</f>
        <v>620</v>
      </c>
      <c r="T818" s="3" t="str">
        <f ca="1">VLOOKUP(E818,Vehicles!$A$2:$D$21,2,FALSE)</f>
        <v>Container</v>
      </c>
      <c r="U818" s="3">
        <f ca="1">VLOOKUP(E818,Vehicles!$A$2:$D$21,3,FALSE)</f>
        <v>22</v>
      </c>
      <c r="V818" s="3" t="str">
        <f ca="1">VLOOKUP(E818,Vehicles!$A$2:$D$21,4,FALSE)</f>
        <v>Diesel</v>
      </c>
      <c r="W818" s="3">
        <f ca="1">VLOOKUP(V818,Fuel_Rates!$A$2:$B$3,2,FALSE)</f>
        <v>95</v>
      </c>
      <c r="X818" s="3">
        <f t="shared" ca="1" si="216"/>
        <v>86.04</v>
      </c>
      <c r="Y818" s="3">
        <f t="shared" ca="1" si="217"/>
        <v>69833</v>
      </c>
      <c r="Z818" s="3" t="str">
        <f t="shared" ca="1" si="218"/>
        <v>Aug</v>
      </c>
      <c r="AA818" s="3" t="str">
        <f t="shared" ca="1" si="219"/>
        <v>Q3</v>
      </c>
      <c r="AB818" s="4" t="str">
        <f t="shared" ca="1" si="220"/>
        <v>Medium Haul</v>
      </c>
    </row>
    <row r="819" spans="1:28" x14ac:dyDescent="0.3">
      <c r="A819" s="8" t="str">
        <f t="shared" si="215"/>
        <v>S0818</v>
      </c>
      <c r="B819" s="3">
        <f t="shared" ca="1" si="204"/>
        <v>45787</v>
      </c>
      <c r="C819" s="3" t="str">
        <f ca="1">INDEX(Customers!$A$2:$A$21,RANDBETWEEN(1,20))</f>
        <v>C013</v>
      </c>
      <c r="D819" s="3" t="str">
        <f ca="1">INDEX(Routes!$A$2:$A$31,RANDBETWEEN(1,30))</f>
        <v>R015</v>
      </c>
      <c r="E819" s="3" t="str">
        <f ca="1">INDEX(Vehicles!$A$2:$A$21,RANDBETWEEN(1,20))</f>
        <v>V012</v>
      </c>
      <c r="F819" s="3" t="str">
        <f ca="1">INDEX(Drivers!$A$2:$A$31,RANDBETWEEN(1,30))</f>
        <v>D009</v>
      </c>
      <c r="G819" s="3">
        <f t="shared" ca="1" si="205"/>
        <v>22.6</v>
      </c>
      <c r="H819" s="3">
        <f t="shared" ca="1" si="206"/>
        <v>48658</v>
      </c>
      <c r="I819" s="3">
        <f t="shared" ca="1" si="207"/>
        <v>13624</v>
      </c>
      <c r="J819" s="3">
        <f t="shared" ca="1" si="208"/>
        <v>1789</v>
      </c>
      <c r="K819" s="3">
        <f t="shared" ca="1" si="209"/>
        <v>48</v>
      </c>
      <c r="L819" s="3">
        <f t="shared" ca="1" si="210"/>
        <v>53</v>
      </c>
      <c r="M819" s="3">
        <f t="shared" ca="1" si="211"/>
        <v>5</v>
      </c>
      <c r="N819" s="3" t="str">
        <f t="shared" ca="1" si="212"/>
        <v>Delayed</v>
      </c>
      <c r="O819" s="3" t="str">
        <f t="shared" ca="1" si="213"/>
        <v>Low</v>
      </c>
      <c r="P819" s="3">
        <f t="shared" ca="1" si="214"/>
        <v>75.3</v>
      </c>
      <c r="Q819" s="1" t="str">
        <f ca="1">VLOOKUP(D819,Routes!$A$2:$D$31,2,FALSE)</f>
        <v>Hyderabad</v>
      </c>
      <c r="R819" s="1" t="str">
        <f ca="1">VLOOKUP(D819,Routes!$A$2:$D$31,3,FALSE)</f>
        <v>Pune</v>
      </c>
      <c r="S819" s="3">
        <f ca="1">VLOOKUP(D819,Routes!$A$2:$D$31,4,FALSE)</f>
        <v>560</v>
      </c>
      <c r="T819" s="3" t="str">
        <f ca="1">VLOOKUP(E819,Vehicles!$A$2:$D$21,2,FALSE)</f>
        <v>Truck</v>
      </c>
      <c r="U819" s="3">
        <f ca="1">VLOOKUP(E819,Vehicles!$A$2:$D$21,3,FALSE)</f>
        <v>20</v>
      </c>
      <c r="V819" s="3" t="str">
        <f ca="1">VLOOKUP(E819,Vehicles!$A$2:$D$21,4,FALSE)</f>
        <v>CNG</v>
      </c>
      <c r="W819" s="3">
        <f ca="1">VLOOKUP(V819,Fuel_Rates!$A$2:$B$3,2,FALSE)</f>
        <v>78</v>
      </c>
      <c r="X819" s="3">
        <f t="shared" ca="1" si="216"/>
        <v>86.89</v>
      </c>
      <c r="Y819" s="3">
        <f t="shared" ca="1" si="217"/>
        <v>64071</v>
      </c>
      <c r="Z819" s="3" t="str">
        <f t="shared" ca="1" si="218"/>
        <v>May</v>
      </c>
      <c r="AA819" s="3" t="str">
        <f t="shared" ca="1" si="219"/>
        <v>Q2</v>
      </c>
      <c r="AB819" s="4" t="str">
        <f t="shared" ca="1" si="220"/>
        <v>Medium Haul</v>
      </c>
    </row>
    <row r="820" spans="1:28" x14ac:dyDescent="0.3">
      <c r="A820" s="8" t="str">
        <f t="shared" si="215"/>
        <v>S0819</v>
      </c>
      <c r="B820" s="3">
        <f t="shared" ca="1" si="204"/>
        <v>45742</v>
      </c>
      <c r="C820" s="3" t="str">
        <f ca="1">INDEX(Customers!$A$2:$A$21,RANDBETWEEN(1,20))</f>
        <v>C009</v>
      </c>
      <c r="D820" s="3" t="str">
        <f ca="1">INDEX(Routes!$A$2:$A$31,RANDBETWEEN(1,30))</f>
        <v>R017</v>
      </c>
      <c r="E820" s="3" t="str">
        <f ca="1">INDEX(Vehicles!$A$2:$A$21,RANDBETWEEN(1,20))</f>
        <v>V018</v>
      </c>
      <c r="F820" s="3" t="str">
        <f ca="1">INDEX(Drivers!$A$2:$A$31,RANDBETWEEN(1,30))</f>
        <v>D024</v>
      </c>
      <c r="G820" s="3">
        <f t="shared" ca="1" si="205"/>
        <v>13.3</v>
      </c>
      <c r="H820" s="3">
        <f t="shared" ca="1" si="206"/>
        <v>31884</v>
      </c>
      <c r="I820" s="3">
        <f t="shared" ca="1" si="207"/>
        <v>8928</v>
      </c>
      <c r="J820" s="3">
        <f t="shared" ca="1" si="208"/>
        <v>3555</v>
      </c>
      <c r="K820" s="3">
        <f t="shared" ca="1" si="209"/>
        <v>30</v>
      </c>
      <c r="L820" s="3">
        <f t="shared" ca="1" si="210"/>
        <v>33</v>
      </c>
      <c r="M820" s="3">
        <f t="shared" ca="1" si="211"/>
        <v>3</v>
      </c>
      <c r="N820" s="3" t="str">
        <f t="shared" ca="1" si="212"/>
        <v>Delayed</v>
      </c>
      <c r="O820" s="3" t="str">
        <f t="shared" ca="1" si="213"/>
        <v>High</v>
      </c>
      <c r="P820" s="3">
        <f t="shared" ca="1" si="214"/>
        <v>44.3</v>
      </c>
      <c r="Q820" s="1" t="str">
        <f ca="1">VLOOKUP(D820,Routes!$A$2:$D$31,2,FALSE)</f>
        <v>Kolkata</v>
      </c>
      <c r="R820" s="1" t="str">
        <f ca="1">VLOOKUP(D820,Routes!$A$2:$D$31,3,FALSE)</f>
        <v>Patna</v>
      </c>
      <c r="S820" s="3">
        <f ca="1">VLOOKUP(D820,Routes!$A$2:$D$31,4,FALSE)</f>
        <v>620</v>
      </c>
      <c r="T820" s="3" t="str">
        <f ca="1">VLOOKUP(E820,Vehicles!$A$2:$D$21,2,FALSE)</f>
        <v>Truck</v>
      </c>
      <c r="U820" s="3">
        <f ca="1">VLOOKUP(E820,Vehicles!$A$2:$D$21,3,FALSE)</f>
        <v>26</v>
      </c>
      <c r="V820" s="3" t="str">
        <f ca="1">VLOOKUP(E820,Vehicles!$A$2:$D$21,4,FALSE)</f>
        <v>Diesel</v>
      </c>
      <c r="W820" s="3">
        <f ca="1">VLOOKUP(V820,Fuel_Rates!$A$2:$B$3,2,FALSE)</f>
        <v>95</v>
      </c>
      <c r="X820" s="3">
        <f t="shared" ca="1" si="216"/>
        <v>51.43</v>
      </c>
      <c r="Y820" s="3">
        <f t="shared" ca="1" si="217"/>
        <v>44367</v>
      </c>
      <c r="Z820" s="3" t="str">
        <f t="shared" ca="1" si="218"/>
        <v>Mar</v>
      </c>
      <c r="AA820" s="3" t="str">
        <f t="shared" ca="1" si="219"/>
        <v>Q1</v>
      </c>
      <c r="AB820" s="4" t="str">
        <f t="shared" ca="1" si="220"/>
        <v>Medium Haul</v>
      </c>
    </row>
    <row r="821" spans="1:28" x14ac:dyDescent="0.3">
      <c r="A821" s="8" t="str">
        <f t="shared" si="215"/>
        <v>S0820</v>
      </c>
      <c r="B821" s="3">
        <f t="shared" ca="1" si="204"/>
        <v>45988</v>
      </c>
      <c r="C821" s="3" t="str">
        <f ca="1">INDEX(Customers!$A$2:$A$21,RANDBETWEEN(1,20))</f>
        <v>C016</v>
      </c>
      <c r="D821" s="3" t="str">
        <f ca="1">INDEX(Routes!$A$2:$A$31,RANDBETWEEN(1,30))</f>
        <v>R030</v>
      </c>
      <c r="E821" s="3" t="str">
        <f ca="1">INDEX(Vehicles!$A$2:$A$21,RANDBETWEEN(1,20))</f>
        <v>V006</v>
      </c>
      <c r="F821" s="3" t="str">
        <f ca="1">INDEX(Drivers!$A$2:$A$31,RANDBETWEEN(1,30))</f>
        <v>D008</v>
      </c>
      <c r="G821" s="3">
        <f t="shared" ca="1" si="205"/>
        <v>9.8000000000000007</v>
      </c>
      <c r="H821" s="3">
        <f t="shared" ca="1" si="206"/>
        <v>29850</v>
      </c>
      <c r="I821" s="3">
        <f t="shared" ca="1" si="207"/>
        <v>8358</v>
      </c>
      <c r="J821" s="3">
        <f t="shared" ca="1" si="208"/>
        <v>1891</v>
      </c>
      <c r="K821" s="3">
        <f t="shared" ca="1" si="209"/>
        <v>25</v>
      </c>
      <c r="L821" s="3">
        <f t="shared" ca="1" si="210"/>
        <v>32</v>
      </c>
      <c r="M821" s="3">
        <f t="shared" ca="1" si="211"/>
        <v>7</v>
      </c>
      <c r="N821" s="3" t="str">
        <f t="shared" ca="1" si="212"/>
        <v>Delayed</v>
      </c>
      <c r="O821" s="3" t="str">
        <f t="shared" ca="1" si="213"/>
        <v>High</v>
      </c>
      <c r="P821" s="3">
        <f t="shared" ca="1" si="214"/>
        <v>32.700000000000003</v>
      </c>
      <c r="Q821" s="1" t="str">
        <f ca="1">VLOOKUP(D821,Routes!$A$2:$D$31,2,FALSE)</f>
        <v>Bhubaneswar</v>
      </c>
      <c r="R821" s="1" t="str">
        <f ca="1">VLOOKUP(D821,Routes!$A$2:$D$31,3,FALSE)</f>
        <v>Kolkata</v>
      </c>
      <c r="S821" s="3">
        <f ca="1">VLOOKUP(D821,Routes!$A$2:$D$31,4,FALSE)</f>
        <v>440</v>
      </c>
      <c r="T821" s="3" t="str">
        <f ca="1">VLOOKUP(E821,Vehicles!$A$2:$D$21,2,FALSE)</f>
        <v>Container</v>
      </c>
      <c r="U821" s="3">
        <f ca="1">VLOOKUP(E821,Vehicles!$A$2:$D$21,3,FALSE)</f>
        <v>18</v>
      </c>
      <c r="V821" s="3" t="str">
        <f ca="1">VLOOKUP(E821,Vehicles!$A$2:$D$21,4,FALSE)</f>
        <v>Diesel</v>
      </c>
      <c r="W821" s="3">
        <f ca="1">VLOOKUP(V821,Fuel_Rates!$A$2:$B$3,2,FALSE)</f>
        <v>95</v>
      </c>
      <c r="X821" s="3">
        <f t="shared" ca="1" si="216"/>
        <v>67.84</v>
      </c>
      <c r="Y821" s="3">
        <f t="shared" ca="1" si="217"/>
        <v>40099</v>
      </c>
      <c r="Z821" s="3" t="str">
        <f t="shared" ca="1" si="218"/>
        <v>Nov</v>
      </c>
      <c r="AA821" s="3" t="str">
        <f t="shared" ca="1" si="219"/>
        <v>Q4</v>
      </c>
      <c r="AB821" s="4" t="str">
        <f t="shared" ca="1" si="220"/>
        <v>Medium Haul</v>
      </c>
    </row>
    <row r="822" spans="1:28" x14ac:dyDescent="0.3">
      <c r="A822" s="8" t="str">
        <f t="shared" si="215"/>
        <v>S0821</v>
      </c>
      <c r="B822" s="3">
        <f t="shared" ca="1" si="204"/>
        <v>45881</v>
      </c>
      <c r="C822" s="3" t="str">
        <f ca="1">INDEX(Customers!$A$2:$A$21,RANDBETWEEN(1,20))</f>
        <v>C001</v>
      </c>
      <c r="D822" s="3" t="str">
        <f ca="1">INDEX(Routes!$A$2:$A$31,RANDBETWEEN(1,30))</f>
        <v>R006</v>
      </c>
      <c r="E822" s="3" t="str">
        <f ca="1">INDEX(Vehicles!$A$2:$A$21,RANDBETWEEN(1,20))</f>
        <v>V005</v>
      </c>
      <c r="F822" s="3" t="str">
        <f ca="1">INDEX(Drivers!$A$2:$A$31,RANDBETWEEN(1,30))</f>
        <v>D008</v>
      </c>
      <c r="G822" s="3">
        <f t="shared" ca="1" si="205"/>
        <v>3</v>
      </c>
      <c r="H822" s="3">
        <f t="shared" ca="1" si="206"/>
        <v>20108</v>
      </c>
      <c r="I822" s="3">
        <f t="shared" ca="1" si="207"/>
        <v>5630</v>
      </c>
      <c r="J822" s="3">
        <f t="shared" ca="1" si="208"/>
        <v>2275</v>
      </c>
      <c r="K822" s="3">
        <f t="shared" ca="1" si="209"/>
        <v>25</v>
      </c>
      <c r="L822" s="3">
        <f t="shared" ca="1" si="210"/>
        <v>32</v>
      </c>
      <c r="M822" s="3">
        <f t="shared" ca="1" si="211"/>
        <v>7</v>
      </c>
      <c r="N822" s="3" t="str">
        <f t="shared" ca="1" si="212"/>
        <v>Delayed</v>
      </c>
      <c r="O822" s="3" t="str">
        <f t="shared" ca="1" si="213"/>
        <v>High</v>
      </c>
      <c r="P822" s="3">
        <f t="shared" ca="1" si="214"/>
        <v>10</v>
      </c>
      <c r="Q822" s="1" t="str">
        <f ca="1">VLOOKUP(D822,Routes!$A$2:$D$31,2,FALSE)</f>
        <v>Delhi</v>
      </c>
      <c r="R822" s="1" t="str">
        <f ca="1">VLOOKUP(D822,Routes!$A$2:$D$31,3,FALSE)</f>
        <v>Lucknow</v>
      </c>
      <c r="S822" s="3">
        <f ca="1">VLOOKUP(D822,Routes!$A$2:$D$31,4,FALSE)</f>
        <v>550</v>
      </c>
      <c r="T822" s="3" t="str">
        <f ca="1">VLOOKUP(E822,Vehicles!$A$2:$D$21,2,FALSE)</f>
        <v>Trailer</v>
      </c>
      <c r="U822" s="3">
        <f ca="1">VLOOKUP(E822,Vehicles!$A$2:$D$21,3,FALSE)</f>
        <v>32</v>
      </c>
      <c r="V822" s="3" t="str">
        <f ca="1">VLOOKUP(E822,Vehicles!$A$2:$D$21,4,FALSE)</f>
        <v>Diesel</v>
      </c>
      <c r="W822" s="3">
        <f ca="1">VLOOKUP(V822,Fuel_Rates!$A$2:$B$3,2,FALSE)</f>
        <v>95</v>
      </c>
      <c r="X822" s="3">
        <f t="shared" ca="1" si="216"/>
        <v>36.56</v>
      </c>
      <c r="Y822" s="3">
        <f t="shared" ca="1" si="217"/>
        <v>28013</v>
      </c>
      <c r="Z822" s="3" t="str">
        <f t="shared" ca="1" si="218"/>
        <v>Aug</v>
      </c>
      <c r="AA822" s="3" t="str">
        <f t="shared" ca="1" si="219"/>
        <v>Q3</v>
      </c>
      <c r="AB822" s="4" t="str">
        <f t="shared" ca="1" si="220"/>
        <v>Medium Haul</v>
      </c>
    </row>
    <row r="823" spans="1:28" x14ac:dyDescent="0.3">
      <c r="A823" s="8" t="str">
        <f t="shared" si="215"/>
        <v>S0822</v>
      </c>
      <c r="B823" s="3">
        <f t="shared" ca="1" si="204"/>
        <v>45942</v>
      </c>
      <c r="C823" s="3" t="str">
        <f ca="1">INDEX(Customers!$A$2:$A$21,RANDBETWEEN(1,20))</f>
        <v>C005</v>
      </c>
      <c r="D823" s="3" t="str">
        <f ca="1">INDEX(Routes!$A$2:$A$31,RANDBETWEEN(1,30))</f>
        <v>R007</v>
      </c>
      <c r="E823" s="3" t="str">
        <f ca="1">INDEX(Vehicles!$A$2:$A$21,RANDBETWEEN(1,20))</f>
        <v>V020</v>
      </c>
      <c r="F823" s="3" t="str">
        <f ca="1">INDEX(Drivers!$A$2:$A$31,RANDBETWEEN(1,30))</f>
        <v>D013</v>
      </c>
      <c r="G823" s="3">
        <f t="shared" ca="1" si="205"/>
        <v>15.2</v>
      </c>
      <c r="H823" s="3">
        <f t="shared" ca="1" si="206"/>
        <v>41284</v>
      </c>
      <c r="I823" s="3">
        <f t="shared" ca="1" si="207"/>
        <v>11560</v>
      </c>
      <c r="J823" s="3">
        <f t="shared" ca="1" si="208"/>
        <v>903</v>
      </c>
      <c r="K823" s="3">
        <f t="shared" ca="1" si="209"/>
        <v>28</v>
      </c>
      <c r="L823" s="3">
        <f t="shared" ca="1" si="210"/>
        <v>32</v>
      </c>
      <c r="M823" s="3">
        <f t="shared" ca="1" si="211"/>
        <v>4</v>
      </c>
      <c r="N823" s="3" t="str">
        <f t="shared" ca="1" si="212"/>
        <v>Delayed</v>
      </c>
      <c r="O823" s="3" t="str">
        <f t="shared" ca="1" si="213"/>
        <v>Medium</v>
      </c>
      <c r="P823" s="3">
        <f t="shared" ca="1" si="214"/>
        <v>50.7</v>
      </c>
      <c r="Q823" s="1" t="str">
        <f ca="1">VLOOKUP(D823,Routes!$A$2:$D$31,2,FALSE)</f>
        <v>Delhi</v>
      </c>
      <c r="R823" s="1" t="str">
        <f ca="1">VLOOKUP(D823,Routes!$A$2:$D$31,3,FALSE)</f>
        <v>Chandigarh</v>
      </c>
      <c r="S823" s="3">
        <f ca="1">VLOOKUP(D823,Routes!$A$2:$D$31,4,FALSE)</f>
        <v>250</v>
      </c>
      <c r="T823" s="3" t="str">
        <f ca="1">VLOOKUP(E823,Vehicles!$A$2:$D$21,2,FALSE)</f>
        <v>Container</v>
      </c>
      <c r="U823" s="3">
        <f ca="1">VLOOKUP(E823,Vehicles!$A$2:$D$21,3,FALSE)</f>
        <v>28</v>
      </c>
      <c r="V823" s="3" t="str">
        <f ca="1">VLOOKUP(E823,Vehicles!$A$2:$D$21,4,FALSE)</f>
        <v>Diesel</v>
      </c>
      <c r="W823" s="3">
        <f ca="1">VLOOKUP(V823,Fuel_Rates!$A$2:$B$3,2,FALSE)</f>
        <v>95</v>
      </c>
      <c r="X823" s="3">
        <f t="shared" ca="1" si="216"/>
        <v>165.14</v>
      </c>
      <c r="Y823" s="3">
        <f t="shared" ca="1" si="217"/>
        <v>53747</v>
      </c>
      <c r="Z823" s="3" t="str">
        <f t="shared" ca="1" si="218"/>
        <v>Oct</v>
      </c>
      <c r="AA823" s="3" t="str">
        <f t="shared" ca="1" si="219"/>
        <v>Q4</v>
      </c>
      <c r="AB823" s="4" t="str">
        <f t="shared" ca="1" si="220"/>
        <v>Short Haul</v>
      </c>
    </row>
    <row r="824" spans="1:28" x14ac:dyDescent="0.3">
      <c r="A824" s="8" t="str">
        <f t="shared" si="215"/>
        <v>S0823</v>
      </c>
      <c r="B824" s="3">
        <f t="shared" ca="1" si="204"/>
        <v>45894</v>
      </c>
      <c r="C824" s="3" t="str">
        <f ca="1">INDEX(Customers!$A$2:$A$21,RANDBETWEEN(1,20))</f>
        <v>C007</v>
      </c>
      <c r="D824" s="3" t="str">
        <f ca="1">INDEX(Routes!$A$2:$A$31,RANDBETWEEN(1,30))</f>
        <v>R024</v>
      </c>
      <c r="E824" s="3" t="str">
        <f ca="1">INDEX(Vehicles!$A$2:$A$21,RANDBETWEEN(1,20))</f>
        <v>V001</v>
      </c>
      <c r="F824" s="3" t="str">
        <f ca="1">INDEX(Drivers!$A$2:$A$31,RANDBETWEEN(1,30))</f>
        <v>D007</v>
      </c>
      <c r="G824" s="3">
        <f t="shared" ca="1" si="205"/>
        <v>7.6</v>
      </c>
      <c r="H824" s="3">
        <f t="shared" ca="1" si="206"/>
        <v>24618</v>
      </c>
      <c r="I824" s="3">
        <f t="shared" ca="1" si="207"/>
        <v>6893</v>
      </c>
      <c r="J824" s="3">
        <f t="shared" ca="1" si="208"/>
        <v>1198</v>
      </c>
      <c r="K824" s="3">
        <f t="shared" ca="1" si="209"/>
        <v>25</v>
      </c>
      <c r="L824" s="3">
        <f t="shared" ca="1" si="210"/>
        <v>25</v>
      </c>
      <c r="M824" s="3">
        <f t="shared" ca="1" si="211"/>
        <v>0</v>
      </c>
      <c r="N824" s="3" t="str">
        <f t="shared" ca="1" si="212"/>
        <v>On Time</v>
      </c>
      <c r="O824" s="3" t="str">
        <f t="shared" ca="1" si="213"/>
        <v>Medium</v>
      </c>
      <c r="P824" s="3">
        <f t="shared" ca="1" si="214"/>
        <v>25.3</v>
      </c>
      <c r="Q824" s="1" t="str">
        <f ca="1">VLOOKUP(D824,Routes!$A$2:$D$31,2,FALSE)</f>
        <v>Surat</v>
      </c>
      <c r="R824" s="1" t="str">
        <f ca="1">VLOOKUP(D824,Routes!$A$2:$D$31,3,FALSE)</f>
        <v>Mumbai</v>
      </c>
      <c r="S824" s="3">
        <f ca="1">VLOOKUP(D824,Routes!$A$2:$D$31,4,FALSE)</f>
        <v>280</v>
      </c>
      <c r="T824" s="3" t="str">
        <f ca="1">VLOOKUP(E824,Vehicles!$A$2:$D$21,2,FALSE)</f>
        <v>Truck</v>
      </c>
      <c r="U824" s="3">
        <f ca="1">VLOOKUP(E824,Vehicles!$A$2:$D$21,3,FALSE)</f>
        <v>16</v>
      </c>
      <c r="V824" s="3" t="str">
        <f ca="1">VLOOKUP(E824,Vehicles!$A$2:$D$21,4,FALSE)</f>
        <v>Diesel</v>
      </c>
      <c r="W824" s="3">
        <f ca="1">VLOOKUP(V824,Fuel_Rates!$A$2:$B$3,2,FALSE)</f>
        <v>95</v>
      </c>
      <c r="X824" s="3">
        <f t="shared" ca="1" si="216"/>
        <v>87.92</v>
      </c>
      <c r="Y824" s="3">
        <f t="shared" ca="1" si="217"/>
        <v>32709</v>
      </c>
      <c r="Z824" s="3" t="str">
        <f t="shared" ca="1" si="218"/>
        <v>Aug</v>
      </c>
      <c r="AA824" s="3" t="str">
        <f t="shared" ca="1" si="219"/>
        <v>Q3</v>
      </c>
      <c r="AB824" s="4" t="str">
        <f t="shared" ca="1" si="220"/>
        <v>Short Haul</v>
      </c>
    </row>
    <row r="825" spans="1:28" x14ac:dyDescent="0.3">
      <c r="A825" s="8" t="str">
        <f t="shared" si="215"/>
        <v>S0824</v>
      </c>
      <c r="B825" s="3">
        <f t="shared" ca="1" si="204"/>
        <v>45772</v>
      </c>
      <c r="C825" s="3" t="str">
        <f ca="1">INDEX(Customers!$A$2:$A$21,RANDBETWEEN(1,20))</f>
        <v>C006</v>
      </c>
      <c r="D825" s="3" t="str">
        <f ca="1">INDEX(Routes!$A$2:$A$31,RANDBETWEEN(1,30))</f>
        <v>R016</v>
      </c>
      <c r="E825" s="3" t="str">
        <f ca="1">INDEX(Vehicles!$A$2:$A$21,RANDBETWEEN(1,20))</f>
        <v>V008</v>
      </c>
      <c r="F825" s="3" t="str">
        <f ca="1">INDEX(Drivers!$A$2:$A$31,RANDBETWEEN(1,30))</f>
        <v>D012</v>
      </c>
      <c r="G825" s="3">
        <f t="shared" ca="1" si="205"/>
        <v>27</v>
      </c>
      <c r="H825" s="3">
        <f t="shared" ca="1" si="206"/>
        <v>51669</v>
      </c>
      <c r="I825" s="3">
        <f t="shared" ca="1" si="207"/>
        <v>14467</v>
      </c>
      <c r="J825" s="3">
        <f t="shared" ca="1" si="208"/>
        <v>548</v>
      </c>
      <c r="K825" s="3">
        <f t="shared" ca="1" si="209"/>
        <v>27</v>
      </c>
      <c r="L825" s="3">
        <f t="shared" ca="1" si="210"/>
        <v>30</v>
      </c>
      <c r="M825" s="3">
        <f t="shared" ca="1" si="211"/>
        <v>3</v>
      </c>
      <c r="N825" s="3" t="str">
        <f t="shared" ca="1" si="212"/>
        <v>Delayed</v>
      </c>
      <c r="O825" s="3" t="str">
        <f t="shared" ca="1" si="213"/>
        <v>High</v>
      </c>
      <c r="P825" s="3">
        <f t="shared" ca="1" si="214"/>
        <v>90</v>
      </c>
      <c r="Q825" s="1" t="str">
        <f ca="1">VLOOKUP(D825,Routes!$A$2:$D$31,2,FALSE)</f>
        <v>Kolkata</v>
      </c>
      <c r="R825" s="1" t="str">
        <f ca="1">VLOOKUP(D825,Routes!$A$2:$D$31,3,FALSE)</f>
        <v>Bhubaneswar</v>
      </c>
      <c r="S825" s="3">
        <f ca="1">VLOOKUP(D825,Routes!$A$2:$D$31,4,FALSE)</f>
        <v>440</v>
      </c>
      <c r="T825" s="3" t="str">
        <f ca="1">VLOOKUP(E825,Vehicles!$A$2:$D$21,2,FALSE)</f>
        <v>Container</v>
      </c>
      <c r="U825" s="3">
        <f ca="1">VLOOKUP(E825,Vehicles!$A$2:$D$21,3,FALSE)</f>
        <v>25</v>
      </c>
      <c r="V825" s="3" t="str">
        <f ca="1">VLOOKUP(E825,Vehicles!$A$2:$D$21,4,FALSE)</f>
        <v>Diesel</v>
      </c>
      <c r="W825" s="3">
        <f ca="1">VLOOKUP(V825,Fuel_Rates!$A$2:$B$3,2,FALSE)</f>
        <v>95</v>
      </c>
      <c r="X825" s="3">
        <f t="shared" ca="1" si="216"/>
        <v>117.43</v>
      </c>
      <c r="Y825" s="3">
        <f t="shared" ca="1" si="217"/>
        <v>66684</v>
      </c>
      <c r="Z825" s="3" t="str">
        <f t="shared" ca="1" si="218"/>
        <v>Apr</v>
      </c>
      <c r="AA825" s="3" t="str">
        <f t="shared" ca="1" si="219"/>
        <v>Q2</v>
      </c>
      <c r="AB825" s="4" t="str">
        <f t="shared" ca="1" si="220"/>
        <v>Medium Haul</v>
      </c>
    </row>
    <row r="826" spans="1:28" x14ac:dyDescent="0.3">
      <c r="A826" s="8" t="str">
        <f t="shared" si="215"/>
        <v>S0825</v>
      </c>
      <c r="B826" s="3">
        <f t="shared" ca="1" si="204"/>
        <v>45801</v>
      </c>
      <c r="C826" s="3" t="str">
        <f ca="1">INDEX(Customers!$A$2:$A$21,RANDBETWEEN(1,20))</f>
        <v>C003</v>
      </c>
      <c r="D826" s="3" t="str">
        <f ca="1">INDEX(Routes!$A$2:$A$31,RANDBETWEEN(1,30))</f>
        <v>R020</v>
      </c>
      <c r="E826" s="3" t="str">
        <f ca="1">INDEX(Vehicles!$A$2:$A$21,RANDBETWEEN(1,20))</f>
        <v>V001</v>
      </c>
      <c r="F826" s="3" t="str">
        <f ca="1">INDEX(Drivers!$A$2:$A$31,RANDBETWEEN(1,30))</f>
        <v>D021</v>
      </c>
      <c r="G826" s="3">
        <f t="shared" ca="1" si="205"/>
        <v>8.4</v>
      </c>
      <c r="H826" s="3">
        <f t="shared" ca="1" si="206"/>
        <v>26620</v>
      </c>
      <c r="I826" s="3">
        <f t="shared" ca="1" si="207"/>
        <v>7454</v>
      </c>
      <c r="J826" s="3">
        <f t="shared" ca="1" si="208"/>
        <v>2661</v>
      </c>
      <c r="K826" s="3">
        <f t="shared" ca="1" si="209"/>
        <v>4</v>
      </c>
      <c r="L826" s="3">
        <f t="shared" ca="1" si="210"/>
        <v>12</v>
      </c>
      <c r="M826" s="3">
        <f t="shared" ca="1" si="211"/>
        <v>8</v>
      </c>
      <c r="N826" s="3" t="str">
        <f t="shared" ca="1" si="212"/>
        <v>Delayed</v>
      </c>
      <c r="O826" s="3" t="str">
        <f t="shared" ca="1" si="213"/>
        <v>High</v>
      </c>
      <c r="P826" s="3">
        <f t="shared" ca="1" si="214"/>
        <v>28</v>
      </c>
      <c r="Q826" s="1" t="str">
        <f ca="1">VLOOKUP(D826,Routes!$A$2:$D$31,2,FALSE)</f>
        <v>Pune</v>
      </c>
      <c r="R826" s="1" t="str">
        <f ca="1">VLOOKUP(D826,Routes!$A$2:$D$31,3,FALSE)</f>
        <v>Nagpur</v>
      </c>
      <c r="S826" s="3">
        <f ca="1">VLOOKUP(D826,Routes!$A$2:$D$31,4,FALSE)</f>
        <v>720</v>
      </c>
      <c r="T826" s="3" t="str">
        <f ca="1">VLOOKUP(E826,Vehicles!$A$2:$D$21,2,FALSE)</f>
        <v>Truck</v>
      </c>
      <c r="U826" s="3">
        <f ca="1">VLOOKUP(E826,Vehicles!$A$2:$D$21,3,FALSE)</f>
        <v>16</v>
      </c>
      <c r="V826" s="3" t="str">
        <f ca="1">VLOOKUP(E826,Vehicles!$A$2:$D$21,4,FALSE)</f>
        <v>Diesel</v>
      </c>
      <c r="W826" s="3">
        <f ca="1">VLOOKUP(V826,Fuel_Rates!$A$2:$B$3,2,FALSE)</f>
        <v>95</v>
      </c>
      <c r="X826" s="3">
        <f t="shared" ca="1" si="216"/>
        <v>36.97</v>
      </c>
      <c r="Y826" s="3">
        <f t="shared" ca="1" si="217"/>
        <v>36735</v>
      </c>
      <c r="Z826" s="3" t="str">
        <f t="shared" ca="1" si="218"/>
        <v>May</v>
      </c>
      <c r="AA826" s="3" t="str">
        <f t="shared" ca="1" si="219"/>
        <v>Q2</v>
      </c>
      <c r="AB826" s="4" t="str">
        <f t="shared" ca="1" si="220"/>
        <v>Medium Haul</v>
      </c>
    </row>
    <row r="827" spans="1:28" x14ac:dyDescent="0.3">
      <c r="A827" s="8" t="str">
        <f t="shared" si="215"/>
        <v>S0826</v>
      </c>
      <c r="B827" s="3">
        <f t="shared" ca="1" si="204"/>
        <v>45673</v>
      </c>
      <c r="C827" s="3" t="str">
        <f ca="1">INDEX(Customers!$A$2:$A$21,RANDBETWEEN(1,20))</f>
        <v>C014</v>
      </c>
      <c r="D827" s="3" t="str">
        <f ca="1">INDEX(Routes!$A$2:$A$31,RANDBETWEEN(1,30))</f>
        <v>R011</v>
      </c>
      <c r="E827" s="3" t="str">
        <f ca="1">INDEX(Vehicles!$A$2:$A$21,RANDBETWEEN(1,20))</f>
        <v>V016</v>
      </c>
      <c r="F827" s="3" t="str">
        <f ca="1">INDEX(Drivers!$A$2:$A$31,RANDBETWEEN(1,30))</f>
        <v>D020</v>
      </c>
      <c r="G827" s="3">
        <f t="shared" ca="1" si="205"/>
        <v>24.4</v>
      </c>
      <c r="H827" s="3">
        <f t="shared" ca="1" si="206"/>
        <v>58873</v>
      </c>
      <c r="I827" s="3">
        <f t="shared" ca="1" si="207"/>
        <v>16484</v>
      </c>
      <c r="J827" s="3">
        <f t="shared" ca="1" si="208"/>
        <v>2739</v>
      </c>
      <c r="K827" s="3">
        <f t="shared" ca="1" si="209"/>
        <v>31</v>
      </c>
      <c r="L827" s="3">
        <f t="shared" ca="1" si="210"/>
        <v>33</v>
      </c>
      <c r="M827" s="3">
        <f t="shared" ca="1" si="211"/>
        <v>2</v>
      </c>
      <c r="N827" s="3" t="str">
        <f t="shared" ca="1" si="212"/>
        <v>On Time</v>
      </c>
      <c r="O827" s="3" t="str">
        <f t="shared" ca="1" si="213"/>
        <v>Low</v>
      </c>
      <c r="P827" s="3">
        <f t="shared" ca="1" si="214"/>
        <v>81.3</v>
      </c>
      <c r="Q827" s="1" t="str">
        <f ca="1">VLOOKUP(D827,Routes!$A$2:$D$31,2,FALSE)</f>
        <v>Bengaluru</v>
      </c>
      <c r="R827" s="1" t="str">
        <f ca="1">VLOOKUP(D827,Routes!$A$2:$D$31,3,FALSE)</f>
        <v>Kochi</v>
      </c>
      <c r="S827" s="3">
        <f ca="1">VLOOKUP(D827,Routes!$A$2:$D$31,4,FALSE)</f>
        <v>550</v>
      </c>
      <c r="T827" s="3" t="str">
        <f ca="1">VLOOKUP(E827,Vehicles!$A$2:$D$21,2,FALSE)</f>
        <v>Container</v>
      </c>
      <c r="U827" s="3">
        <f ca="1">VLOOKUP(E827,Vehicles!$A$2:$D$21,3,FALSE)</f>
        <v>22</v>
      </c>
      <c r="V827" s="3" t="str">
        <f ca="1">VLOOKUP(E827,Vehicles!$A$2:$D$21,4,FALSE)</f>
        <v>Diesel</v>
      </c>
      <c r="W827" s="3">
        <f ca="1">VLOOKUP(V827,Fuel_Rates!$A$2:$B$3,2,FALSE)</f>
        <v>95</v>
      </c>
      <c r="X827" s="3">
        <f t="shared" ca="1" si="216"/>
        <v>107.04</v>
      </c>
      <c r="Y827" s="3">
        <f t="shared" ca="1" si="217"/>
        <v>78096</v>
      </c>
      <c r="Z827" s="3" t="str">
        <f t="shared" ca="1" si="218"/>
        <v>Jan</v>
      </c>
      <c r="AA827" s="3" t="str">
        <f t="shared" ca="1" si="219"/>
        <v>Q1</v>
      </c>
      <c r="AB827" s="4" t="str">
        <f t="shared" ca="1" si="220"/>
        <v>Medium Haul</v>
      </c>
    </row>
    <row r="828" spans="1:28" x14ac:dyDescent="0.3">
      <c r="A828" s="8" t="str">
        <f t="shared" si="215"/>
        <v>S0827</v>
      </c>
      <c r="B828" s="3">
        <f t="shared" ca="1" si="204"/>
        <v>45872</v>
      </c>
      <c r="C828" s="3" t="str">
        <f ca="1">INDEX(Customers!$A$2:$A$21,RANDBETWEEN(1,20))</f>
        <v>C001</v>
      </c>
      <c r="D828" s="3" t="str">
        <f ca="1">INDEX(Routes!$A$2:$A$31,RANDBETWEEN(1,30))</f>
        <v>R011</v>
      </c>
      <c r="E828" s="3" t="str">
        <f ca="1">INDEX(Vehicles!$A$2:$A$21,RANDBETWEEN(1,20))</f>
        <v>V010</v>
      </c>
      <c r="F828" s="3" t="str">
        <f ca="1">INDEX(Drivers!$A$2:$A$31,RANDBETWEEN(1,30))</f>
        <v>D024</v>
      </c>
      <c r="G828" s="3">
        <f t="shared" ca="1" si="205"/>
        <v>13.6</v>
      </c>
      <c r="H828" s="3">
        <f t="shared" ca="1" si="206"/>
        <v>31261</v>
      </c>
      <c r="I828" s="3">
        <f t="shared" ca="1" si="207"/>
        <v>8753</v>
      </c>
      <c r="J828" s="3">
        <f t="shared" ca="1" si="208"/>
        <v>3245</v>
      </c>
      <c r="K828" s="3">
        <f t="shared" ca="1" si="209"/>
        <v>30</v>
      </c>
      <c r="L828" s="3">
        <f t="shared" ca="1" si="210"/>
        <v>31</v>
      </c>
      <c r="M828" s="3">
        <f t="shared" ca="1" si="211"/>
        <v>1</v>
      </c>
      <c r="N828" s="3" t="str">
        <f t="shared" ca="1" si="212"/>
        <v>On Time</v>
      </c>
      <c r="O828" s="3" t="str">
        <f t="shared" ca="1" si="213"/>
        <v>Low</v>
      </c>
      <c r="P828" s="3">
        <f t="shared" ca="1" si="214"/>
        <v>45.3</v>
      </c>
      <c r="Q828" s="1" t="str">
        <f ca="1">VLOOKUP(D828,Routes!$A$2:$D$31,2,FALSE)</f>
        <v>Bengaluru</v>
      </c>
      <c r="R828" s="1" t="str">
        <f ca="1">VLOOKUP(D828,Routes!$A$2:$D$31,3,FALSE)</f>
        <v>Kochi</v>
      </c>
      <c r="S828" s="3">
        <f ca="1">VLOOKUP(D828,Routes!$A$2:$D$31,4,FALSE)</f>
        <v>550</v>
      </c>
      <c r="T828" s="3" t="str">
        <f ca="1">VLOOKUP(E828,Vehicles!$A$2:$D$21,2,FALSE)</f>
        <v>LCV</v>
      </c>
      <c r="U828" s="3">
        <f ca="1">VLOOKUP(E828,Vehicles!$A$2:$D$21,3,FALSE)</f>
        <v>7</v>
      </c>
      <c r="V828" s="3" t="str">
        <f ca="1">VLOOKUP(E828,Vehicles!$A$2:$D$21,4,FALSE)</f>
        <v>Diesel</v>
      </c>
      <c r="W828" s="3">
        <f ca="1">VLOOKUP(V828,Fuel_Rates!$A$2:$B$3,2,FALSE)</f>
        <v>95</v>
      </c>
      <c r="X828" s="3">
        <f t="shared" ca="1" si="216"/>
        <v>56.84</v>
      </c>
      <c r="Y828" s="3">
        <f t="shared" ca="1" si="217"/>
        <v>43259</v>
      </c>
      <c r="Z828" s="3" t="str">
        <f t="shared" ca="1" si="218"/>
        <v>Aug</v>
      </c>
      <c r="AA828" s="3" t="str">
        <f t="shared" ca="1" si="219"/>
        <v>Q3</v>
      </c>
      <c r="AB828" s="4" t="str">
        <f t="shared" ca="1" si="220"/>
        <v>Medium Haul</v>
      </c>
    </row>
    <row r="829" spans="1:28" x14ac:dyDescent="0.3">
      <c r="A829" s="8" t="str">
        <f t="shared" si="215"/>
        <v>S0828</v>
      </c>
      <c r="B829" s="3">
        <f t="shared" ca="1" si="204"/>
        <v>45725</v>
      </c>
      <c r="C829" s="3" t="str">
        <f ca="1">INDEX(Customers!$A$2:$A$21,RANDBETWEEN(1,20))</f>
        <v>C019</v>
      </c>
      <c r="D829" s="3" t="str">
        <f ca="1">INDEX(Routes!$A$2:$A$31,RANDBETWEEN(1,30))</f>
        <v>R013</v>
      </c>
      <c r="E829" s="3" t="str">
        <f ca="1">INDEX(Vehicles!$A$2:$A$21,RANDBETWEEN(1,20))</f>
        <v>V009</v>
      </c>
      <c r="F829" s="3" t="str">
        <f ca="1">INDEX(Drivers!$A$2:$A$31,RANDBETWEEN(1,30))</f>
        <v>D006</v>
      </c>
      <c r="G829" s="3">
        <f t="shared" ca="1" si="205"/>
        <v>2.5</v>
      </c>
      <c r="H829" s="3">
        <f t="shared" ca="1" si="206"/>
        <v>9960</v>
      </c>
      <c r="I829" s="3">
        <f t="shared" ca="1" si="207"/>
        <v>2789</v>
      </c>
      <c r="J829" s="3">
        <f t="shared" ca="1" si="208"/>
        <v>3473</v>
      </c>
      <c r="K829" s="3">
        <f t="shared" ca="1" si="209"/>
        <v>5</v>
      </c>
      <c r="L829" s="3">
        <f t="shared" ca="1" si="210"/>
        <v>11</v>
      </c>
      <c r="M829" s="3">
        <f t="shared" ca="1" si="211"/>
        <v>6</v>
      </c>
      <c r="N829" s="3" t="str">
        <f t="shared" ca="1" si="212"/>
        <v>Delayed</v>
      </c>
      <c r="O829" s="3" t="str">
        <f t="shared" ca="1" si="213"/>
        <v>High</v>
      </c>
      <c r="P829" s="3">
        <f t="shared" ca="1" si="214"/>
        <v>8.3000000000000007</v>
      </c>
      <c r="Q829" s="1" t="str">
        <f ca="1">VLOOKUP(D829,Routes!$A$2:$D$31,2,FALSE)</f>
        <v>Chennai</v>
      </c>
      <c r="R829" s="1" t="str">
        <f ca="1">VLOOKUP(D829,Routes!$A$2:$D$31,3,FALSE)</f>
        <v>Hyderabad</v>
      </c>
      <c r="S829" s="3">
        <f ca="1">VLOOKUP(D829,Routes!$A$2:$D$31,4,FALSE)</f>
        <v>630</v>
      </c>
      <c r="T829" s="3" t="str">
        <f ca="1">VLOOKUP(E829,Vehicles!$A$2:$D$21,2,FALSE)</f>
        <v>LCV</v>
      </c>
      <c r="U829" s="3">
        <f ca="1">VLOOKUP(E829,Vehicles!$A$2:$D$21,3,FALSE)</f>
        <v>5</v>
      </c>
      <c r="V829" s="3" t="str">
        <f ca="1">VLOOKUP(E829,Vehicles!$A$2:$D$21,4,FALSE)</f>
        <v>Diesel</v>
      </c>
      <c r="W829" s="3">
        <f ca="1">VLOOKUP(V829,Fuel_Rates!$A$2:$B$3,2,FALSE)</f>
        <v>95</v>
      </c>
      <c r="X829" s="3">
        <f t="shared" ca="1" si="216"/>
        <v>15.81</v>
      </c>
      <c r="Y829" s="3">
        <f t="shared" ca="1" si="217"/>
        <v>16222</v>
      </c>
      <c r="Z829" s="3" t="str">
        <f t="shared" ca="1" si="218"/>
        <v>Mar</v>
      </c>
      <c r="AA829" s="3" t="str">
        <f t="shared" ca="1" si="219"/>
        <v>Q1</v>
      </c>
      <c r="AB829" s="4" t="str">
        <f t="shared" ca="1" si="220"/>
        <v>Medium Haul</v>
      </c>
    </row>
    <row r="830" spans="1:28" x14ac:dyDescent="0.3">
      <c r="A830" s="8" t="str">
        <f t="shared" si="215"/>
        <v>S0829</v>
      </c>
      <c r="B830" s="3">
        <f t="shared" ca="1" si="204"/>
        <v>45928</v>
      </c>
      <c r="C830" s="3" t="str">
        <f ca="1">INDEX(Customers!$A$2:$A$21,RANDBETWEEN(1,20))</f>
        <v>C002</v>
      </c>
      <c r="D830" s="3" t="str">
        <f ca="1">INDEX(Routes!$A$2:$A$31,RANDBETWEEN(1,30))</f>
        <v>R001</v>
      </c>
      <c r="E830" s="3" t="str">
        <f ca="1">INDEX(Vehicles!$A$2:$A$21,RANDBETWEEN(1,20))</f>
        <v>V013</v>
      </c>
      <c r="F830" s="3" t="str">
        <f ca="1">INDEX(Drivers!$A$2:$A$31,RANDBETWEEN(1,30))</f>
        <v>D021</v>
      </c>
      <c r="G830" s="3">
        <f t="shared" ca="1" si="205"/>
        <v>22</v>
      </c>
      <c r="H830" s="3">
        <f t="shared" ca="1" si="206"/>
        <v>52110</v>
      </c>
      <c r="I830" s="3">
        <f t="shared" ca="1" si="207"/>
        <v>14591</v>
      </c>
      <c r="J830" s="3">
        <f t="shared" ca="1" si="208"/>
        <v>2937</v>
      </c>
      <c r="K830" s="3">
        <f t="shared" ca="1" si="209"/>
        <v>23</v>
      </c>
      <c r="L830" s="3">
        <f t="shared" ca="1" si="210"/>
        <v>23</v>
      </c>
      <c r="M830" s="3">
        <f t="shared" ca="1" si="211"/>
        <v>0</v>
      </c>
      <c r="N830" s="3" t="str">
        <f t="shared" ca="1" si="212"/>
        <v>On Time</v>
      </c>
      <c r="O830" s="3" t="str">
        <f t="shared" ca="1" si="213"/>
        <v>High</v>
      </c>
      <c r="P830" s="3">
        <f t="shared" ca="1" si="214"/>
        <v>73.3</v>
      </c>
      <c r="Q830" s="1" t="str">
        <f ca="1">VLOOKUP(D830,Routes!$A$2:$D$31,2,FALSE)</f>
        <v>Mumbai</v>
      </c>
      <c r="R830" s="1" t="str">
        <f ca="1">VLOOKUP(D830,Routes!$A$2:$D$31,3,FALSE)</f>
        <v>Pune</v>
      </c>
      <c r="S830" s="3">
        <f ca="1">VLOOKUP(D830,Routes!$A$2:$D$31,4,FALSE)</f>
        <v>150</v>
      </c>
      <c r="T830" s="3" t="str">
        <f ca="1">VLOOKUP(E830,Vehicles!$A$2:$D$21,2,FALSE)</f>
        <v>LCV</v>
      </c>
      <c r="U830" s="3">
        <f ca="1">VLOOKUP(E830,Vehicles!$A$2:$D$21,3,FALSE)</f>
        <v>4</v>
      </c>
      <c r="V830" s="3" t="str">
        <f ca="1">VLOOKUP(E830,Vehicles!$A$2:$D$21,4,FALSE)</f>
        <v>CNG</v>
      </c>
      <c r="W830" s="3">
        <f ca="1">VLOOKUP(V830,Fuel_Rates!$A$2:$B$3,2,FALSE)</f>
        <v>78</v>
      </c>
      <c r="X830" s="3">
        <f t="shared" ca="1" si="216"/>
        <v>347.4</v>
      </c>
      <c r="Y830" s="3">
        <f t="shared" ca="1" si="217"/>
        <v>69638</v>
      </c>
      <c r="Z830" s="3" t="str">
        <f t="shared" ca="1" si="218"/>
        <v>Sep</v>
      </c>
      <c r="AA830" s="3" t="str">
        <f t="shared" ca="1" si="219"/>
        <v>Q3</v>
      </c>
      <c r="AB830" s="4" t="str">
        <f t="shared" ca="1" si="220"/>
        <v>Short Haul</v>
      </c>
    </row>
    <row r="831" spans="1:28" x14ac:dyDescent="0.3">
      <c r="A831" s="8" t="str">
        <f t="shared" si="215"/>
        <v>S0830</v>
      </c>
      <c r="B831" s="3">
        <f t="shared" ca="1" si="204"/>
        <v>46009</v>
      </c>
      <c r="C831" s="3" t="str">
        <f ca="1">INDEX(Customers!$A$2:$A$21,RANDBETWEEN(1,20))</f>
        <v>C002</v>
      </c>
      <c r="D831" s="3" t="str">
        <f ca="1">INDEX(Routes!$A$2:$A$31,RANDBETWEEN(1,30))</f>
        <v>R023</v>
      </c>
      <c r="E831" s="3" t="str">
        <f ca="1">INDEX(Vehicles!$A$2:$A$21,RANDBETWEEN(1,20))</f>
        <v>V007</v>
      </c>
      <c r="F831" s="3" t="str">
        <f ca="1">INDEX(Drivers!$A$2:$A$31,RANDBETWEEN(1,30))</f>
        <v>D016</v>
      </c>
      <c r="G831" s="3">
        <f t="shared" ca="1" si="205"/>
        <v>9.4</v>
      </c>
      <c r="H831" s="3">
        <f t="shared" ca="1" si="206"/>
        <v>21379</v>
      </c>
      <c r="I831" s="3">
        <f t="shared" ca="1" si="207"/>
        <v>5986</v>
      </c>
      <c r="J831" s="3">
        <f t="shared" ca="1" si="208"/>
        <v>3497</v>
      </c>
      <c r="K831" s="3">
        <f t="shared" ca="1" si="209"/>
        <v>19</v>
      </c>
      <c r="L831" s="3">
        <f t="shared" ca="1" si="210"/>
        <v>26</v>
      </c>
      <c r="M831" s="3">
        <f t="shared" ca="1" si="211"/>
        <v>7</v>
      </c>
      <c r="N831" s="3" t="str">
        <f t="shared" ca="1" si="212"/>
        <v>Delayed</v>
      </c>
      <c r="O831" s="3" t="str">
        <f t="shared" ca="1" si="213"/>
        <v>High</v>
      </c>
      <c r="P831" s="3">
        <f t="shared" ca="1" si="214"/>
        <v>31.3</v>
      </c>
      <c r="Q831" s="1" t="str">
        <f ca="1">VLOOKUP(D831,Routes!$A$2:$D$31,2,FALSE)</f>
        <v>Kochi</v>
      </c>
      <c r="R831" s="1" t="str">
        <f ca="1">VLOOKUP(D831,Routes!$A$2:$D$31,3,FALSE)</f>
        <v>Bengaluru</v>
      </c>
      <c r="S831" s="3">
        <f ca="1">VLOOKUP(D831,Routes!$A$2:$D$31,4,FALSE)</f>
        <v>550</v>
      </c>
      <c r="T831" s="3" t="str">
        <f ca="1">VLOOKUP(E831,Vehicles!$A$2:$D$21,2,FALSE)</f>
        <v>Container</v>
      </c>
      <c r="U831" s="3">
        <f ca="1">VLOOKUP(E831,Vehicles!$A$2:$D$21,3,FALSE)</f>
        <v>20</v>
      </c>
      <c r="V831" s="3" t="str">
        <f ca="1">VLOOKUP(E831,Vehicles!$A$2:$D$21,4,FALSE)</f>
        <v>Diesel</v>
      </c>
      <c r="W831" s="3">
        <f ca="1">VLOOKUP(V831,Fuel_Rates!$A$2:$B$3,2,FALSE)</f>
        <v>95</v>
      </c>
      <c r="X831" s="3">
        <f t="shared" ca="1" si="216"/>
        <v>38.869999999999997</v>
      </c>
      <c r="Y831" s="3">
        <f t="shared" ca="1" si="217"/>
        <v>30862</v>
      </c>
      <c r="Z831" s="3" t="str">
        <f t="shared" ca="1" si="218"/>
        <v>Dec</v>
      </c>
      <c r="AA831" s="3" t="str">
        <f t="shared" ca="1" si="219"/>
        <v>Q4</v>
      </c>
      <c r="AB831" s="4" t="str">
        <f t="shared" ca="1" si="220"/>
        <v>Medium Haul</v>
      </c>
    </row>
    <row r="832" spans="1:28" x14ac:dyDescent="0.3">
      <c r="A832" s="8" t="str">
        <f t="shared" si="215"/>
        <v>S0831</v>
      </c>
      <c r="B832" s="3">
        <f t="shared" ca="1" si="204"/>
        <v>45738</v>
      </c>
      <c r="C832" s="3" t="str">
        <f ca="1">INDEX(Customers!$A$2:$A$21,RANDBETWEEN(1,20))</f>
        <v>C016</v>
      </c>
      <c r="D832" s="3" t="str">
        <f ca="1">INDEX(Routes!$A$2:$A$31,RANDBETWEEN(1,30))</f>
        <v>R027</v>
      </c>
      <c r="E832" s="3" t="str">
        <f ca="1">INDEX(Vehicles!$A$2:$A$21,RANDBETWEEN(1,20))</f>
        <v>V003</v>
      </c>
      <c r="F832" s="3" t="str">
        <f ca="1">INDEX(Drivers!$A$2:$A$31,RANDBETWEEN(1,30))</f>
        <v>D018</v>
      </c>
      <c r="G832" s="3">
        <f t="shared" ca="1" si="205"/>
        <v>9.4</v>
      </c>
      <c r="H832" s="3">
        <f t="shared" ca="1" si="206"/>
        <v>20636</v>
      </c>
      <c r="I832" s="3">
        <f t="shared" ca="1" si="207"/>
        <v>5778</v>
      </c>
      <c r="J832" s="3">
        <f t="shared" ca="1" si="208"/>
        <v>1121</v>
      </c>
      <c r="K832" s="3">
        <f t="shared" ca="1" si="209"/>
        <v>15</v>
      </c>
      <c r="L832" s="3">
        <f t="shared" ca="1" si="210"/>
        <v>21</v>
      </c>
      <c r="M832" s="3">
        <f t="shared" ca="1" si="211"/>
        <v>6</v>
      </c>
      <c r="N832" s="3" t="str">
        <f t="shared" ca="1" si="212"/>
        <v>Delayed</v>
      </c>
      <c r="O832" s="3" t="str">
        <f t="shared" ca="1" si="213"/>
        <v>High</v>
      </c>
      <c r="P832" s="3">
        <f t="shared" ca="1" si="214"/>
        <v>31.3</v>
      </c>
      <c r="Q832" s="1" t="str">
        <f ca="1">VLOOKUP(D832,Routes!$A$2:$D$31,2,FALSE)</f>
        <v>Patna</v>
      </c>
      <c r="R832" s="1" t="str">
        <f ca="1">VLOOKUP(D832,Routes!$A$2:$D$31,3,FALSE)</f>
        <v>Ranchi</v>
      </c>
      <c r="S832" s="3">
        <f ca="1">VLOOKUP(D832,Routes!$A$2:$D$31,4,FALSE)</f>
        <v>330</v>
      </c>
      <c r="T832" s="3" t="str">
        <f ca="1">VLOOKUP(E832,Vehicles!$A$2:$D$21,2,FALSE)</f>
        <v>Truck</v>
      </c>
      <c r="U832" s="3">
        <f ca="1">VLOOKUP(E832,Vehicles!$A$2:$D$21,3,FALSE)</f>
        <v>25</v>
      </c>
      <c r="V832" s="3" t="str">
        <f ca="1">VLOOKUP(E832,Vehicles!$A$2:$D$21,4,FALSE)</f>
        <v>Diesel</v>
      </c>
      <c r="W832" s="3">
        <f ca="1">VLOOKUP(V832,Fuel_Rates!$A$2:$B$3,2,FALSE)</f>
        <v>95</v>
      </c>
      <c r="X832" s="3">
        <f t="shared" ca="1" si="216"/>
        <v>62.53</v>
      </c>
      <c r="Y832" s="3">
        <f t="shared" ca="1" si="217"/>
        <v>27535</v>
      </c>
      <c r="Z832" s="3" t="str">
        <f t="shared" ca="1" si="218"/>
        <v>Mar</v>
      </c>
      <c r="AA832" s="3" t="str">
        <f t="shared" ca="1" si="219"/>
        <v>Q1</v>
      </c>
      <c r="AB832" s="4" t="str">
        <f t="shared" ca="1" si="220"/>
        <v>Medium Haul</v>
      </c>
    </row>
    <row r="833" spans="1:28" x14ac:dyDescent="0.3">
      <c r="A833" s="8" t="str">
        <f t="shared" si="215"/>
        <v>S0832</v>
      </c>
      <c r="B833" s="3">
        <f t="shared" ca="1" si="204"/>
        <v>45934</v>
      </c>
      <c r="C833" s="3" t="str">
        <f ca="1">INDEX(Customers!$A$2:$A$21,RANDBETWEEN(1,20))</f>
        <v>C011</v>
      </c>
      <c r="D833" s="3" t="str">
        <f ca="1">INDEX(Routes!$A$2:$A$31,RANDBETWEEN(1,30))</f>
        <v>R020</v>
      </c>
      <c r="E833" s="3" t="str">
        <f ca="1">INDEX(Vehicles!$A$2:$A$21,RANDBETWEEN(1,20))</f>
        <v>V020</v>
      </c>
      <c r="F833" s="3" t="str">
        <f ca="1">INDEX(Drivers!$A$2:$A$31,RANDBETWEEN(1,30))</f>
        <v>D022</v>
      </c>
      <c r="G833" s="3">
        <f t="shared" ca="1" si="205"/>
        <v>17.8</v>
      </c>
      <c r="H833" s="3">
        <f t="shared" ca="1" si="206"/>
        <v>46209</v>
      </c>
      <c r="I833" s="3">
        <f t="shared" ca="1" si="207"/>
        <v>12939</v>
      </c>
      <c r="J833" s="3">
        <f t="shared" ca="1" si="208"/>
        <v>1353</v>
      </c>
      <c r="K833" s="3">
        <f t="shared" ca="1" si="209"/>
        <v>22</v>
      </c>
      <c r="L833" s="3">
        <f t="shared" ca="1" si="210"/>
        <v>24</v>
      </c>
      <c r="M833" s="3">
        <f t="shared" ca="1" si="211"/>
        <v>2</v>
      </c>
      <c r="N833" s="3" t="str">
        <f t="shared" ca="1" si="212"/>
        <v>On Time</v>
      </c>
      <c r="O833" s="3" t="str">
        <f t="shared" ca="1" si="213"/>
        <v>High</v>
      </c>
      <c r="P833" s="3">
        <f t="shared" ca="1" si="214"/>
        <v>59.3</v>
      </c>
      <c r="Q833" s="1" t="str">
        <f ca="1">VLOOKUP(D833,Routes!$A$2:$D$31,2,FALSE)</f>
        <v>Pune</v>
      </c>
      <c r="R833" s="1" t="str">
        <f ca="1">VLOOKUP(D833,Routes!$A$2:$D$31,3,FALSE)</f>
        <v>Nagpur</v>
      </c>
      <c r="S833" s="3">
        <f ca="1">VLOOKUP(D833,Routes!$A$2:$D$31,4,FALSE)</f>
        <v>720</v>
      </c>
      <c r="T833" s="3" t="str">
        <f ca="1">VLOOKUP(E833,Vehicles!$A$2:$D$21,2,FALSE)</f>
        <v>Container</v>
      </c>
      <c r="U833" s="3">
        <f ca="1">VLOOKUP(E833,Vehicles!$A$2:$D$21,3,FALSE)</f>
        <v>28</v>
      </c>
      <c r="V833" s="3" t="str">
        <f ca="1">VLOOKUP(E833,Vehicles!$A$2:$D$21,4,FALSE)</f>
        <v>Diesel</v>
      </c>
      <c r="W833" s="3">
        <f ca="1">VLOOKUP(V833,Fuel_Rates!$A$2:$B$3,2,FALSE)</f>
        <v>95</v>
      </c>
      <c r="X833" s="3">
        <f t="shared" ca="1" si="216"/>
        <v>64.180000000000007</v>
      </c>
      <c r="Y833" s="3">
        <f t="shared" ca="1" si="217"/>
        <v>60501</v>
      </c>
      <c r="Z833" s="3" t="str">
        <f t="shared" ca="1" si="218"/>
        <v>Oct</v>
      </c>
      <c r="AA833" s="3" t="str">
        <f t="shared" ca="1" si="219"/>
        <v>Q4</v>
      </c>
      <c r="AB833" s="4" t="str">
        <f t="shared" ca="1" si="220"/>
        <v>Medium Haul</v>
      </c>
    </row>
    <row r="834" spans="1:28" x14ac:dyDescent="0.3">
      <c r="A834" s="8" t="str">
        <f t="shared" si="215"/>
        <v>S0833</v>
      </c>
      <c r="B834" s="3">
        <f t="shared" ref="B834:B897" ca="1" si="221">DATE(2025,RANDBETWEEN(1,12),RANDBETWEEN(1,28))</f>
        <v>45936</v>
      </c>
      <c r="C834" s="3" t="str">
        <f ca="1">INDEX(Customers!$A$2:$A$21,RANDBETWEEN(1,20))</f>
        <v>C018</v>
      </c>
      <c r="D834" s="3" t="str">
        <f ca="1">INDEX(Routes!$A$2:$A$31,RANDBETWEEN(1,30))</f>
        <v>R012</v>
      </c>
      <c r="E834" s="3" t="str">
        <f ca="1">INDEX(Vehicles!$A$2:$A$21,RANDBETWEEN(1,20))</f>
        <v>V007</v>
      </c>
      <c r="F834" s="3" t="str">
        <f ca="1">INDEX(Drivers!$A$2:$A$31,RANDBETWEEN(1,30))</f>
        <v>D011</v>
      </c>
      <c r="G834" s="3">
        <f t="shared" ref="G834:G897" ca="1" si="222">ROUND(RANDBETWEEN(20,300)/10,1)</f>
        <v>10.9</v>
      </c>
      <c r="H834" s="3">
        <f t="shared" ref="H834:H897" ca="1" si="223">ROUND((G834*1800)+RANDBETWEEN(3000,15000),0)</f>
        <v>29844</v>
      </c>
      <c r="I834" s="3">
        <f t="shared" ref="I834:I897" ca="1" si="224">ROUND(H834*0.28,0)</f>
        <v>8356</v>
      </c>
      <c r="J834" s="3">
        <f t="shared" ref="J834:J897" ca="1" si="225">RANDBETWEEN(500,4000)</f>
        <v>1308</v>
      </c>
      <c r="K834" s="3">
        <f t="shared" ref="K834:K897" ca="1" si="226">RANDBETWEEN(4,48)</f>
        <v>12</v>
      </c>
      <c r="L834" s="3">
        <f t="shared" ref="L834:L897" ca="1" si="227">K834+RANDBETWEEN(0,8)</f>
        <v>19</v>
      </c>
      <c r="M834" s="3">
        <f t="shared" ref="M834:M897" ca="1" si="228">L834-K834</f>
        <v>7</v>
      </c>
      <c r="N834" s="3" t="str">
        <f t="shared" ref="N834:N897" ca="1" si="229">IF(M834&lt;=2,"On Time","Delayed")</f>
        <v>Delayed</v>
      </c>
      <c r="O834" s="3" t="str">
        <f t="shared" ref="O834:O897" ca="1" si="230">CHOOSE(RANDBETWEEN(1,3),"High","Medium","Low")</f>
        <v>Medium</v>
      </c>
      <c r="P834" s="3">
        <f t="shared" ref="P834:P897" ca="1" si="231">ROUND((G834/30)*100,1)</f>
        <v>36.299999999999997</v>
      </c>
      <c r="Q834" s="1" t="str">
        <f ca="1">VLOOKUP(D834,Routes!$A$2:$D$31,2,FALSE)</f>
        <v>Chennai</v>
      </c>
      <c r="R834" s="1" t="str">
        <f ca="1">VLOOKUP(D834,Routes!$A$2:$D$31,3,FALSE)</f>
        <v>Coimbatore</v>
      </c>
      <c r="S834" s="3">
        <f ca="1">VLOOKUP(D834,Routes!$A$2:$D$31,4,FALSE)</f>
        <v>500</v>
      </c>
      <c r="T834" s="3" t="str">
        <f ca="1">VLOOKUP(E834,Vehicles!$A$2:$D$21,2,FALSE)</f>
        <v>Container</v>
      </c>
      <c r="U834" s="3">
        <f ca="1">VLOOKUP(E834,Vehicles!$A$2:$D$21,3,FALSE)</f>
        <v>20</v>
      </c>
      <c r="V834" s="3" t="str">
        <f ca="1">VLOOKUP(E834,Vehicles!$A$2:$D$21,4,FALSE)</f>
        <v>Diesel</v>
      </c>
      <c r="W834" s="3">
        <f ca="1">VLOOKUP(V834,Fuel_Rates!$A$2:$B$3,2,FALSE)</f>
        <v>95</v>
      </c>
      <c r="X834" s="3">
        <f t="shared" ca="1" si="216"/>
        <v>59.69</v>
      </c>
      <c r="Y834" s="3">
        <f t="shared" ca="1" si="217"/>
        <v>39508</v>
      </c>
      <c r="Z834" s="3" t="str">
        <f t="shared" ca="1" si="218"/>
        <v>Oct</v>
      </c>
      <c r="AA834" s="3" t="str">
        <f t="shared" ca="1" si="219"/>
        <v>Q4</v>
      </c>
      <c r="AB834" s="4" t="str">
        <f t="shared" ca="1" si="220"/>
        <v>Medium Haul</v>
      </c>
    </row>
    <row r="835" spans="1:28" x14ac:dyDescent="0.3">
      <c r="A835" s="8" t="str">
        <f t="shared" ref="A835:A898" si="232">"S"&amp;TEXT(ROW()-1,"0000")</f>
        <v>S0834</v>
      </c>
      <c r="B835" s="3">
        <f t="shared" ca="1" si="221"/>
        <v>45860</v>
      </c>
      <c r="C835" s="3" t="str">
        <f ca="1">INDEX(Customers!$A$2:$A$21,RANDBETWEEN(1,20))</f>
        <v>C013</v>
      </c>
      <c r="D835" s="3" t="str">
        <f ca="1">INDEX(Routes!$A$2:$A$31,RANDBETWEEN(1,30))</f>
        <v>R001</v>
      </c>
      <c r="E835" s="3" t="str">
        <f ca="1">INDEX(Vehicles!$A$2:$A$21,RANDBETWEEN(1,20))</f>
        <v>V002</v>
      </c>
      <c r="F835" s="3" t="str">
        <f ca="1">INDEX(Drivers!$A$2:$A$31,RANDBETWEEN(1,30))</f>
        <v>D019</v>
      </c>
      <c r="G835" s="3">
        <f t="shared" ca="1" si="222"/>
        <v>8.4</v>
      </c>
      <c r="H835" s="3">
        <f t="shared" ca="1" si="223"/>
        <v>28771</v>
      </c>
      <c r="I835" s="3">
        <f t="shared" ca="1" si="224"/>
        <v>8056</v>
      </c>
      <c r="J835" s="3">
        <f t="shared" ca="1" si="225"/>
        <v>3451</v>
      </c>
      <c r="K835" s="3">
        <f t="shared" ca="1" si="226"/>
        <v>27</v>
      </c>
      <c r="L835" s="3">
        <f t="shared" ca="1" si="227"/>
        <v>35</v>
      </c>
      <c r="M835" s="3">
        <f t="shared" ca="1" si="228"/>
        <v>8</v>
      </c>
      <c r="N835" s="3" t="str">
        <f t="shared" ca="1" si="229"/>
        <v>Delayed</v>
      </c>
      <c r="O835" s="3" t="str">
        <f t="shared" ca="1" si="230"/>
        <v>High</v>
      </c>
      <c r="P835" s="3">
        <f t="shared" ca="1" si="231"/>
        <v>28</v>
      </c>
      <c r="Q835" s="1" t="str">
        <f ca="1">VLOOKUP(D835,Routes!$A$2:$D$31,2,FALSE)</f>
        <v>Mumbai</v>
      </c>
      <c r="R835" s="1" t="str">
        <f ca="1">VLOOKUP(D835,Routes!$A$2:$D$31,3,FALSE)</f>
        <v>Pune</v>
      </c>
      <c r="S835" s="3">
        <f ca="1">VLOOKUP(D835,Routes!$A$2:$D$31,4,FALSE)</f>
        <v>150</v>
      </c>
      <c r="T835" s="3" t="str">
        <f ca="1">VLOOKUP(E835,Vehicles!$A$2:$D$21,2,FALSE)</f>
        <v>Truck</v>
      </c>
      <c r="U835" s="3">
        <f ca="1">VLOOKUP(E835,Vehicles!$A$2:$D$21,3,FALSE)</f>
        <v>20</v>
      </c>
      <c r="V835" s="3" t="str">
        <f ca="1">VLOOKUP(E835,Vehicles!$A$2:$D$21,4,FALSE)</f>
        <v>Diesel</v>
      </c>
      <c r="W835" s="3">
        <f ca="1">VLOOKUP(V835,Fuel_Rates!$A$2:$B$3,2,FALSE)</f>
        <v>95</v>
      </c>
      <c r="X835" s="3">
        <f t="shared" ref="X835:X898" ca="1" si="233">ROUND(H835/S835,2)</f>
        <v>191.81</v>
      </c>
      <c r="Y835" s="3">
        <f t="shared" ref="Y835:Y898" ca="1" si="234">H835+I835+J835</f>
        <v>40278</v>
      </c>
      <c r="Z835" s="3" t="str">
        <f t="shared" ref="Z835:Z898" ca="1" si="235">TEXT(B835,"mmm")</f>
        <v>Jul</v>
      </c>
      <c r="AA835" s="3" t="str">
        <f t="shared" ref="AA835:AA898" ca="1" si="236">"Q"&amp;ROUNDUP(MONTH(B835)/3,0)</f>
        <v>Q3</v>
      </c>
      <c r="AB835" s="4" t="str">
        <f t="shared" ref="AB835:AB898" ca="1" si="237">IF(S835&lt;300,"Short Haul",IF(S835&lt;800,"Medium Haul","Long Haul"))</f>
        <v>Short Haul</v>
      </c>
    </row>
    <row r="836" spans="1:28" x14ac:dyDescent="0.3">
      <c r="A836" s="8" t="str">
        <f t="shared" si="232"/>
        <v>S0835</v>
      </c>
      <c r="B836" s="3">
        <f t="shared" ca="1" si="221"/>
        <v>45852</v>
      </c>
      <c r="C836" s="3" t="str">
        <f ca="1">INDEX(Customers!$A$2:$A$21,RANDBETWEEN(1,20))</f>
        <v>C019</v>
      </c>
      <c r="D836" s="3" t="str">
        <f ca="1">INDEX(Routes!$A$2:$A$31,RANDBETWEEN(1,30))</f>
        <v>R025</v>
      </c>
      <c r="E836" s="3" t="str">
        <f ca="1">INDEX(Vehicles!$A$2:$A$21,RANDBETWEEN(1,20))</f>
        <v>V003</v>
      </c>
      <c r="F836" s="3" t="str">
        <f ca="1">INDEX(Drivers!$A$2:$A$31,RANDBETWEEN(1,30))</f>
        <v>D001</v>
      </c>
      <c r="G836" s="3">
        <f t="shared" ca="1" si="222"/>
        <v>9.3000000000000007</v>
      </c>
      <c r="H836" s="3">
        <f t="shared" ca="1" si="223"/>
        <v>27336</v>
      </c>
      <c r="I836" s="3">
        <f t="shared" ca="1" si="224"/>
        <v>7654</v>
      </c>
      <c r="J836" s="3">
        <f t="shared" ca="1" si="225"/>
        <v>1161</v>
      </c>
      <c r="K836" s="3">
        <f t="shared" ca="1" si="226"/>
        <v>33</v>
      </c>
      <c r="L836" s="3">
        <f t="shared" ca="1" si="227"/>
        <v>37</v>
      </c>
      <c r="M836" s="3">
        <f t="shared" ca="1" si="228"/>
        <v>4</v>
      </c>
      <c r="N836" s="3" t="str">
        <f t="shared" ca="1" si="229"/>
        <v>Delayed</v>
      </c>
      <c r="O836" s="3" t="str">
        <f t="shared" ca="1" si="230"/>
        <v>Medium</v>
      </c>
      <c r="P836" s="3">
        <f t="shared" ca="1" si="231"/>
        <v>31</v>
      </c>
      <c r="Q836" s="1" t="str">
        <f ca="1">VLOOKUP(D836,Routes!$A$2:$D$31,2,FALSE)</f>
        <v>Visakhapatnam</v>
      </c>
      <c r="R836" s="1" t="str">
        <f ca="1">VLOOKUP(D836,Routes!$A$2:$D$31,3,FALSE)</f>
        <v>Hyderabad</v>
      </c>
      <c r="S836" s="3">
        <f ca="1">VLOOKUP(D836,Routes!$A$2:$D$31,4,FALSE)</f>
        <v>620</v>
      </c>
      <c r="T836" s="3" t="str">
        <f ca="1">VLOOKUP(E836,Vehicles!$A$2:$D$21,2,FALSE)</f>
        <v>Truck</v>
      </c>
      <c r="U836" s="3">
        <f ca="1">VLOOKUP(E836,Vehicles!$A$2:$D$21,3,FALSE)</f>
        <v>25</v>
      </c>
      <c r="V836" s="3" t="str">
        <f ca="1">VLOOKUP(E836,Vehicles!$A$2:$D$21,4,FALSE)</f>
        <v>Diesel</v>
      </c>
      <c r="W836" s="3">
        <f ca="1">VLOOKUP(V836,Fuel_Rates!$A$2:$B$3,2,FALSE)</f>
        <v>95</v>
      </c>
      <c r="X836" s="3">
        <f t="shared" ca="1" si="233"/>
        <v>44.09</v>
      </c>
      <c r="Y836" s="3">
        <f t="shared" ca="1" si="234"/>
        <v>36151</v>
      </c>
      <c r="Z836" s="3" t="str">
        <f t="shared" ca="1" si="235"/>
        <v>Jul</v>
      </c>
      <c r="AA836" s="3" t="str">
        <f t="shared" ca="1" si="236"/>
        <v>Q3</v>
      </c>
      <c r="AB836" s="4" t="str">
        <f t="shared" ca="1" si="237"/>
        <v>Medium Haul</v>
      </c>
    </row>
    <row r="837" spans="1:28" x14ac:dyDescent="0.3">
      <c r="A837" s="8" t="str">
        <f t="shared" si="232"/>
        <v>S0836</v>
      </c>
      <c r="B837" s="3">
        <f t="shared" ca="1" si="221"/>
        <v>45795</v>
      </c>
      <c r="C837" s="3" t="str">
        <f ca="1">INDEX(Customers!$A$2:$A$21,RANDBETWEEN(1,20))</f>
        <v>C019</v>
      </c>
      <c r="D837" s="3" t="str">
        <f ca="1">INDEX(Routes!$A$2:$A$31,RANDBETWEEN(1,30))</f>
        <v>R027</v>
      </c>
      <c r="E837" s="3" t="str">
        <f ca="1">INDEX(Vehicles!$A$2:$A$21,RANDBETWEEN(1,20))</f>
        <v>V004</v>
      </c>
      <c r="F837" s="3" t="str">
        <f ca="1">INDEX(Drivers!$A$2:$A$31,RANDBETWEEN(1,30))</f>
        <v>D016</v>
      </c>
      <c r="G837" s="3">
        <f t="shared" ca="1" si="222"/>
        <v>11.8</v>
      </c>
      <c r="H837" s="3">
        <f t="shared" ca="1" si="223"/>
        <v>34787</v>
      </c>
      <c r="I837" s="3">
        <f t="shared" ca="1" si="224"/>
        <v>9740</v>
      </c>
      <c r="J837" s="3">
        <f t="shared" ca="1" si="225"/>
        <v>3743</v>
      </c>
      <c r="K837" s="3">
        <f t="shared" ca="1" si="226"/>
        <v>35</v>
      </c>
      <c r="L837" s="3">
        <f t="shared" ca="1" si="227"/>
        <v>39</v>
      </c>
      <c r="M837" s="3">
        <f t="shared" ca="1" si="228"/>
        <v>4</v>
      </c>
      <c r="N837" s="3" t="str">
        <f t="shared" ca="1" si="229"/>
        <v>Delayed</v>
      </c>
      <c r="O837" s="3" t="str">
        <f t="shared" ca="1" si="230"/>
        <v>High</v>
      </c>
      <c r="P837" s="3">
        <f t="shared" ca="1" si="231"/>
        <v>39.299999999999997</v>
      </c>
      <c r="Q837" s="1" t="str">
        <f ca="1">VLOOKUP(D837,Routes!$A$2:$D$31,2,FALSE)</f>
        <v>Patna</v>
      </c>
      <c r="R837" s="1" t="str">
        <f ca="1">VLOOKUP(D837,Routes!$A$2:$D$31,3,FALSE)</f>
        <v>Ranchi</v>
      </c>
      <c r="S837" s="3">
        <f ca="1">VLOOKUP(D837,Routes!$A$2:$D$31,4,FALSE)</f>
        <v>330</v>
      </c>
      <c r="T837" s="3" t="str">
        <f ca="1">VLOOKUP(E837,Vehicles!$A$2:$D$21,2,FALSE)</f>
        <v>Trailer</v>
      </c>
      <c r="U837" s="3">
        <f ca="1">VLOOKUP(E837,Vehicles!$A$2:$D$21,3,FALSE)</f>
        <v>28</v>
      </c>
      <c r="V837" s="3" t="str">
        <f ca="1">VLOOKUP(E837,Vehicles!$A$2:$D$21,4,FALSE)</f>
        <v>Diesel</v>
      </c>
      <c r="W837" s="3">
        <f ca="1">VLOOKUP(V837,Fuel_Rates!$A$2:$B$3,2,FALSE)</f>
        <v>95</v>
      </c>
      <c r="X837" s="3">
        <f t="shared" ca="1" si="233"/>
        <v>105.42</v>
      </c>
      <c r="Y837" s="3">
        <f t="shared" ca="1" si="234"/>
        <v>48270</v>
      </c>
      <c r="Z837" s="3" t="str">
        <f t="shared" ca="1" si="235"/>
        <v>May</v>
      </c>
      <c r="AA837" s="3" t="str">
        <f t="shared" ca="1" si="236"/>
        <v>Q2</v>
      </c>
      <c r="AB837" s="4" t="str">
        <f t="shared" ca="1" si="237"/>
        <v>Medium Haul</v>
      </c>
    </row>
    <row r="838" spans="1:28" x14ac:dyDescent="0.3">
      <c r="A838" s="8" t="str">
        <f t="shared" si="232"/>
        <v>S0837</v>
      </c>
      <c r="B838" s="3">
        <f t="shared" ca="1" si="221"/>
        <v>45904</v>
      </c>
      <c r="C838" s="3" t="str">
        <f ca="1">INDEX(Customers!$A$2:$A$21,RANDBETWEEN(1,20))</f>
        <v>C014</v>
      </c>
      <c r="D838" s="3" t="str">
        <f ca="1">INDEX(Routes!$A$2:$A$31,RANDBETWEEN(1,30))</f>
        <v>R028</v>
      </c>
      <c r="E838" s="3" t="str">
        <f ca="1">INDEX(Vehicles!$A$2:$A$21,RANDBETWEEN(1,20))</f>
        <v>V005</v>
      </c>
      <c r="F838" s="3" t="str">
        <f ca="1">INDEX(Drivers!$A$2:$A$31,RANDBETWEEN(1,30))</f>
        <v>D015</v>
      </c>
      <c r="G838" s="3">
        <f t="shared" ca="1" si="222"/>
        <v>27.2</v>
      </c>
      <c r="H838" s="3">
        <f t="shared" ca="1" si="223"/>
        <v>55553</v>
      </c>
      <c r="I838" s="3">
        <f t="shared" ca="1" si="224"/>
        <v>15555</v>
      </c>
      <c r="J838" s="3">
        <f t="shared" ca="1" si="225"/>
        <v>2127</v>
      </c>
      <c r="K838" s="3">
        <f t="shared" ca="1" si="226"/>
        <v>17</v>
      </c>
      <c r="L838" s="3">
        <f t="shared" ca="1" si="227"/>
        <v>24</v>
      </c>
      <c r="M838" s="3">
        <f t="shared" ca="1" si="228"/>
        <v>7</v>
      </c>
      <c r="N838" s="3" t="str">
        <f t="shared" ca="1" si="229"/>
        <v>Delayed</v>
      </c>
      <c r="O838" s="3" t="str">
        <f t="shared" ca="1" si="230"/>
        <v>Medium</v>
      </c>
      <c r="P838" s="3">
        <f t="shared" ca="1" si="231"/>
        <v>90.7</v>
      </c>
      <c r="Q838" s="1" t="str">
        <f ca="1">VLOOKUP(D838,Routes!$A$2:$D$31,2,FALSE)</f>
        <v>Indore</v>
      </c>
      <c r="R838" s="1" t="str">
        <f ca="1">VLOOKUP(D838,Routes!$A$2:$D$31,3,FALSE)</f>
        <v>Mumbai</v>
      </c>
      <c r="S838" s="3">
        <f ca="1">VLOOKUP(D838,Routes!$A$2:$D$31,4,FALSE)</f>
        <v>590</v>
      </c>
      <c r="T838" s="3" t="str">
        <f ca="1">VLOOKUP(E838,Vehicles!$A$2:$D$21,2,FALSE)</f>
        <v>Trailer</v>
      </c>
      <c r="U838" s="3">
        <f ca="1">VLOOKUP(E838,Vehicles!$A$2:$D$21,3,FALSE)</f>
        <v>32</v>
      </c>
      <c r="V838" s="3" t="str">
        <f ca="1">VLOOKUP(E838,Vehicles!$A$2:$D$21,4,FALSE)</f>
        <v>Diesel</v>
      </c>
      <c r="W838" s="3">
        <f ca="1">VLOOKUP(V838,Fuel_Rates!$A$2:$B$3,2,FALSE)</f>
        <v>95</v>
      </c>
      <c r="X838" s="3">
        <f t="shared" ca="1" si="233"/>
        <v>94.16</v>
      </c>
      <c r="Y838" s="3">
        <f t="shared" ca="1" si="234"/>
        <v>73235</v>
      </c>
      <c r="Z838" s="3" t="str">
        <f t="shared" ca="1" si="235"/>
        <v>Sep</v>
      </c>
      <c r="AA838" s="3" t="str">
        <f t="shared" ca="1" si="236"/>
        <v>Q3</v>
      </c>
      <c r="AB838" s="4" t="str">
        <f t="shared" ca="1" si="237"/>
        <v>Medium Haul</v>
      </c>
    </row>
    <row r="839" spans="1:28" x14ac:dyDescent="0.3">
      <c r="A839" s="8" t="str">
        <f t="shared" si="232"/>
        <v>S0838</v>
      </c>
      <c r="B839" s="3">
        <f t="shared" ca="1" si="221"/>
        <v>45696</v>
      </c>
      <c r="C839" s="3" t="str">
        <f ca="1">INDEX(Customers!$A$2:$A$21,RANDBETWEEN(1,20))</f>
        <v>C003</v>
      </c>
      <c r="D839" s="3" t="str">
        <f ca="1">INDEX(Routes!$A$2:$A$31,RANDBETWEEN(1,30))</f>
        <v>R009</v>
      </c>
      <c r="E839" s="3" t="str">
        <f ca="1">INDEX(Vehicles!$A$2:$A$21,RANDBETWEEN(1,20))</f>
        <v>V012</v>
      </c>
      <c r="F839" s="3" t="str">
        <f ca="1">INDEX(Drivers!$A$2:$A$31,RANDBETWEEN(1,30))</f>
        <v>D026</v>
      </c>
      <c r="G839" s="3">
        <f t="shared" ca="1" si="222"/>
        <v>2.7</v>
      </c>
      <c r="H839" s="3">
        <f t="shared" ca="1" si="223"/>
        <v>14868</v>
      </c>
      <c r="I839" s="3">
        <f t="shared" ca="1" si="224"/>
        <v>4163</v>
      </c>
      <c r="J839" s="3">
        <f t="shared" ca="1" si="225"/>
        <v>1220</v>
      </c>
      <c r="K839" s="3">
        <f t="shared" ca="1" si="226"/>
        <v>48</v>
      </c>
      <c r="L839" s="3">
        <f t="shared" ca="1" si="227"/>
        <v>53</v>
      </c>
      <c r="M839" s="3">
        <f t="shared" ca="1" si="228"/>
        <v>5</v>
      </c>
      <c r="N839" s="3" t="str">
        <f t="shared" ca="1" si="229"/>
        <v>Delayed</v>
      </c>
      <c r="O839" s="3" t="str">
        <f t="shared" ca="1" si="230"/>
        <v>Low</v>
      </c>
      <c r="P839" s="3">
        <f t="shared" ca="1" si="231"/>
        <v>9</v>
      </c>
      <c r="Q839" s="1" t="str">
        <f ca="1">VLOOKUP(D839,Routes!$A$2:$D$31,2,FALSE)</f>
        <v>Bengaluru</v>
      </c>
      <c r="R839" s="1" t="str">
        <f ca="1">VLOOKUP(D839,Routes!$A$2:$D$31,3,FALSE)</f>
        <v>Chennai</v>
      </c>
      <c r="S839" s="3">
        <f ca="1">VLOOKUP(D839,Routes!$A$2:$D$31,4,FALSE)</f>
        <v>350</v>
      </c>
      <c r="T839" s="3" t="str">
        <f ca="1">VLOOKUP(E839,Vehicles!$A$2:$D$21,2,FALSE)</f>
        <v>Truck</v>
      </c>
      <c r="U839" s="3">
        <f ca="1">VLOOKUP(E839,Vehicles!$A$2:$D$21,3,FALSE)</f>
        <v>20</v>
      </c>
      <c r="V839" s="3" t="str">
        <f ca="1">VLOOKUP(E839,Vehicles!$A$2:$D$21,4,FALSE)</f>
        <v>CNG</v>
      </c>
      <c r="W839" s="3">
        <f ca="1">VLOOKUP(V839,Fuel_Rates!$A$2:$B$3,2,FALSE)</f>
        <v>78</v>
      </c>
      <c r="X839" s="3">
        <f t="shared" ca="1" si="233"/>
        <v>42.48</v>
      </c>
      <c r="Y839" s="3">
        <f t="shared" ca="1" si="234"/>
        <v>20251</v>
      </c>
      <c r="Z839" s="3" t="str">
        <f t="shared" ca="1" si="235"/>
        <v>Feb</v>
      </c>
      <c r="AA839" s="3" t="str">
        <f t="shared" ca="1" si="236"/>
        <v>Q1</v>
      </c>
      <c r="AB839" s="4" t="str">
        <f t="shared" ca="1" si="237"/>
        <v>Medium Haul</v>
      </c>
    </row>
    <row r="840" spans="1:28" x14ac:dyDescent="0.3">
      <c r="A840" s="8" t="str">
        <f t="shared" si="232"/>
        <v>S0839</v>
      </c>
      <c r="B840" s="3">
        <f t="shared" ca="1" si="221"/>
        <v>45711</v>
      </c>
      <c r="C840" s="3" t="str">
        <f ca="1">INDEX(Customers!$A$2:$A$21,RANDBETWEEN(1,20))</f>
        <v>C007</v>
      </c>
      <c r="D840" s="3" t="str">
        <f ca="1">INDEX(Routes!$A$2:$A$31,RANDBETWEEN(1,30))</f>
        <v>R011</v>
      </c>
      <c r="E840" s="3" t="str">
        <f ca="1">INDEX(Vehicles!$A$2:$A$21,RANDBETWEEN(1,20))</f>
        <v>V001</v>
      </c>
      <c r="F840" s="3" t="str">
        <f ca="1">INDEX(Drivers!$A$2:$A$31,RANDBETWEEN(1,30))</f>
        <v>D015</v>
      </c>
      <c r="G840" s="3">
        <f t="shared" ca="1" si="222"/>
        <v>27.9</v>
      </c>
      <c r="H840" s="3">
        <f t="shared" ca="1" si="223"/>
        <v>58948</v>
      </c>
      <c r="I840" s="3">
        <f t="shared" ca="1" si="224"/>
        <v>16505</v>
      </c>
      <c r="J840" s="3">
        <f t="shared" ca="1" si="225"/>
        <v>2375</v>
      </c>
      <c r="K840" s="3">
        <f t="shared" ca="1" si="226"/>
        <v>12</v>
      </c>
      <c r="L840" s="3">
        <f t="shared" ca="1" si="227"/>
        <v>19</v>
      </c>
      <c r="M840" s="3">
        <f t="shared" ca="1" si="228"/>
        <v>7</v>
      </c>
      <c r="N840" s="3" t="str">
        <f t="shared" ca="1" si="229"/>
        <v>Delayed</v>
      </c>
      <c r="O840" s="3" t="str">
        <f t="shared" ca="1" si="230"/>
        <v>Medium</v>
      </c>
      <c r="P840" s="3">
        <f t="shared" ca="1" si="231"/>
        <v>93</v>
      </c>
      <c r="Q840" s="1" t="str">
        <f ca="1">VLOOKUP(D840,Routes!$A$2:$D$31,2,FALSE)</f>
        <v>Bengaluru</v>
      </c>
      <c r="R840" s="1" t="str">
        <f ca="1">VLOOKUP(D840,Routes!$A$2:$D$31,3,FALSE)</f>
        <v>Kochi</v>
      </c>
      <c r="S840" s="3">
        <f ca="1">VLOOKUP(D840,Routes!$A$2:$D$31,4,FALSE)</f>
        <v>550</v>
      </c>
      <c r="T840" s="3" t="str">
        <f ca="1">VLOOKUP(E840,Vehicles!$A$2:$D$21,2,FALSE)</f>
        <v>Truck</v>
      </c>
      <c r="U840" s="3">
        <f ca="1">VLOOKUP(E840,Vehicles!$A$2:$D$21,3,FALSE)</f>
        <v>16</v>
      </c>
      <c r="V840" s="3" t="str">
        <f ca="1">VLOOKUP(E840,Vehicles!$A$2:$D$21,4,FALSE)</f>
        <v>Diesel</v>
      </c>
      <c r="W840" s="3">
        <f ca="1">VLOOKUP(V840,Fuel_Rates!$A$2:$B$3,2,FALSE)</f>
        <v>95</v>
      </c>
      <c r="X840" s="3">
        <f t="shared" ca="1" si="233"/>
        <v>107.18</v>
      </c>
      <c r="Y840" s="3">
        <f t="shared" ca="1" si="234"/>
        <v>77828</v>
      </c>
      <c r="Z840" s="3" t="str">
        <f t="shared" ca="1" si="235"/>
        <v>Feb</v>
      </c>
      <c r="AA840" s="3" t="str">
        <f t="shared" ca="1" si="236"/>
        <v>Q1</v>
      </c>
      <c r="AB840" s="4" t="str">
        <f t="shared" ca="1" si="237"/>
        <v>Medium Haul</v>
      </c>
    </row>
    <row r="841" spans="1:28" x14ac:dyDescent="0.3">
      <c r="A841" s="8" t="str">
        <f t="shared" si="232"/>
        <v>S0840</v>
      </c>
      <c r="B841" s="3">
        <f t="shared" ca="1" si="221"/>
        <v>45749</v>
      </c>
      <c r="C841" s="3" t="str">
        <f ca="1">INDEX(Customers!$A$2:$A$21,RANDBETWEEN(1,20))</f>
        <v>C018</v>
      </c>
      <c r="D841" s="3" t="str">
        <f ca="1">INDEX(Routes!$A$2:$A$31,RANDBETWEEN(1,30))</f>
        <v>R010</v>
      </c>
      <c r="E841" s="3" t="str">
        <f ca="1">INDEX(Vehicles!$A$2:$A$21,RANDBETWEEN(1,20))</f>
        <v>V011</v>
      </c>
      <c r="F841" s="3" t="str">
        <f ca="1">INDEX(Drivers!$A$2:$A$31,RANDBETWEEN(1,30))</f>
        <v>D010</v>
      </c>
      <c r="G841" s="3">
        <f t="shared" ca="1" si="222"/>
        <v>14.5</v>
      </c>
      <c r="H841" s="3">
        <f t="shared" ca="1" si="223"/>
        <v>33735</v>
      </c>
      <c r="I841" s="3">
        <f t="shared" ca="1" si="224"/>
        <v>9446</v>
      </c>
      <c r="J841" s="3">
        <f t="shared" ca="1" si="225"/>
        <v>2258</v>
      </c>
      <c r="K841" s="3">
        <f t="shared" ca="1" si="226"/>
        <v>35</v>
      </c>
      <c r="L841" s="3">
        <f t="shared" ca="1" si="227"/>
        <v>43</v>
      </c>
      <c r="M841" s="3">
        <f t="shared" ca="1" si="228"/>
        <v>8</v>
      </c>
      <c r="N841" s="3" t="str">
        <f t="shared" ca="1" si="229"/>
        <v>Delayed</v>
      </c>
      <c r="O841" s="3" t="str">
        <f t="shared" ca="1" si="230"/>
        <v>Medium</v>
      </c>
      <c r="P841" s="3">
        <f t="shared" ca="1" si="231"/>
        <v>48.3</v>
      </c>
      <c r="Q841" s="1" t="str">
        <f ca="1">VLOOKUP(D841,Routes!$A$2:$D$31,2,FALSE)</f>
        <v>Bengaluru</v>
      </c>
      <c r="R841" s="1" t="str">
        <f ca="1">VLOOKUP(D841,Routes!$A$2:$D$31,3,FALSE)</f>
        <v>Hyderabad</v>
      </c>
      <c r="S841" s="3">
        <f ca="1">VLOOKUP(D841,Routes!$A$2:$D$31,4,FALSE)</f>
        <v>570</v>
      </c>
      <c r="T841" s="3" t="str">
        <f ca="1">VLOOKUP(E841,Vehicles!$A$2:$D$21,2,FALSE)</f>
        <v>Truck</v>
      </c>
      <c r="U841" s="3">
        <f ca="1">VLOOKUP(E841,Vehicles!$A$2:$D$21,3,FALSE)</f>
        <v>18</v>
      </c>
      <c r="V841" s="3" t="str">
        <f ca="1">VLOOKUP(E841,Vehicles!$A$2:$D$21,4,FALSE)</f>
        <v>CNG</v>
      </c>
      <c r="W841" s="3">
        <f ca="1">VLOOKUP(V841,Fuel_Rates!$A$2:$B$3,2,FALSE)</f>
        <v>78</v>
      </c>
      <c r="X841" s="3">
        <f t="shared" ca="1" si="233"/>
        <v>59.18</v>
      </c>
      <c r="Y841" s="3">
        <f t="shared" ca="1" si="234"/>
        <v>45439</v>
      </c>
      <c r="Z841" s="3" t="str">
        <f t="shared" ca="1" si="235"/>
        <v>Apr</v>
      </c>
      <c r="AA841" s="3" t="str">
        <f t="shared" ca="1" si="236"/>
        <v>Q2</v>
      </c>
      <c r="AB841" s="4" t="str">
        <f t="shared" ca="1" si="237"/>
        <v>Medium Haul</v>
      </c>
    </row>
    <row r="842" spans="1:28" x14ac:dyDescent="0.3">
      <c r="A842" s="8" t="str">
        <f t="shared" si="232"/>
        <v>S0841</v>
      </c>
      <c r="B842" s="3">
        <f t="shared" ca="1" si="221"/>
        <v>45897</v>
      </c>
      <c r="C842" s="3" t="str">
        <f ca="1">INDEX(Customers!$A$2:$A$21,RANDBETWEEN(1,20))</f>
        <v>C005</v>
      </c>
      <c r="D842" s="3" t="str">
        <f ca="1">INDEX(Routes!$A$2:$A$31,RANDBETWEEN(1,30))</f>
        <v>R007</v>
      </c>
      <c r="E842" s="3" t="str">
        <f ca="1">INDEX(Vehicles!$A$2:$A$21,RANDBETWEEN(1,20))</f>
        <v>V013</v>
      </c>
      <c r="F842" s="3" t="str">
        <f ca="1">INDEX(Drivers!$A$2:$A$31,RANDBETWEEN(1,30))</f>
        <v>D027</v>
      </c>
      <c r="G842" s="3">
        <f t="shared" ca="1" si="222"/>
        <v>16.399999999999999</v>
      </c>
      <c r="H842" s="3">
        <f t="shared" ca="1" si="223"/>
        <v>35222</v>
      </c>
      <c r="I842" s="3">
        <f t="shared" ca="1" si="224"/>
        <v>9862</v>
      </c>
      <c r="J842" s="3">
        <f t="shared" ca="1" si="225"/>
        <v>1831</v>
      </c>
      <c r="K842" s="3">
        <f t="shared" ca="1" si="226"/>
        <v>24</v>
      </c>
      <c r="L842" s="3">
        <f t="shared" ca="1" si="227"/>
        <v>31</v>
      </c>
      <c r="M842" s="3">
        <f t="shared" ca="1" si="228"/>
        <v>7</v>
      </c>
      <c r="N842" s="3" t="str">
        <f t="shared" ca="1" si="229"/>
        <v>Delayed</v>
      </c>
      <c r="O842" s="3" t="str">
        <f t="shared" ca="1" si="230"/>
        <v>Medium</v>
      </c>
      <c r="P842" s="3">
        <f t="shared" ca="1" si="231"/>
        <v>54.7</v>
      </c>
      <c r="Q842" s="1" t="str">
        <f ca="1">VLOOKUP(D842,Routes!$A$2:$D$31,2,FALSE)</f>
        <v>Delhi</v>
      </c>
      <c r="R842" s="1" t="str">
        <f ca="1">VLOOKUP(D842,Routes!$A$2:$D$31,3,FALSE)</f>
        <v>Chandigarh</v>
      </c>
      <c r="S842" s="3">
        <f ca="1">VLOOKUP(D842,Routes!$A$2:$D$31,4,FALSE)</f>
        <v>250</v>
      </c>
      <c r="T842" s="3" t="str">
        <f ca="1">VLOOKUP(E842,Vehicles!$A$2:$D$21,2,FALSE)</f>
        <v>LCV</v>
      </c>
      <c r="U842" s="3">
        <f ca="1">VLOOKUP(E842,Vehicles!$A$2:$D$21,3,FALSE)</f>
        <v>4</v>
      </c>
      <c r="V842" s="3" t="str">
        <f ca="1">VLOOKUP(E842,Vehicles!$A$2:$D$21,4,FALSE)</f>
        <v>CNG</v>
      </c>
      <c r="W842" s="3">
        <f ca="1">VLOOKUP(V842,Fuel_Rates!$A$2:$B$3,2,FALSE)</f>
        <v>78</v>
      </c>
      <c r="X842" s="3">
        <f t="shared" ca="1" si="233"/>
        <v>140.88999999999999</v>
      </c>
      <c r="Y842" s="3">
        <f t="shared" ca="1" si="234"/>
        <v>46915</v>
      </c>
      <c r="Z842" s="3" t="str">
        <f t="shared" ca="1" si="235"/>
        <v>Aug</v>
      </c>
      <c r="AA842" s="3" t="str">
        <f t="shared" ca="1" si="236"/>
        <v>Q3</v>
      </c>
      <c r="AB842" s="4" t="str">
        <f t="shared" ca="1" si="237"/>
        <v>Short Haul</v>
      </c>
    </row>
    <row r="843" spans="1:28" x14ac:dyDescent="0.3">
      <c r="A843" s="8" t="str">
        <f t="shared" si="232"/>
        <v>S0842</v>
      </c>
      <c r="B843" s="3">
        <f t="shared" ca="1" si="221"/>
        <v>45987</v>
      </c>
      <c r="C843" s="3" t="str">
        <f ca="1">INDEX(Customers!$A$2:$A$21,RANDBETWEEN(1,20))</f>
        <v>C013</v>
      </c>
      <c r="D843" s="3" t="str">
        <f ca="1">INDEX(Routes!$A$2:$A$31,RANDBETWEEN(1,30))</f>
        <v>R030</v>
      </c>
      <c r="E843" s="3" t="str">
        <f ca="1">INDEX(Vehicles!$A$2:$A$21,RANDBETWEEN(1,20))</f>
        <v>V014</v>
      </c>
      <c r="F843" s="3" t="str">
        <f ca="1">INDEX(Drivers!$A$2:$A$31,RANDBETWEEN(1,30))</f>
        <v>D002</v>
      </c>
      <c r="G843" s="3">
        <f t="shared" ca="1" si="222"/>
        <v>29.5</v>
      </c>
      <c r="H843" s="3">
        <f t="shared" ca="1" si="223"/>
        <v>61083</v>
      </c>
      <c r="I843" s="3">
        <f t="shared" ca="1" si="224"/>
        <v>17103</v>
      </c>
      <c r="J843" s="3">
        <f t="shared" ca="1" si="225"/>
        <v>3237</v>
      </c>
      <c r="K843" s="3">
        <f t="shared" ca="1" si="226"/>
        <v>15</v>
      </c>
      <c r="L843" s="3">
        <f t="shared" ca="1" si="227"/>
        <v>22</v>
      </c>
      <c r="M843" s="3">
        <f t="shared" ca="1" si="228"/>
        <v>7</v>
      </c>
      <c r="N843" s="3" t="str">
        <f t="shared" ca="1" si="229"/>
        <v>Delayed</v>
      </c>
      <c r="O843" s="3" t="str">
        <f t="shared" ca="1" si="230"/>
        <v>High</v>
      </c>
      <c r="P843" s="3">
        <f t="shared" ca="1" si="231"/>
        <v>98.3</v>
      </c>
      <c r="Q843" s="1" t="str">
        <f ca="1">VLOOKUP(D843,Routes!$A$2:$D$31,2,FALSE)</f>
        <v>Bhubaneswar</v>
      </c>
      <c r="R843" s="1" t="str">
        <f ca="1">VLOOKUP(D843,Routes!$A$2:$D$31,3,FALSE)</f>
        <v>Kolkata</v>
      </c>
      <c r="S843" s="3">
        <f ca="1">VLOOKUP(D843,Routes!$A$2:$D$31,4,FALSE)</f>
        <v>440</v>
      </c>
      <c r="T843" s="3" t="str">
        <f ca="1">VLOOKUP(E843,Vehicles!$A$2:$D$21,2,FALSE)</f>
        <v>LCV</v>
      </c>
      <c r="U843" s="3">
        <f ca="1">VLOOKUP(E843,Vehicles!$A$2:$D$21,3,FALSE)</f>
        <v>6</v>
      </c>
      <c r="V843" s="3" t="str">
        <f ca="1">VLOOKUP(E843,Vehicles!$A$2:$D$21,4,FALSE)</f>
        <v>CNG</v>
      </c>
      <c r="W843" s="3">
        <f ca="1">VLOOKUP(V843,Fuel_Rates!$A$2:$B$3,2,FALSE)</f>
        <v>78</v>
      </c>
      <c r="X843" s="3">
        <f t="shared" ca="1" si="233"/>
        <v>138.83000000000001</v>
      </c>
      <c r="Y843" s="3">
        <f t="shared" ca="1" si="234"/>
        <v>81423</v>
      </c>
      <c r="Z843" s="3" t="str">
        <f t="shared" ca="1" si="235"/>
        <v>Nov</v>
      </c>
      <c r="AA843" s="3" t="str">
        <f t="shared" ca="1" si="236"/>
        <v>Q4</v>
      </c>
      <c r="AB843" s="4" t="str">
        <f t="shared" ca="1" si="237"/>
        <v>Medium Haul</v>
      </c>
    </row>
    <row r="844" spans="1:28" x14ac:dyDescent="0.3">
      <c r="A844" s="8" t="str">
        <f t="shared" si="232"/>
        <v>S0843</v>
      </c>
      <c r="B844" s="3">
        <f t="shared" ca="1" si="221"/>
        <v>45893</v>
      </c>
      <c r="C844" s="3" t="str">
        <f ca="1">INDEX(Customers!$A$2:$A$21,RANDBETWEEN(1,20))</f>
        <v>C016</v>
      </c>
      <c r="D844" s="3" t="str">
        <f ca="1">INDEX(Routes!$A$2:$A$31,RANDBETWEEN(1,30))</f>
        <v>R008</v>
      </c>
      <c r="E844" s="3" t="str">
        <f ca="1">INDEX(Vehicles!$A$2:$A$21,RANDBETWEEN(1,20))</f>
        <v>V013</v>
      </c>
      <c r="F844" s="3" t="str">
        <f ca="1">INDEX(Drivers!$A$2:$A$31,RANDBETWEEN(1,30))</f>
        <v>D004</v>
      </c>
      <c r="G844" s="3">
        <f t="shared" ca="1" si="222"/>
        <v>11.6</v>
      </c>
      <c r="H844" s="3">
        <f t="shared" ca="1" si="223"/>
        <v>28220</v>
      </c>
      <c r="I844" s="3">
        <f t="shared" ca="1" si="224"/>
        <v>7902</v>
      </c>
      <c r="J844" s="3">
        <f t="shared" ca="1" si="225"/>
        <v>1568</v>
      </c>
      <c r="K844" s="3">
        <f t="shared" ca="1" si="226"/>
        <v>23</v>
      </c>
      <c r="L844" s="3">
        <f t="shared" ca="1" si="227"/>
        <v>25</v>
      </c>
      <c r="M844" s="3">
        <f t="shared" ca="1" si="228"/>
        <v>2</v>
      </c>
      <c r="N844" s="3" t="str">
        <f t="shared" ca="1" si="229"/>
        <v>On Time</v>
      </c>
      <c r="O844" s="3" t="str">
        <f t="shared" ca="1" si="230"/>
        <v>Medium</v>
      </c>
      <c r="P844" s="3">
        <f t="shared" ca="1" si="231"/>
        <v>38.700000000000003</v>
      </c>
      <c r="Q844" s="1" t="str">
        <f ca="1">VLOOKUP(D844,Routes!$A$2:$D$31,2,FALSE)</f>
        <v>Delhi</v>
      </c>
      <c r="R844" s="1" t="str">
        <f ca="1">VLOOKUP(D844,Routes!$A$2:$D$31,3,FALSE)</f>
        <v>Kolkata</v>
      </c>
      <c r="S844" s="3">
        <f ca="1">VLOOKUP(D844,Routes!$A$2:$D$31,4,FALSE)</f>
        <v>1500</v>
      </c>
      <c r="T844" s="3" t="str">
        <f ca="1">VLOOKUP(E844,Vehicles!$A$2:$D$21,2,FALSE)</f>
        <v>LCV</v>
      </c>
      <c r="U844" s="3">
        <f ca="1">VLOOKUP(E844,Vehicles!$A$2:$D$21,3,FALSE)</f>
        <v>4</v>
      </c>
      <c r="V844" s="3" t="str">
        <f ca="1">VLOOKUP(E844,Vehicles!$A$2:$D$21,4,FALSE)</f>
        <v>CNG</v>
      </c>
      <c r="W844" s="3">
        <f ca="1">VLOOKUP(V844,Fuel_Rates!$A$2:$B$3,2,FALSE)</f>
        <v>78</v>
      </c>
      <c r="X844" s="3">
        <f t="shared" ca="1" si="233"/>
        <v>18.809999999999999</v>
      </c>
      <c r="Y844" s="3">
        <f t="shared" ca="1" si="234"/>
        <v>37690</v>
      </c>
      <c r="Z844" s="3" t="str">
        <f t="shared" ca="1" si="235"/>
        <v>Aug</v>
      </c>
      <c r="AA844" s="3" t="str">
        <f t="shared" ca="1" si="236"/>
        <v>Q3</v>
      </c>
      <c r="AB844" s="4" t="str">
        <f t="shared" ca="1" si="237"/>
        <v>Long Haul</v>
      </c>
    </row>
    <row r="845" spans="1:28" x14ac:dyDescent="0.3">
      <c r="A845" s="8" t="str">
        <f t="shared" si="232"/>
        <v>S0844</v>
      </c>
      <c r="B845" s="3">
        <f t="shared" ca="1" si="221"/>
        <v>45894</v>
      </c>
      <c r="C845" s="3" t="str">
        <f ca="1">INDEX(Customers!$A$2:$A$21,RANDBETWEEN(1,20))</f>
        <v>C002</v>
      </c>
      <c r="D845" s="3" t="str">
        <f ca="1">INDEX(Routes!$A$2:$A$31,RANDBETWEEN(1,30))</f>
        <v>R030</v>
      </c>
      <c r="E845" s="3" t="str">
        <f ca="1">INDEX(Vehicles!$A$2:$A$21,RANDBETWEEN(1,20))</f>
        <v>V014</v>
      </c>
      <c r="F845" s="3" t="str">
        <f ca="1">INDEX(Drivers!$A$2:$A$31,RANDBETWEEN(1,30))</f>
        <v>D026</v>
      </c>
      <c r="G845" s="3">
        <f t="shared" ca="1" si="222"/>
        <v>4.2</v>
      </c>
      <c r="H845" s="3">
        <f t="shared" ca="1" si="223"/>
        <v>20316</v>
      </c>
      <c r="I845" s="3">
        <f t="shared" ca="1" si="224"/>
        <v>5688</v>
      </c>
      <c r="J845" s="3">
        <f t="shared" ca="1" si="225"/>
        <v>891</v>
      </c>
      <c r="K845" s="3">
        <f t="shared" ca="1" si="226"/>
        <v>11</v>
      </c>
      <c r="L845" s="3">
        <f t="shared" ca="1" si="227"/>
        <v>15</v>
      </c>
      <c r="M845" s="3">
        <f t="shared" ca="1" si="228"/>
        <v>4</v>
      </c>
      <c r="N845" s="3" t="str">
        <f t="shared" ca="1" si="229"/>
        <v>Delayed</v>
      </c>
      <c r="O845" s="3" t="str">
        <f t="shared" ca="1" si="230"/>
        <v>Medium</v>
      </c>
      <c r="P845" s="3">
        <f t="shared" ca="1" si="231"/>
        <v>14</v>
      </c>
      <c r="Q845" s="1" t="str">
        <f ca="1">VLOOKUP(D845,Routes!$A$2:$D$31,2,FALSE)</f>
        <v>Bhubaneswar</v>
      </c>
      <c r="R845" s="1" t="str">
        <f ca="1">VLOOKUP(D845,Routes!$A$2:$D$31,3,FALSE)</f>
        <v>Kolkata</v>
      </c>
      <c r="S845" s="3">
        <f ca="1">VLOOKUP(D845,Routes!$A$2:$D$31,4,FALSE)</f>
        <v>440</v>
      </c>
      <c r="T845" s="3" t="str">
        <f ca="1">VLOOKUP(E845,Vehicles!$A$2:$D$21,2,FALSE)</f>
        <v>LCV</v>
      </c>
      <c r="U845" s="3">
        <f ca="1">VLOOKUP(E845,Vehicles!$A$2:$D$21,3,FALSE)</f>
        <v>6</v>
      </c>
      <c r="V845" s="3" t="str">
        <f ca="1">VLOOKUP(E845,Vehicles!$A$2:$D$21,4,FALSE)</f>
        <v>CNG</v>
      </c>
      <c r="W845" s="3">
        <f ca="1">VLOOKUP(V845,Fuel_Rates!$A$2:$B$3,2,FALSE)</f>
        <v>78</v>
      </c>
      <c r="X845" s="3">
        <f t="shared" ca="1" si="233"/>
        <v>46.17</v>
      </c>
      <c r="Y845" s="3">
        <f t="shared" ca="1" si="234"/>
        <v>26895</v>
      </c>
      <c r="Z845" s="3" t="str">
        <f t="shared" ca="1" si="235"/>
        <v>Aug</v>
      </c>
      <c r="AA845" s="3" t="str">
        <f t="shared" ca="1" si="236"/>
        <v>Q3</v>
      </c>
      <c r="AB845" s="4" t="str">
        <f t="shared" ca="1" si="237"/>
        <v>Medium Haul</v>
      </c>
    </row>
    <row r="846" spans="1:28" x14ac:dyDescent="0.3">
      <c r="A846" s="8" t="str">
        <f t="shared" si="232"/>
        <v>S0845</v>
      </c>
      <c r="B846" s="3">
        <f t="shared" ca="1" si="221"/>
        <v>45861</v>
      </c>
      <c r="C846" s="3" t="str">
        <f ca="1">INDEX(Customers!$A$2:$A$21,RANDBETWEEN(1,20))</f>
        <v>C010</v>
      </c>
      <c r="D846" s="3" t="str">
        <f ca="1">INDEX(Routes!$A$2:$A$31,RANDBETWEEN(1,30))</f>
        <v>R005</v>
      </c>
      <c r="E846" s="3" t="str">
        <f ca="1">INDEX(Vehicles!$A$2:$A$21,RANDBETWEEN(1,20))</f>
        <v>V008</v>
      </c>
      <c r="F846" s="3" t="str">
        <f ca="1">INDEX(Drivers!$A$2:$A$31,RANDBETWEEN(1,30))</f>
        <v>D019</v>
      </c>
      <c r="G846" s="3">
        <f t="shared" ca="1" si="222"/>
        <v>7.6</v>
      </c>
      <c r="H846" s="3">
        <f t="shared" ca="1" si="223"/>
        <v>21201</v>
      </c>
      <c r="I846" s="3">
        <f t="shared" ca="1" si="224"/>
        <v>5936</v>
      </c>
      <c r="J846" s="3">
        <f t="shared" ca="1" si="225"/>
        <v>3151</v>
      </c>
      <c r="K846" s="3">
        <f t="shared" ca="1" si="226"/>
        <v>33</v>
      </c>
      <c r="L846" s="3">
        <f t="shared" ca="1" si="227"/>
        <v>34</v>
      </c>
      <c r="M846" s="3">
        <f t="shared" ca="1" si="228"/>
        <v>1</v>
      </c>
      <c r="N846" s="3" t="str">
        <f t="shared" ca="1" si="229"/>
        <v>On Time</v>
      </c>
      <c r="O846" s="3" t="str">
        <f t="shared" ca="1" si="230"/>
        <v>Low</v>
      </c>
      <c r="P846" s="3">
        <f t="shared" ca="1" si="231"/>
        <v>25.3</v>
      </c>
      <c r="Q846" s="1" t="str">
        <f ca="1">VLOOKUP(D846,Routes!$A$2:$D$31,2,FALSE)</f>
        <v>Delhi</v>
      </c>
      <c r="R846" s="1" t="str">
        <f ca="1">VLOOKUP(D846,Routes!$A$2:$D$31,3,FALSE)</f>
        <v>Jaipur</v>
      </c>
      <c r="S846" s="3">
        <f ca="1">VLOOKUP(D846,Routes!$A$2:$D$31,4,FALSE)</f>
        <v>280</v>
      </c>
      <c r="T846" s="3" t="str">
        <f ca="1">VLOOKUP(E846,Vehicles!$A$2:$D$21,2,FALSE)</f>
        <v>Container</v>
      </c>
      <c r="U846" s="3">
        <f ca="1">VLOOKUP(E846,Vehicles!$A$2:$D$21,3,FALSE)</f>
        <v>25</v>
      </c>
      <c r="V846" s="3" t="str">
        <f ca="1">VLOOKUP(E846,Vehicles!$A$2:$D$21,4,FALSE)</f>
        <v>Diesel</v>
      </c>
      <c r="W846" s="3">
        <f ca="1">VLOOKUP(V846,Fuel_Rates!$A$2:$B$3,2,FALSE)</f>
        <v>95</v>
      </c>
      <c r="X846" s="3">
        <f t="shared" ca="1" si="233"/>
        <v>75.72</v>
      </c>
      <c r="Y846" s="3">
        <f t="shared" ca="1" si="234"/>
        <v>30288</v>
      </c>
      <c r="Z846" s="3" t="str">
        <f t="shared" ca="1" si="235"/>
        <v>Jul</v>
      </c>
      <c r="AA846" s="3" t="str">
        <f t="shared" ca="1" si="236"/>
        <v>Q3</v>
      </c>
      <c r="AB846" s="4" t="str">
        <f t="shared" ca="1" si="237"/>
        <v>Short Haul</v>
      </c>
    </row>
    <row r="847" spans="1:28" x14ac:dyDescent="0.3">
      <c r="A847" s="8" t="str">
        <f t="shared" si="232"/>
        <v>S0846</v>
      </c>
      <c r="B847" s="3">
        <f t="shared" ca="1" si="221"/>
        <v>45863</v>
      </c>
      <c r="C847" s="3" t="str">
        <f ca="1">INDEX(Customers!$A$2:$A$21,RANDBETWEEN(1,20))</f>
        <v>C001</v>
      </c>
      <c r="D847" s="3" t="str">
        <f ca="1">INDEX(Routes!$A$2:$A$31,RANDBETWEEN(1,30))</f>
        <v>R022</v>
      </c>
      <c r="E847" s="3" t="str">
        <f ca="1">INDEX(Vehicles!$A$2:$A$21,RANDBETWEEN(1,20))</f>
        <v>V017</v>
      </c>
      <c r="F847" s="3" t="str">
        <f ca="1">INDEX(Drivers!$A$2:$A$31,RANDBETWEEN(1,30))</f>
        <v>D019</v>
      </c>
      <c r="G847" s="3">
        <f t="shared" ca="1" si="222"/>
        <v>15</v>
      </c>
      <c r="H847" s="3">
        <f t="shared" ca="1" si="223"/>
        <v>32878</v>
      </c>
      <c r="I847" s="3">
        <f t="shared" ca="1" si="224"/>
        <v>9206</v>
      </c>
      <c r="J847" s="3">
        <f t="shared" ca="1" si="225"/>
        <v>1018</v>
      </c>
      <c r="K847" s="3">
        <f t="shared" ca="1" si="226"/>
        <v>20</v>
      </c>
      <c r="L847" s="3">
        <f t="shared" ca="1" si="227"/>
        <v>23</v>
      </c>
      <c r="M847" s="3">
        <f t="shared" ca="1" si="228"/>
        <v>3</v>
      </c>
      <c r="N847" s="3" t="str">
        <f t="shared" ca="1" si="229"/>
        <v>Delayed</v>
      </c>
      <c r="O847" s="3" t="str">
        <f t="shared" ca="1" si="230"/>
        <v>High</v>
      </c>
      <c r="P847" s="3">
        <f t="shared" ca="1" si="231"/>
        <v>50</v>
      </c>
      <c r="Q847" s="1" t="str">
        <f ca="1">VLOOKUP(D847,Routes!$A$2:$D$31,2,FALSE)</f>
        <v>Jaipur</v>
      </c>
      <c r="R847" s="1" t="str">
        <f ca="1">VLOOKUP(D847,Routes!$A$2:$D$31,3,FALSE)</f>
        <v>Indore</v>
      </c>
      <c r="S847" s="3">
        <f ca="1">VLOOKUP(D847,Routes!$A$2:$D$31,4,FALSE)</f>
        <v>600</v>
      </c>
      <c r="T847" s="3" t="str">
        <f ca="1">VLOOKUP(E847,Vehicles!$A$2:$D$21,2,FALSE)</f>
        <v>Truck</v>
      </c>
      <c r="U847" s="3">
        <f ca="1">VLOOKUP(E847,Vehicles!$A$2:$D$21,3,FALSE)</f>
        <v>24</v>
      </c>
      <c r="V847" s="3" t="str">
        <f ca="1">VLOOKUP(E847,Vehicles!$A$2:$D$21,4,FALSE)</f>
        <v>Diesel</v>
      </c>
      <c r="W847" s="3">
        <f ca="1">VLOOKUP(V847,Fuel_Rates!$A$2:$B$3,2,FALSE)</f>
        <v>95</v>
      </c>
      <c r="X847" s="3">
        <f t="shared" ca="1" si="233"/>
        <v>54.8</v>
      </c>
      <c r="Y847" s="3">
        <f t="shared" ca="1" si="234"/>
        <v>43102</v>
      </c>
      <c r="Z847" s="3" t="str">
        <f t="shared" ca="1" si="235"/>
        <v>Jul</v>
      </c>
      <c r="AA847" s="3" t="str">
        <f t="shared" ca="1" si="236"/>
        <v>Q3</v>
      </c>
      <c r="AB847" s="4" t="str">
        <f t="shared" ca="1" si="237"/>
        <v>Medium Haul</v>
      </c>
    </row>
    <row r="848" spans="1:28" x14ac:dyDescent="0.3">
      <c r="A848" s="8" t="str">
        <f t="shared" si="232"/>
        <v>S0847</v>
      </c>
      <c r="B848" s="3">
        <f t="shared" ca="1" si="221"/>
        <v>45743</v>
      </c>
      <c r="C848" s="3" t="str">
        <f ca="1">INDEX(Customers!$A$2:$A$21,RANDBETWEEN(1,20))</f>
        <v>C018</v>
      </c>
      <c r="D848" s="3" t="str">
        <f ca="1">INDEX(Routes!$A$2:$A$31,RANDBETWEEN(1,30))</f>
        <v>R003</v>
      </c>
      <c r="E848" s="3" t="str">
        <f ca="1">INDEX(Vehicles!$A$2:$A$21,RANDBETWEEN(1,20))</f>
        <v>V019</v>
      </c>
      <c r="F848" s="3" t="str">
        <f ca="1">INDEX(Drivers!$A$2:$A$31,RANDBETWEEN(1,30))</f>
        <v>D003</v>
      </c>
      <c r="G848" s="3">
        <f t="shared" ca="1" si="222"/>
        <v>7.9</v>
      </c>
      <c r="H848" s="3">
        <f t="shared" ca="1" si="223"/>
        <v>19604</v>
      </c>
      <c r="I848" s="3">
        <f t="shared" ca="1" si="224"/>
        <v>5489</v>
      </c>
      <c r="J848" s="3">
        <f t="shared" ca="1" si="225"/>
        <v>2323</v>
      </c>
      <c r="K848" s="3">
        <f t="shared" ca="1" si="226"/>
        <v>4</v>
      </c>
      <c r="L848" s="3">
        <f t="shared" ca="1" si="227"/>
        <v>12</v>
      </c>
      <c r="M848" s="3">
        <f t="shared" ca="1" si="228"/>
        <v>8</v>
      </c>
      <c r="N848" s="3" t="str">
        <f t="shared" ca="1" si="229"/>
        <v>Delayed</v>
      </c>
      <c r="O848" s="3" t="str">
        <f t="shared" ca="1" si="230"/>
        <v>Medium</v>
      </c>
      <c r="P848" s="3">
        <f t="shared" ca="1" si="231"/>
        <v>26.3</v>
      </c>
      <c r="Q848" s="1" t="str">
        <f ca="1">VLOOKUP(D848,Routes!$A$2:$D$31,2,FALSE)</f>
        <v>Mumbai</v>
      </c>
      <c r="R848" s="1" t="str">
        <f ca="1">VLOOKUP(D848,Routes!$A$2:$D$31,3,FALSE)</f>
        <v>Delhi</v>
      </c>
      <c r="S848" s="3">
        <f ca="1">VLOOKUP(D848,Routes!$A$2:$D$31,4,FALSE)</f>
        <v>1450</v>
      </c>
      <c r="T848" s="3" t="str">
        <f ca="1">VLOOKUP(E848,Vehicles!$A$2:$D$21,2,FALSE)</f>
        <v>Trailer</v>
      </c>
      <c r="U848" s="3">
        <f ca="1">VLOOKUP(E848,Vehicles!$A$2:$D$21,3,FALSE)</f>
        <v>35</v>
      </c>
      <c r="V848" s="3" t="str">
        <f ca="1">VLOOKUP(E848,Vehicles!$A$2:$D$21,4,FALSE)</f>
        <v>Diesel</v>
      </c>
      <c r="W848" s="3">
        <f ca="1">VLOOKUP(V848,Fuel_Rates!$A$2:$B$3,2,FALSE)</f>
        <v>95</v>
      </c>
      <c r="X848" s="3">
        <f t="shared" ca="1" si="233"/>
        <v>13.52</v>
      </c>
      <c r="Y848" s="3">
        <f t="shared" ca="1" si="234"/>
        <v>27416</v>
      </c>
      <c r="Z848" s="3" t="str">
        <f t="shared" ca="1" si="235"/>
        <v>Mar</v>
      </c>
      <c r="AA848" s="3" t="str">
        <f t="shared" ca="1" si="236"/>
        <v>Q1</v>
      </c>
      <c r="AB848" s="4" t="str">
        <f t="shared" ca="1" si="237"/>
        <v>Long Haul</v>
      </c>
    </row>
    <row r="849" spans="1:28" x14ac:dyDescent="0.3">
      <c r="A849" s="8" t="str">
        <f t="shared" si="232"/>
        <v>S0848</v>
      </c>
      <c r="B849" s="3">
        <f t="shared" ca="1" si="221"/>
        <v>45778</v>
      </c>
      <c r="C849" s="3" t="str">
        <f ca="1">INDEX(Customers!$A$2:$A$21,RANDBETWEEN(1,20))</f>
        <v>C004</v>
      </c>
      <c r="D849" s="3" t="str">
        <f ca="1">INDEX(Routes!$A$2:$A$31,RANDBETWEEN(1,30))</f>
        <v>R010</v>
      </c>
      <c r="E849" s="3" t="str">
        <f ca="1">INDEX(Vehicles!$A$2:$A$21,RANDBETWEEN(1,20))</f>
        <v>V001</v>
      </c>
      <c r="F849" s="3" t="str">
        <f ca="1">INDEX(Drivers!$A$2:$A$31,RANDBETWEEN(1,30))</f>
        <v>D029</v>
      </c>
      <c r="G849" s="3">
        <f t="shared" ca="1" si="222"/>
        <v>9.8000000000000007</v>
      </c>
      <c r="H849" s="3">
        <f t="shared" ca="1" si="223"/>
        <v>31395</v>
      </c>
      <c r="I849" s="3">
        <f t="shared" ca="1" si="224"/>
        <v>8791</v>
      </c>
      <c r="J849" s="3">
        <f t="shared" ca="1" si="225"/>
        <v>966</v>
      </c>
      <c r="K849" s="3">
        <f t="shared" ca="1" si="226"/>
        <v>11</v>
      </c>
      <c r="L849" s="3">
        <f t="shared" ca="1" si="227"/>
        <v>12</v>
      </c>
      <c r="M849" s="3">
        <f t="shared" ca="1" si="228"/>
        <v>1</v>
      </c>
      <c r="N849" s="3" t="str">
        <f t="shared" ca="1" si="229"/>
        <v>On Time</v>
      </c>
      <c r="O849" s="3" t="str">
        <f t="shared" ca="1" si="230"/>
        <v>High</v>
      </c>
      <c r="P849" s="3">
        <f t="shared" ca="1" si="231"/>
        <v>32.700000000000003</v>
      </c>
      <c r="Q849" s="1" t="str">
        <f ca="1">VLOOKUP(D849,Routes!$A$2:$D$31,2,FALSE)</f>
        <v>Bengaluru</v>
      </c>
      <c r="R849" s="1" t="str">
        <f ca="1">VLOOKUP(D849,Routes!$A$2:$D$31,3,FALSE)</f>
        <v>Hyderabad</v>
      </c>
      <c r="S849" s="3">
        <f ca="1">VLOOKUP(D849,Routes!$A$2:$D$31,4,FALSE)</f>
        <v>570</v>
      </c>
      <c r="T849" s="3" t="str">
        <f ca="1">VLOOKUP(E849,Vehicles!$A$2:$D$21,2,FALSE)</f>
        <v>Truck</v>
      </c>
      <c r="U849" s="3">
        <f ca="1">VLOOKUP(E849,Vehicles!$A$2:$D$21,3,FALSE)</f>
        <v>16</v>
      </c>
      <c r="V849" s="3" t="str">
        <f ca="1">VLOOKUP(E849,Vehicles!$A$2:$D$21,4,FALSE)</f>
        <v>Diesel</v>
      </c>
      <c r="W849" s="3">
        <f ca="1">VLOOKUP(V849,Fuel_Rates!$A$2:$B$3,2,FALSE)</f>
        <v>95</v>
      </c>
      <c r="X849" s="3">
        <f t="shared" ca="1" si="233"/>
        <v>55.08</v>
      </c>
      <c r="Y849" s="3">
        <f t="shared" ca="1" si="234"/>
        <v>41152</v>
      </c>
      <c r="Z849" s="3" t="str">
        <f t="shared" ca="1" si="235"/>
        <v>May</v>
      </c>
      <c r="AA849" s="3" t="str">
        <f t="shared" ca="1" si="236"/>
        <v>Q2</v>
      </c>
      <c r="AB849" s="4" t="str">
        <f t="shared" ca="1" si="237"/>
        <v>Medium Haul</v>
      </c>
    </row>
    <row r="850" spans="1:28" x14ac:dyDescent="0.3">
      <c r="A850" s="8" t="str">
        <f t="shared" si="232"/>
        <v>S0849</v>
      </c>
      <c r="B850" s="3">
        <f t="shared" ca="1" si="221"/>
        <v>45668</v>
      </c>
      <c r="C850" s="3" t="str">
        <f ca="1">INDEX(Customers!$A$2:$A$21,RANDBETWEEN(1,20))</f>
        <v>C010</v>
      </c>
      <c r="D850" s="3" t="str">
        <f ca="1">INDEX(Routes!$A$2:$A$31,RANDBETWEEN(1,30))</f>
        <v>R019</v>
      </c>
      <c r="E850" s="3" t="str">
        <f ca="1">INDEX(Vehicles!$A$2:$A$21,RANDBETWEEN(1,20))</f>
        <v>V018</v>
      </c>
      <c r="F850" s="3" t="str">
        <f ca="1">INDEX(Drivers!$A$2:$A$31,RANDBETWEEN(1,30))</f>
        <v>D019</v>
      </c>
      <c r="G850" s="3">
        <f t="shared" ca="1" si="222"/>
        <v>23.9</v>
      </c>
      <c r="H850" s="3">
        <f t="shared" ca="1" si="223"/>
        <v>54304</v>
      </c>
      <c r="I850" s="3">
        <f t="shared" ca="1" si="224"/>
        <v>15205</v>
      </c>
      <c r="J850" s="3">
        <f t="shared" ca="1" si="225"/>
        <v>3397</v>
      </c>
      <c r="K850" s="3">
        <f t="shared" ca="1" si="226"/>
        <v>27</v>
      </c>
      <c r="L850" s="3">
        <f t="shared" ca="1" si="227"/>
        <v>27</v>
      </c>
      <c r="M850" s="3">
        <f t="shared" ca="1" si="228"/>
        <v>0</v>
      </c>
      <c r="N850" s="3" t="str">
        <f t="shared" ca="1" si="229"/>
        <v>On Time</v>
      </c>
      <c r="O850" s="3" t="str">
        <f t="shared" ca="1" si="230"/>
        <v>Low</v>
      </c>
      <c r="P850" s="3">
        <f t="shared" ca="1" si="231"/>
        <v>79.7</v>
      </c>
      <c r="Q850" s="1" t="str">
        <f ca="1">VLOOKUP(D850,Routes!$A$2:$D$31,2,FALSE)</f>
        <v>Ahmedabad</v>
      </c>
      <c r="R850" s="1" t="str">
        <f ca="1">VLOOKUP(D850,Routes!$A$2:$D$31,3,FALSE)</f>
        <v>Indore</v>
      </c>
      <c r="S850" s="3">
        <f ca="1">VLOOKUP(D850,Routes!$A$2:$D$31,4,FALSE)</f>
        <v>390</v>
      </c>
      <c r="T850" s="3" t="str">
        <f ca="1">VLOOKUP(E850,Vehicles!$A$2:$D$21,2,FALSE)</f>
        <v>Truck</v>
      </c>
      <c r="U850" s="3">
        <f ca="1">VLOOKUP(E850,Vehicles!$A$2:$D$21,3,FALSE)</f>
        <v>26</v>
      </c>
      <c r="V850" s="3" t="str">
        <f ca="1">VLOOKUP(E850,Vehicles!$A$2:$D$21,4,FALSE)</f>
        <v>Diesel</v>
      </c>
      <c r="W850" s="3">
        <f ca="1">VLOOKUP(V850,Fuel_Rates!$A$2:$B$3,2,FALSE)</f>
        <v>95</v>
      </c>
      <c r="X850" s="3">
        <f t="shared" ca="1" si="233"/>
        <v>139.24</v>
      </c>
      <c r="Y850" s="3">
        <f t="shared" ca="1" si="234"/>
        <v>72906</v>
      </c>
      <c r="Z850" s="3" t="str">
        <f t="shared" ca="1" si="235"/>
        <v>Jan</v>
      </c>
      <c r="AA850" s="3" t="str">
        <f t="shared" ca="1" si="236"/>
        <v>Q1</v>
      </c>
      <c r="AB850" s="4" t="str">
        <f t="shared" ca="1" si="237"/>
        <v>Medium Haul</v>
      </c>
    </row>
    <row r="851" spans="1:28" x14ac:dyDescent="0.3">
      <c r="A851" s="8" t="str">
        <f t="shared" si="232"/>
        <v>S0850</v>
      </c>
      <c r="B851" s="3">
        <f t="shared" ca="1" si="221"/>
        <v>45995</v>
      </c>
      <c r="C851" s="3" t="str">
        <f ca="1">INDEX(Customers!$A$2:$A$21,RANDBETWEEN(1,20))</f>
        <v>C002</v>
      </c>
      <c r="D851" s="3" t="str">
        <f ca="1">INDEX(Routes!$A$2:$A$31,RANDBETWEEN(1,30))</f>
        <v>R006</v>
      </c>
      <c r="E851" s="3" t="str">
        <f ca="1">INDEX(Vehicles!$A$2:$A$21,RANDBETWEEN(1,20))</f>
        <v>V007</v>
      </c>
      <c r="F851" s="3" t="str">
        <f ca="1">INDEX(Drivers!$A$2:$A$31,RANDBETWEEN(1,30))</f>
        <v>D026</v>
      </c>
      <c r="G851" s="3">
        <f t="shared" ca="1" si="222"/>
        <v>15.4</v>
      </c>
      <c r="H851" s="3">
        <f t="shared" ca="1" si="223"/>
        <v>35049</v>
      </c>
      <c r="I851" s="3">
        <f t="shared" ca="1" si="224"/>
        <v>9814</v>
      </c>
      <c r="J851" s="3">
        <f t="shared" ca="1" si="225"/>
        <v>2654</v>
      </c>
      <c r="K851" s="3">
        <f t="shared" ca="1" si="226"/>
        <v>43</v>
      </c>
      <c r="L851" s="3">
        <f t="shared" ca="1" si="227"/>
        <v>46</v>
      </c>
      <c r="M851" s="3">
        <f t="shared" ca="1" si="228"/>
        <v>3</v>
      </c>
      <c r="N851" s="3" t="str">
        <f t="shared" ca="1" si="229"/>
        <v>Delayed</v>
      </c>
      <c r="O851" s="3" t="str">
        <f t="shared" ca="1" si="230"/>
        <v>Medium</v>
      </c>
      <c r="P851" s="3">
        <f t="shared" ca="1" si="231"/>
        <v>51.3</v>
      </c>
      <c r="Q851" s="1" t="str">
        <f ca="1">VLOOKUP(D851,Routes!$A$2:$D$31,2,FALSE)</f>
        <v>Delhi</v>
      </c>
      <c r="R851" s="1" t="str">
        <f ca="1">VLOOKUP(D851,Routes!$A$2:$D$31,3,FALSE)</f>
        <v>Lucknow</v>
      </c>
      <c r="S851" s="3">
        <f ca="1">VLOOKUP(D851,Routes!$A$2:$D$31,4,FALSE)</f>
        <v>550</v>
      </c>
      <c r="T851" s="3" t="str">
        <f ca="1">VLOOKUP(E851,Vehicles!$A$2:$D$21,2,FALSE)</f>
        <v>Container</v>
      </c>
      <c r="U851" s="3">
        <f ca="1">VLOOKUP(E851,Vehicles!$A$2:$D$21,3,FALSE)</f>
        <v>20</v>
      </c>
      <c r="V851" s="3" t="str">
        <f ca="1">VLOOKUP(E851,Vehicles!$A$2:$D$21,4,FALSE)</f>
        <v>Diesel</v>
      </c>
      <c r="W851" s="3">
        <f ca="1">VLOOKUP(V851,Fuel_Rates!$A$2:$B$3,2,FALSE)</f>
        <v>95</v>
      </c>
      <c r="X851" s="3">
        <f t="shared" ca="1" si="233"/>
        <v>63.73</v>
      </c>
      <c r="Y851" s="3">
        <f t="shared" ca="1" si="234"/>
        <v>47517</v>
      </c>
      <c r="Z851" s="3" t="str">
        <f t="shared" ca="1" si="235"/>
        <v>Dec</v>
      </c>
      <c r="AA851" s="3" t="str">
        <f t="shared" ca="1" si="236"/>
        <v>Q4</v>
      </c>
      <c r="AB851" s="4" t="str">
        <f t="shared" ca="1" si="237"/>
        <v>Medium Haul</v>
      </c>
    </row>
    <row r="852" spans="1:28" x14ac:dyDescent="0.3">
      <c r="A852" s="8" t="str">
        <f t="shared" si="232"/>
        <v>S0851</v>
      </c>
      <c r="B852" s="3">
        <f t="shared" ca="1" si="221"/>
        <v>46015</v>
      </c>
      <c r="C852" s="3" t="str">
        <f ca="1">INDEX(Customers!$A$2:$A$21,RANDBETWEEN(1,20))</f>
        <v>C015</v>
      </c>
      <c r="D852" s="3" t="str">
        <f ca="1">INDEX(Routes!$A$2:$A$31,RANDBETWEEN(1,30))</f>
        <v>R023</v>
      </c>
      <c r="E852" s="3" t="str">
        <f ca="1">INDEX(Vehicles!$A$2:$A$21,RANDBETWEEN(1,20))</f>
        <v>V014</v>
      </c>
      <c r="F852" s="3" t="str">
        <f ca="1">INDEX(Drivers!$A$2:$A$31,RANDBETWEEN(1,30))</f>
        <v>D005</v>
      </c>
      <c r="G852" s="3">
        <f t="shared" ca="1" si="222"/>
        <v>16.7</v>
      </c>
      <c r="H852" s="3">
        <f t="shared" ca="1" si="223"/>
        <v>42960</v>
      </c>
      <c r="I852" s="3">
        <f t="shared" ca="1" si="224"/>
        <v>12029</v>
      </c>
      <c r="J852" s="3">
        <f t="shared" ca="1" si="225"/>
        <v>1650</v>
      </c>
      <c r="K852" s="3">
        <f t="shared" ca="1" si="226"/>
        <v>47</v>
      </c>
      <c r="L852" s="3">
        <f t="shared" ca="1" si="227"/>
        <v>55</v>
      </c>
      <c r="M852" s="3">
        <f t="shared" ca="1" si="228"/>
        <v>8</v>
      </c>
      <c r="N852" s="3" t="str">
        <f t="shared" ca="1" si="229"/>
        <v>Delayed</v>
      </c>
      <c r="O852" s="3" t="str">
        <f t="shared" ca="1" si="230"/>
        <v>Medium</v>
      </c>
      <c r="P852" s="3">
        <f t="shared" ca="1" si="231"/>
        <v>55.7</v>
      </c>
      <c r="Q852" s="1" t="str">
        <f ca="1">VLOOKUP(D852,Routes!$A$2:$D$31,2,FALSE)</f>
        <v>Kochi</v>
      </c>
      <c r="R852" s="1" t="str">
        <f ca="1">VLOOKUP(D852,Routes!$A$2:$D$31,3,FALSE)</f>
        <v>Bengaluru</v>
      </c>
      <c r="S852" s="3">
        <f ca="1">VLOOKUP(D852,Routes!$A$2:$D$31,4,FALSE)</f>
        <v>550</v>
      </c>
      <c r="T852" s="3" t="str">
        <f ca="1">VLOOKUP(E852,Vehicles!$A$2:$D$21,2,FALSE)</f>
        <v>LCV</v>
      </c>
      <c r="U852" s="3">
        <f ca="1">VLOOKUP(E852,Vehicles!$A$2:$D$21,3,FALSE)</f>
        <v>6</v>
      </c>
      <c r="V852" s="3" t="str">
        <f ca="1">VLOOKUP(E852,Vehicles!$A$2:$D$21,4,FALSE)</f>
        <v>CNG</v>
      </c>
      <c r="W852" s="3">
        <f ca="1">VLOOKUP(V852,Fuel_Rates!$A$2:$B$3,2,FALSE)</f>
        <v>78</v>
      </c>
      <c r="X852" s="3">
        <f t="shared" ca="1" si="233"/>
        <v>78.11</v>
      </c>
      <c r="Y852" s="3">
        <f t="shared" ca="1" si="234"/>
        <v>56639</v>
      </c>
      <c r="Z852" s="3" t="str">
        <f t="shared" ca="1" si="235"/>
        <v>Dec</v>
      </c>
      <c r="AA852" s="3" t="str">
        <f t="shared" ca="1" si="236"/>
        <v>Q4</v>
      </c>
      <c r="AB852" s="4" t="str">
        <f t="shared" ca="1" si="237"/>
        <v>Medium Haul</v>
      </c>
    </row>
    <row r="853" spans="1:28" x14ac:dyDescent="0.3">
      <c r="A853" s="8" t="str">
        <f t="shared" si="232"/>
        <v>S0852</v>
      </c>
      <c r="B853" s="3">
        <f t="shared" ca="1" si="221"/>
        <v>45999</v>
      </c>
      <c r="C853" s="3" t="str">
        <f ca="1">INDEX(Customers!$A$2:$A$21,RANDBETWEEN(1,20))</f>
        <v>C012</v>
      </c>
      <c r="D853" s="3" t="str">
        <f ca="1">INDEX(Routes!$A$2:$A$31,RANDBETWEEN(1,30))</f>
        <v>R008</v>
      </c>
      <c r="E853" s="3" t="str">
        <f ca="1">INDEX(Vehicles!$A$2:$A$21,RANDBETWEEN(1,20))</f>
        <v>V002</v>
      </c>
      <c r="F853" s="3" t="str">
        <f ca="1">INDEX(Drivers!$A$2:$A$31,RANDBETWEEN(1,30))</f>
        <v>D003</v>
      </c>
      <c r="G853" s="3">
        <f t="shared" ca="1" si="222"/>
        <v>8.4</v>
      </c>
      <c r="H853" s="3">
        <f t="shared" ca="1" si="223"/>
        <v>29078</v>
      </c>
      <c r="I853" s="3">
        <f t="shared" ca="1" si="224"/>
        <v>8142</v>
      </c>
      <c r="J853" s="3">
        <f t="shared" ca="1" si="225"/>
        <v>783</v>
      </c>
      <c r="K853" s="3">
        <f t="shared" ca="1" si="226"/>
        <v>45</v>
      </c>
      <c r="L853" s="3">
        <f t="shared" ca="1" si="227"/>
        <v>47</v>
      </c>
      <c r="M853" s="3">
        <f t="shared" ca="1" si="228"/>
        <v>2</v>
      </c>
      <c r="N853" s="3" t="str">
        <f t="shared" ca="1" si="229"/>
        <v>On Time</v>
      </c>
      <c r="O853" s="3" t="str">
        <f t="shared" ca="1" si="230"/>
        <v>Low</v>
      </c>
      <c r="P853" s="3">
        <f t="shared" ca="1" si="231"/>
        <v>28</v>
      </c>
      <c r="Q853" s="1" t="str">
        <f ca="1">VLOOKUP(D853,Routes!$A$2:$D$31,2,FALSE)</f>
        <v>Delhi</v>
      </c>
      <c r="R853" s="1" t="str">
        <f ca="1">VLOOKUP(D853,Routes!$A$2:$D$31,3,FALSE)</f>
        <v>Kolkata</v>
      </c>
      <c r="S853" s="3">
        <f ca="1">VLOOKUP(D853,Routes!$A$2:$D$31,4,FALSE)</f>
        <v>1500</v>
      </c>
      <c r="T853" s="3" t="str">
        <f ca="1">VLOOKUP(E853,Vehicles!$A$2:$D$21,2,FALSE)</f>
        <v>Truck</v>
      </c>
      <c r="U853" s="3">
        <f ca="1">VLOOKUP(E853,Vehicles!$A$2:$D$21,3,FALSE)</f>
        <v>20</v>
      </c>
      <c r="V853" s="3" t="str">
        <f ca="1">VLOOKUP(E853,Vehicles!$A$2:$D$21,4,FALSE)</f>
        <v>Diesel</v>
      </c>
      <c r="W853" s="3">
        <f ca="1">VLOOKUP(V853,Fuel_Rates!$A$2:$B$3,2,FALSE)</f>
        <v>95</v>
      </c>
      <c r="X853" s="3">
        <f t="shared" ca="1" si="233"/>
        <v>19.39</v>
      </c>
      <c r="Y853" s="3">
        <f t="shared" ca="1" si="234"/>
        <v>38003</v>
      </c>
      <c r="Z853" s="3" t="str">
        <f t="shared" ca="1" si="235"/>
        <v>Dec</v>
      </c>
      <c r="AA853" s="3" t="str">
        <f t="shared" ca="1" si="236"/>
        <v>Q4</v>
      </c>
      <c r="AB853" s="4" t="str">
        <f t="shared" ca="1" si="237"/>
        <v>Long Haul</v>
      </c>
    </row>
    <row r="854" spans="1:28" x14ac:dyDescent="0.3">
      <c r="A854" s="8" t="str">
        <f t="shared" si="232"/>
        <v>S0853</v>
      </c>
      <c r="B854" s="3">
        <f t="shared" ca="1" si="221"/>
        <v>45678</v>
      </c>
      <c r="C854" s="3" t="str">
        <f ca="1">INDEX(Customers!$A$2:$A$21,RANDBETWEEN(1,20))</f>
        <v>C003</v>
      </c>
      <c r="D854" s="3" t="str">
        <f ca="1">INDEX(Routes!$A$2:$A$31,RANDBETWEEN(1,30))</f>
        <v>R029</v>
      </c>
      <c r="E854" s="3" t="str">
        <f ca="1">INDEX(Vehicles!$A$2:$A$21,RANDBETWEEN(1,20))</f>
        <v>V018</v>
      </c>
      <c r="F854" s="3" t="str">
        <f ca="1">INDEX(Drivers!$A$2:$A$31,RANDBETWEEN(1,30))</f>
        <v>D017</v>
      </c>
      <c r="G854" s="3">
        <f t="shared" ca="1" si="222"/>
        <v>17.899999999999999</v>
      </c>
      <c r="H854" s="3">
        <f t="shared" ca="1" si="223"/>
        <v>46894</v>
      </c>
      <c r="I854" s="3">
        <f t="shared" ca="1" si="224"/>
        <v>13130</v>
      </c>
      <c r="J854" s="3">
        <f t="shared" ca="1" si="225"/>
        <v>736</v>
      </c>
      <c r="K854" s="3">
        <f t="shared" ca="1" si="226"/>
        <v>7</v>
      </c>
      <c r="L854" s="3">
        <f t="shared" ca="1" si="227"/>
        <v>8</v>
      </c>
      <c r="M854" s="3">
        <f t="shared" ca="1" si="228"/>
        <v>1</v>
      </c>
      <c r="N854" s="3" t="str">
        <f t="shared" ca="1" si="229"/>
        <v>On Time</v>
      </c>
      <c r="O854" s="3" t="str">
        <f t="shared" ca="1" si="230"/>
        <v>Low</v>
      </c>
      <c r="P854" s="3">
        <f t="shared" ca="1" si="231"/>
        <v>59.7</v>
      </c>
      <c r="Q854" s="1" t="str">
        <f ca="1">VLOOKUP(D854,Routes!$A$2:$D$31,2,FALSE)</f>
        <v>Chandigarh</v>
      </c>
      <c r="R854" s="1" t="str">
        <f ca="1">VLOOKUP(D854,Routes!$A$2:$D$31,3,FALSE)</f>
        <v>Delhi</v>
      </c>
      <c r="S854" s="3">
        <f ca="1">VLOOKUP(D854,Routes!$A$2:$D$31,4,FALSE)</f>
        <v>250</v>
      </c>
      <c r="T854" s="3" t="str">
        <f ca="1">VLOOKUP(E854,Vehicles!$A$2:$D$21,2,FALSE)</f>
        <v>Truck</v>
      </c>
      <c r="U854" s="3">
        <f ca="1">VLOOKUP(E854,Vehicles!$A$2:$D$21,3,FALSE)</f>
        <v>26</v>
      </c>
      <c r="V854" s="3" t="str">
        <f ca="1">VLOOKUP(E854,Vehicles!$A$2:$D$21,4,FALSE)</f>
        <v>Diesel</v>
      </c>
      <c r="W854" s="3">
        <f ca="1">VLOOKUP(V854,Fuel_Rates!$A$2:$B$3,2,FALSE)</f>
        <v>95</v>
      </c>
      <c r="X854" s="3">
        <f t="shared" ca="1" si="233"/>
        <v>187.58</v>
      </c>
      <c r="Y854" s="3">
        <f t="shared" ca="1" si="234"/>
        <v>60760</v>
      </c>
      <c r="Z854" s="3" t="str">
        <f t="shared" ca="1" si="235"/>
        <v>Jan</v>
      </c>
      <c r="AA854" s="3" t="str">
        <f t="shared" ca="1" si="236"/>
        <v>Q1</v>
      </c>
      <c r="AB854" s="4" t="str">
        <f t="shared" ca="1" si="237"/>
        <v>Short Haul</v>
      </c>
    </row>
    <row r="855" spans="1:28" x14ac:dyDescent="0.3">
      <c r="A855" s="8" t="str">
        <f t="shared" si="232"/>
        <v>S0854</v>
      </c>
      <c r="B855" s="3">
        <f t="shared" ca="1" si="221"/>
        <v>45842</v>
      </c>
      <c r="C855" s="3" t="str">
        <f ca="1">INDEX(Customers!$A$2:$A$21,RANDBETWEEN(1,20))</f>
        <v>C010</v>
      </c>
      <c r="D855" s="3" t="str">
        <f ca="1">INDEX(Routes!$A$2:$A$31,RANDBETWEEN(1,30))</f>
        <v>R015</v>
      </c>
      <c r="E855" s="3" t="str">
        <f ca="1">INDEX(Vehicles!$A$2:$A$21,RANDBETWEEN(1,20))</f>
        <v>V006</v>
      </c>
      <c r="F855" s="3" t="str">
        <f ca="1">INDEX(Drivers!$A$2:$A$31,RANDBETWEEN(1,30))</f>
        <v>D008</v>
      </c>
      <c r="G855" s="3">
        <f t="shared" ca="1" si="222"/>
        <v>2.7</v>
      </c>
      <c r="H855" s="3">
        <f t="shared" ca="1" si="223"/>
        <v>13914</v>
      </c>
      <c r="I855" s="3">
        <f t="shared" ca="1" si="224"/>
        <v>3896</v>
      </c>
      <c r="J855" s="3">
        <f t="shared" ca="1" si="225"/>
        <v>3149</v>
      </c>
      <c r="K855" s="3">
        <f t="shared" ca="1" si="226"/>
        <v>43</v>
      </c>
      <c r="L855" s="3">
        <f t="shared" ca="1" si="227"/>
        <v>46</v>
      </c>
      <c r="M855" s="3">
        <f t="shared" ca="1" si="228"/>
        <v>3</v>
      </c>
      <c r="N855" s="3" t="str">
        <f t="shared" ca="1" si="229"/>
        <v>Delayed</v>
      </c>
      <c r="O855" s="3" t="str">
        <f t="shared" ca="1" si="230"/>
        <v>High</v>
      </c>
      <c r="P855" s="3">
        <f t="shared" ca="1" si="231"/>
        <v>9</v>
      </c>
      <c r="Q855" s="1" t="str">
        <f ca="1">VLOOKUP(D855,Routes!$A$2:$D$31,2,FALSE)</f>
        <v>Hyderabad</v>
      </c>
      <c r="R855" s="1" t="str">
        <f ca="1">VLOOKUP(D855,Routes!$A$2:$D$31,3,FALSE)</f>
        <v>Pune</v>
      </c>
      <c r="S855" s="3">
        <f ca="1">VLOOKUP(D855,Routes!$A$2:$D$31,4,FALSE)</f>
        <v>560</v>
      </c>
      <c r="T855" s="3" t="str">
        <f ca="1">VLOOKUP(E855,Vehicles!$A$2:$D$21,2,FALSE)</f>
        <v>Container</v>
      </c>
      <c r="U855" s="3">
        <f ca="1">VLOOKUP(E855,Vehicles!$A$2:$D$21,3,FALSE)</f>
        <v>18</v>
      </c>
      <c r="V855" s="3" t="str">
        <f ca="1">VLOOKUP(E855,Vehicles!$A$2:$D$21,4,FALSE)</f>
        <v>Diesel</v>
      </c>
      <c r="W855" s="3">
        <f ca="1">VLOOKUP(V855,Fuel_Rates!$A$2:$B$3,2,FALSE)</f>
        <v>95</v>
      </c>
      <c r="X855" s="3">
        <f t="shared" ca="1" si="233"/>
        <v>24.85</v>
      </c>
      <c r="Y855" s="3">
        <f t="shared" ca="1" si="234"/>
        <v>20959</v>
      </c>
      <c r="Z855" s="3" t="str">
        <f t="shared" ca="1" si="235"/>
        <v>Jul</v>
      </c>
      <c r="AA855" s="3" t="str">
        <f t="shared" ca="1" si="236"/>
        <v>Q3</v>
      </c>
      <c r="AB855" s="4" t="str">
        <f t="shared" ca="1" si="237"/>
        <v>Medium Haul</v>
      </c>
    </row>
    <row r="856" spans="1:28" x14ac:dyDescent="0.3">
      <c r="A856" s="8" t="str">
        <f t="shared" si="232"/>
        <v>S0855</v>
      </c>
      <c r="B856" s="3">
        <f t="shared" ca="1" si="221"/>
        <v>45728</v>
      </c>
      <c r="C856" s="3" t="str">
        <f ca="1">INDEX(Customers!$A$2:$A$21,RANDBETWEEN(1,20))</f>
        <v>C015</v>
      </c>
      <c r="D856" s="3" t="str">
        <f ca="1">INDEX(Routes!$A$2:$A$31,RANDBETWEEN(1,30))</f>
        <v>R016</v>
      </c>
      <c r="E856" s="3" t="str">
        <f ca="1">INDEX(Vehicles!$A$2:$A$21,RANDBETWEEN(1,20))</f>
        <v>V004</v>
      </c>
      <c r="F856" s="3" t="str">
        <f ca="1">INDEX(Drivers!$A$2:$A$31,RANDBETWEEN(1,30))</f>
        <v>D022</v>
      </c>
      <c r="G856" s="3">
        <f t="shared" ca="1" si="222"/>
        <v>12.5</v>
      </c>
      <c r="H856" s="3">
        <f t="shared" ca="1" si="223"/>
        <v>28313</v>
      </c>
      <c r="I856" s="3">
        <f t="shared" ca="1" si="224"/>
        <v>7928</v>
      </c>
      <c r="J856" s="3">
        <f t="shared" ca="1" si="225"/>
        <v>3711</v>
      </c>
      <c r="K856" s="3">
        <f t="shared" ca="1" si="226"/>
        <v>5</v>
      </c>
      <c r="L856" s="3">
        <f t="shared" ca="1" si="227"/>
        <v>13</v>
      </c>
      <c r="M856" s="3">
        <f t="shared" ca="1" si="228"/>
        <v>8</v>
      </c>
      <c r="N856" s="3" t="str">
        <f t="shared" ca="1" si="229"/>
        <v>Delayed</v>
      </c>
      <c r="O856" s="3" t="str">
        <f t="shared" ca="1" si="230"/>
        <v>Low</v>
      </c>
      <c r="P856" s="3">
        <f t="shared" ca="1" si="231"/>
        <v>41.7</v>
      </c>
      <c r="Q856" s="1" t="str">
        <f ca="1">VLOOKUP(D856,Routes!$A$2:$D$31,2,FALSE)</f>
        <v>Kolkata</v>
      </c>
      <c r="R856" s="1" t="str">
        <f ca="1">VLOOKUP(D856,Routes!$A$2:$D$31,3,FALSE)</f>
        <v>Bhubaneswar</v>
      </c>
      <c r="S856" s="3">
        <f ca="1">VLOOKUP(D856,Routes!$A$2:$D$31,4,FALSE)</f>
        <v>440</v>
      </c>
      <c r="T856" s="3" t="str">
        <f ca="1">VLOOKUP(E856,Vehicles!$A$2:$D$21,2,FALSE)</f>
        <v>Trailer</v>
      </c>
      <c r="U856" s="3">
        <f ca="1">VLOOKUP(E856,Vehicles!$A$2:$D$21,3,FALSE)</f>
        <v>28</v>
      </c>
      <c r="V856" s="3" t="str">
        <f ca="1">VLOOKUP(E856,Vehicles!$A$2:$D$21,4,FALSE)</f>
        <v>Diesel</v>
      </c>
      <c r="W856" s="3">
        <f ca="1">VLOOKUP(V856,Fuel_Rates!$A$2:$B$3,2,FALSE)</f>
        <v>95</v>
      </c>
      <c r="X856" s="3">
        <f t="shared" ca="1" si="233"/>
        <v>64.349999999999994</v>
      </c>
      <c r="Y856" s="3">
        <f t="shared" ca="1" si="234"/>
        <v>39952</v>
      </c>
      <c r="Z856" s="3" t="str">
        <f t="shared" ca="1" si="235"/>
        <v>Mar</v>
      </c>
      <c r="AA856" s="3" t="str">
        <f t="shared" ca="1" si="236"/>
        <v>Q1</v>
      </c>
      <c r="AB856" s="4" t="str">
        <f t="shared" ca="1" si="237"/>
        <v>Medium Haul</v>
      </c>
    </row>
    <row r="857" spans="1:28" x14ac:dyDescent="0.3">
      <c r="A857" s="8" t="str">
        <f t="shared" si="232"/>
        <v>S0856</v>
      </c>
      <c r="B857" s="3">
        <f t="shared" ca="1" si="221"/>
        <v>45987</v>
      </c>
      <c r="C857" s="3" t="str">
        <f ca="1">INDEX(Customers!$A$2:$A$21,RANDBETWEEN(1,20))</f>
        <v>C003</v>
      </c>
      <c r="D857" s="3" t="str">
        <f ca="1">INDEX(Routes!$A$2:$A$31,RANDBETWEEN(1,30))</f>
        <v>R014</v>
      </c>
      <c r="E857" s="3" t="str">
        <f ca="1">INDEX(Vehicles!$A$2:$A$21,RANDBETWEEN(1,20))</f>
        <v>V009</v>
      </c>
      <c r="F857" s="3" t="str">
        <f ca="1">INDEX(Drivers!$A$2:$A$31,RANDBETWEEN(1,30))</f>
        <v>D008</v>
      </c>
      <c r="G857" s="3">
        <f t="shared" ca="1" si="222"/>
        <v>11.5</v>
      </c>
      <c r="H857" s="3">
        <f t="shared" ca="1" si="223"/>
        <v>27225</v>
      </c>
      <c r="I857" s="3">
        <f t="shared" ca="1" si="224"/>
        <v>7623</v>
      </c>
      <c r="J857" s="3">
        <f t="shared" ca="1" si="225"/>
        <v>3457</v>
      </c>
      <c r="K857" s="3">
        <f t="shared" ca="1" si="226"/>
        <v>41</v>
      </c>
      <c r="L857" s="3">
        <f t="shared" ca="1" si="227"/>
        <v>41</v>
      </c>
      <c r="M857" s="3">
        <f t="shared" ca="1" si="228"/>
        <v>0</v>
      </c>
      <c r="N857" s="3" t="str">
        <f t="shared" ca="1" si="229"/>
        <v>On Time</v>
      </c>
      <c r="O857" s="3" t="str">
        <f t="shared" ca="1" si="230"/>
        <v>High</v>
      </c>
      <c r="P857" s="3">
        <f t="shared" ca="1" si="231"/>
        <v>38.299999999999997</v>
      </c>
      <c r="Q857" s="1" t="str">
        <f ca="1">VLOOKUP(D857,Routes!$A$2:$D$31,2,FALSE)</f>
        <v>Hyderabad</v>
      </c>
      <c r="R857" s="1" t="str">
        <f ca="1">VLOOKUP(D857,Routes!$A$2:$D$31,3,FALSE)</f>
        <v>Nagpur</v>
      </c>
      <c r="S857" s="3">
        <f ca="1">VLOOKUP(D857,Routes!$A$2:$D$31,4,FALSE)</f>
        <v>500</v>
      </c>
      <c r="T857" s="3" t="str">
        <f ca="1">VLOOKUP(E857,Vehicles!$A$2:$D$21,2,FALSE)</f>
        <v>LCV</v>
      </c>
      <c r="U857" s="3">
        <f ca="1">VLOOKUP(E857,Vehicles!$A$2:$D$21,3,FALSE)</f>
        <v>5</v>
      </c>
      <c r="V857" s="3" t="str">
        <f ca="1">VLOOKUP(E857,Vehicles!$A$2:$D$21,4,FALSE)</f>
        <v>Diesel</v>
      </c>
      <c r="W857" s="3">
        <f ca="1">VLOOKUP(V857,Fuel_Rates!$A$2:$B$3,2,FALSE)</f>
        <v>95</v>
      </c>
      <c r="X857" s="3">
        <f t="shared" ca="1" si="233"/>
        <v>54.45</v>
      </c>
      <c r="Y857" s="3">
        <f t="shared" ca="1" si="234"/>
        <v>38305</v>
      </c>
      <c r="Z857" s="3" t="str">
        <f t="shared" ca="1" si="235"/>
        <v>Nov</v>
      </c>
      <c r="AA857" s="3" t="str">
        <f t="shared" ca="1" si="236"/>
        <v>Q4</v>
      </c>
      <c r="AB857" s="4" t="str">
        <f t="shared" ca="1" si="237"/>
        <v>Medium Haul</v>
      </c>
    </row>
    <row r="858" spans="1:28" x14ac:dyDescent="0.3">
      <c r="A858" s="8" t="str">
        <f t="shared" si="232"/>
        <v>S0857</v>
      </c>
      <c r="B858" s="3">
        <f t="shared" ca="1" si="221"/>
        <v>45920</v>
      </c>
      <c r="C858" s="3" t="str">
        <f ca="1">INDEX(Customers!$A$2:$A$21,RANDBETWEEN(1,20))</f>
        <v>C012</v>
      </c>
      <c r="D858" s="3" t="str">
        <f ca="1">INDEX(Routes!$A$2:$A$31,RANDBETWEEN(1,30))</f>
        <v>R015</v>
      </c>
      <c r="E858" s="3" t="str">
        <f ca="1">INDEX(Vehicles!$A$2:$A$21,RANDBETWEEN(1,20))</f>
        <v>V002</v>
      </c>
      <c r="F858" s="3" t="str">
        <f ca="1">INDEX(Drivers!$A$2:$A$31,RANDBETWEEN(1,30))</f>
        <v>D029</v>
      </c>
      <c r="G858" s="3">
        <f t="shared" ca="1" si="222"/>
        <v>17.3</v>
      </c>
      <c r="H858" s="3">
        <f t="shared" ca="1" si="223"/>
        <v>40535</v>
      </c>
      <c r="I858" s="3">
        <f t="shared" ca="1" si="224"/>
        <v>11350</v>
      </c>
      <c r="J858" s="3">
        <f t="shared" ca="1" si="225"/>
        <v>2436</v>
      </c>
      <c r="K858" s="3">
        <f t="shared" ca="1" si="226"/>
        <v>24</v>
      </c>
      <c r="L858" s="3">
        <f t="shared" ca="1" si="227"/>
        <v>26</v>
      </c>
      <c r="M858" s="3">
        <f t="shared" ca="1" si="228"/>
        <v>2</v>
      </c>
      <c r="N858" s="3" t="str">
        <f t="shared" ca="1" si="229"/>
        <v>On Time</v>
      </c>
      <c r="O858" s="3" t="str">
        <f t="shared" ca="1" si="230"/>
        <v>High</v>
      </c>
      <c r="P858" s="3">
        <f t="shared" ca="1" si="231"/>
        <v>57.7</v>
      </c>
      <c r="Q858" s="1" t="str">
        <f ca="1">VLOOKUP(D858,Routes!$A$2:$D$31,2,FALSE)</f>
        <v>Hyderabad</v>
      </c>
      <c r="R858" s="1" t="str">
        <f ca="1">VLOOKUP(D858,Routes!$A$2:$D$31,3,FALSE)</f>
        <v>Pune</v>
      </c>
      <c r="S858" s="3">
        <f ca="1">VLOOKUP(D858,Routes!$A$2:$D$31,4,FALSE)</f>
        <v>560</v>
      </c>
      <c r="T858" s="3" t="str">
        <f ca="1">VLOOKUP(E858,Vehicles!$A$2:$D$21,2,FALSE)</f>
        <v>Truck</v>
      </c>
      <c r="U858" s="3">
        <f ca="1">VLOOKUP(E858,Vehicles!$A$2:$D$21,3,FALSE)</f>
        <v>20</v>
      </c>
      <c r="V858" s="3" t="str">
        <f ca="1">VLOOKUP(E858,Vehicles!$A$2:$D$21,4,FALSE)</f>
        <v>Diesel</v>
      </c>
      <c r="W858" s="3">
        <f ca="1">VLOOKUP(V858,Fuel_Rates!$A$2:$B$3,2,FALSE)</f>
        <v>95</v>
      </c>
      <c r="X858" s="3">
        <f t="shared" ca="1" si="233"/>
        <v>72.38</v>
      </c>
      <c r="Y858" s="3">
        <f t="shared" ca="1" si="234"/>
        <v>54321</v>
      </c>
      <c r="Z858" s="3" t="str">
        <f t="shared" ca="1" si="235"/>
        <v>Sep</v>
      </c>
      <c r="AA858" s="3" t="str">
        <f t="shared" ca="1" si="236"/>
        <v>Q3</v>
      </c>
      <c r="AB858" s="4" t="str">
        <f t="shared" ca="1" si="237"/>
        <v>Medium Haul</v>
      </c>
    </row>
    <row r="859" spans="1:28" x14ac:dyDescent="0.3">
      <c r="A859" s="8" t="str">
        <f t="shared" si="232"/>
        <v>S0858</v>
      </c>
      <c r="B859" s="3">
        <f t="shared" ca="1" si="221"/>
        <v>46006</v>
      </c>
      <c r="C859" s="3" t="str">
        <f ca="1">INDEX(Customers!$A$2:$A$21,RANDBETWEEN(1,20))</f>
        <v>C013</v>
      </c>
      <c r="D859" s="3" t="str">
        <f ca="1">INDEX(Routes!$A$2:$A$31,RANDBETWEEN(1,30))</f>
        <v>R001</v>
      </c>
      <c r="E859" s="3" t="str">
        <f ca="1">INDEX(Vehicles!$A$2:$A$21,RANDBETWEEN(1,20))</f>
        <v>V016</v>
      </c>
      <c r="F859" s="3" t="str">
        <f ca="1">INDEX(Drivers!$A$2:$A$31,RANDBETWEEN(1,30))</f>
        <v>D018</v>
      </c>
      <c r="G859" s="3">
        <f t="shared" ca="1" si="222"/>
        <v>6</v>
      </c>
      <c r="H859" s="3">
        <f t="shared" ca="1" si="223"/>
        <v>16253</v>
      </c>
      <c r="I859" s="3">
        <f t="shared" ca="1" si="224"/>
        <v>4551</v>
      </c>
      <c r="J859" s="3">
        <f t="shared" ca="1" si="225"/>
        <v>2002</v>
      </c>
      <c r="K859" s="3">
        <f t="shared" ca="1" si="226"/>
        <v>5</v>
      </c>
      <c r="L859" s="3">
        <f t="shared" ca="1" si="227"/>
        <v>9</v>
      </c>
      <c r="M859" s="3">
        <f t="shared" ca="1" si="228"/>
        <v>4</v>
      </c>
      <c r="N859" s="3" t="str">
        <f t="shared" ca="1" si="229"/>
        <v>Delayed</v>
      </c>
      <c r="O859" s="3" t="str">
        <f t="shared" ca="1" si="230"/>
        <v>High</v>
      </c>
      <c r="P859" s="3">
        <f t="shared" ca="1" si="231"/>
        <v>20</v>
      </c>
      <c r="Q859" s="1" t="str">
        <f ca="1">VLOOKUP(D859,Routes!$A$2:$D$31,2,FALSE)</f>
        <v>Mumbai</v>
      </c>
      <c r="R859" s="1" t="str">
        <f ca="1">VLOOKUP(D859,Routes!$A$2:$D$31,3,FALSE)</f>
        <v>Pune</v>
      </c>
      <c r="S859" s="3">
        <f ca="1">VLOOKUP(D859,Routes!$A$2:$D$31,4,FALSE)</f>
        <v>150</v>
      </c>
      <c r="T859" s="3" t="str">
        <f ca="1">VLOOKUP(E859,Vehicles!$A$2:$D$21,2,FALSE)</f>
        <v>Container</v>
      </c>
      <c r="U859" s="3">
        <f ca="1">VLOOKUP(E859,Vehicles!$A$2:$D$21,3,FALSE)</f>
        <v>22</v>
      </c>
      <c r="V859" s="3" t="str">
        <f ca="1">VLOOKUP(E859,Vehicles!$A$2:$D$21,4,FALSE)</f>
        <v>Diesel</v>
      </c>
      <c r="W859" s="3">
        <f ca="1">VLOOKUP(V859,Fuel_Rates!$A$2:$B$3,2,FALSE)</f>
        <v>95</v>
      </c>
      <c r="X859" s="3">
        <f t="shared" ca="1" si="233"/>
        <v>108.35</v>
      </c>
      <c r="Y859" s="3">
        <f t="shared" ca="1" si="234"/>
        <v>22806</v>
      </c>
      <c r="Z859" s="3" t="str">
        <f t="shared" ca="1" si="235"/>
        <v>Dec</v>
      </c>
      <c r="AA859" s="3" t="str">
        <f t="shared" ca="1" si="236"/>
        <v>Q4</v>
      </c>
      <c r="AB859" s="4" t="str">
        <f t="shared" ca="1" si="237"/>
        <v>Short Haul</v>
      </c>
    </row>
    <row r="860" spans="1:28" x14ac:dyDescent="0.3">
      <c r="A860" s="8" t="str">
        <f t="shared" si="232"/>
        <v>S0859</v>
      </c>
      <c r="B860" s="3">
        <f t="shared" ca="1" si="221"/>
        <v>45716</v>
      </c>
      <c r="C860" s="3" t="str">
        <f ca="1">INDEX(Customers!$A$2:$A$21,RANDBETWEEN(1,20))</f>
        <v>C013</v>
      </c>
      <c r="D860" s="3" t="str">
        <f ca="1">INDEX(Routes!$A$2:$A$31,RANDBETWEEN(1,30))</f>
        <v>R002</v>
      </c>
      <c r="E860" s="3" t="str">
        <f ca="1">INDEX(Vehicles!$A$2:$A$21,RANDBETWEEN(1,20))</f>
        <v>V018</v>
      </c>
      <c r="F860" s="3" t="str">
        <f ca="1">INDEX(Drivers!$A$2:$A$31,RANDBETWEEN(1,30))</f>
        <v>D008</v>
      </c>
      <c r="G860" s="3">
        <f t="shared" ca="1" si="222"/>
        <v>27</v>
      </c>
      <c r="H860" s="3">
        <f t="shared" ca="1" si="223"/>
        <v>60993</v>
      </c>
      <c r="I860" s="3">
        <f t="shared" ca="1" si="224"/>
        <v>17078</v>
      </c>
      <c r="J860" s="3">
        <f t="shared" ca="1" si="225"/>
        <v>1723</v>
      </c>
      <c r="K860" s="3">
        <f t="shared" ca="1" si="226"/>
        <v>35</v>
      </c>
      <c r="L860" s="3">
        <f t="shared" ca="1" si="227"/>
        <v>36</v>
      </c>
      <c r="M860" s="3">
        <f t="shared" ca="1" si="228"/>
        <v>1</v>
      </c>
      <c r="N860" s="3" t="str">
        <f t="shared" ca="1" si="229"/>
        <v>On Time</v>
      </c>
      <c r="O860" s="3" t="str">
        <f t="shared" ca="1" si="230"/>
        <v>Low</v>
      </c>
      <c r="P860" s="3">
        <f t="shared" ca="1" si="231"/>
        <v>90</v>
      </c>
      <c r="Q860" s="1" t="str">
        <f ca="1">VLOOKUP(D860,Routes!$A$2:$D$31,2,FALSE)</f>
        <v>Mumbai</v>
      </c>
      <c r="R860" s="1" t="str">
        <f ca="1">VLOOKUP(D860,Routes!$A$2:$D$31,3,FALSE)</f>
        <v>Ahmedabad</v>
      </c>
      <c r="S860" s="3">
        <f ca="1">VLOOKUP(D860,Routes!$A$2:$D$31,4,FALSE)</f>
        <v>530</v>
      </c>
      <c r="T860" s="3" t="str">
        <f ca="1">VLOOKUP(E860,Vehicles!$A$2:$D$21,2,FALSE)</f>
        <v>Truck</v>
      </c>
      <c r="U860" s="3">
        <f ca="1">VLOOKUP(E860,Vehicles!$A$2:$D$21,3,FALSE)</f>
        <v>26</v>
      </c>
      <c r="V860" s="3" t="str">
        <f ca="1">VLOOKUP(E860,Vehicles!$A$2:$D$21,4,FALSE)</f>
        <v>Diesel</v>
      </c>
      <c r="W860" s="3">
        <f ca="1">VLOOKUP(V860,Fuel_Rates!$A$2:$B$3,2,FALSE)</f>
        <v>95</v>
      </c>
      <c r="X860" s="3">
        <f t="shared" ca="1" si="233"/>
        <v>115.08</v>
      </c>
      <c r="Y860" s="3">
        <f t="shared" ca="1" si="234"/>
        <v>79794</v>
      </c>
      <c r="Z860" s="3" t="str">
        <f t="shared" ca="1" si="235"/>
        <v>Feb</v>
      </c>
      <c r="AA860" s="3" t="str">
        <f t="shared" ca="1" si="236"/>
        <v>Q1</v>
      </c>
      <c r="AB860" s="4" t="str">
        <f t="shared" ca="1" si="237"/>
        <v>Medium Haul</v>
      </c>
    </row>
    <row r="861" spans="1:28" x14ac:dyDescent="0.3">
      <c r="A861" s="8" t="str">
        <f t="shared" si="232"/>
        <v>S0860</v>
      </c>
      <c r="B861" s="3">
        <f t="shared" ca="1" si="221"/>
        <v>45768</v>
      </c>
      <c r="C861" s="3" t="str">
        <f ca="1">INDEX(Customers!$A$2:$A$21,RANDBETWEEN(1,20))</f>
        <v>C018</v>
      </c>
      <c r="D861" s="3" t="str">
        <f ca="1">INDEX(Routes!$A$2:$A$31,RANDBETWEEN(1,30))</f>
        <v>R006</v>
      </c>
      <c r="E861" s="3" t="str">
        <f ca="1">INDEX(Vehicles!$A$2:$A$21,RANDBETWEEN(1,20))</f>
        <v>V018</v>
      </c>
      <c r="F861" s="3" t="str">
        <f ca="1">INDEX(Drivers!$A$2:$A$31,RANDBETWEEN(1,30))</f>
        <v>D003</v>
      </c>
      <c r="G861" s="3">
        <f t="shared" ca="1" si="222"/>
        <v>9.5</v>
      </c>
      <c r="H861" s="3">
        <f t="shared" ca="1" si="223"/>
        <v>29119</v>
      </c>
      <c r="I861" s="3">
        <f t="shared" ca="1" si="224"/>
        <v>8153</v>
      </c>
      <c r="J861" s="3">
        <f t="shared" ca="1" si="225"/>
        <v>3642</v>
      </c>
      <c r="K861" s="3">
        <f t="shared" ca="1" si="226"/>
        <v>47</v>
      </c>
      <c r="L861" s="3">
        <f t="shared" ca="1" si="227"/>
        <v>53</v>
      </c>
      <c r="M861" s="3">
        <f t="shared" ca="1" si="228"/>
        <v>6</v>
      </c>
      <c r="N861" s="3" t="str">
        <f t="shared" ca="1" si="229"/>
        <v>Delayed</v>
      </c>
      <c r="O861" s="3" t="str">
        <f t="shared" ca="1" si="230"/>
        <v>Medium</v>
      </c>
      <c r="P861" s="3">
        <f t="shared" ca="1" si="231"/>
        <v>31.7</v>
      </c>
      <c r="Q861" s="1" t="str">
        <f ca="1">VLOOKUP(D861,Routes!$A$2:$D$31,2,FALSE)</f>
        <v>Delhi</v>
      </c>
      <c r="R861" s="1" t="str">
        <f ca="1">VLOOKUP(D861,Routes!$A$2:$D$31,3,FALSE)</f>
        <v>Lucknow</v>
      </c>
      <c r="S861" s="3">
        <f ca="1">VLOOKUP(D861,Routes!$A$2:$D$31,4,FALSE)</f>
        <v>550</v>
      </c>
      <c r="T861" s="3" t="str">
        <f ca="1">VLOOKUP(E861,Vehicles!$A$2:$D$21,2,FALSE)</f>
        <v>Truck</v>
      </c>
      <c r="U861" s="3">
        <f ca="1">VLOOKUP(E861,Vehicles!$A$2:$D$21,3,FALSE)</f>
        <v>26</v>
      </c>
      <c r="V861" s="3" t="str">
        <f ca="1">VLOOKUP(E861,Vehicles!$A$2:$D$21,4,FALSE)</f>
        <v>Diesel</v>
      </c>
      <c r="W861" s="3">
        <f ca="1">VLOOKUP(V861,Fuel_Rates!$A$2:$B$3,2,FALSE)</f>
        <v>95</v>
      </c>
      <c r="X861" s="3">
        <f t="shared" ca="1" si="233"/>
        <v>52.94</v>
      </c>
      <c r="Y861" s="3">
        <f t="shared" ca="1" si="234"/>
        <v>40914</v>
      </c>
      <c r="Z861" s="3" t="str">
        <f t="shared" ca="1" si="235"/>
        <v>Apr</v>
      </c>
      <c r="AA861" s="3" t="str">
        <f t="shared" ca="1" si="236"/>
        <v>Q2</v>
      </c>
      <c r="AB861" s="4" t="str">
        <f t="shared" ca="1" si="237"/>
        <v>Medium Haul</v>
      </c>
    </row>
    <row r="862" spans="1:28" x14ac:dyDescent="0.3">
      <c r="A862" s="8" t="str">
        <f t="shared" si="232"/>
        <v>S0861</v>
      </c>
      <c r="B862" s="3">
        <f t="shared" ca="1" si="221"/>
        <v>45980</v>
      </c>
      <c r="C862" s="3" t="str">
        <f ca="1">INDEX(Customers!$A$2:$A$21,RANDBETWEEN(1,20))</f>
        <v>C002</v>
      </c>
      <c r="D862" s="3" t="str">
        <f ca="1">INDEX(Routes!$A$2:$A$31,RANDBETWEEN(1,30))</f>
        <v>R028</v>
      </c>
      <c r="E862" s="3" t="str">
        <f ca="1">INDEX(Vehicles!$A$2:$A$21,RANDBETWEEN(1,20))</f>
        <v>V019</v>
      </c>
      <c r="F862" s="3" t="str">
        <f ca="1">INDEX(Drivers!$A$2:$A$31,RANDBETWEEN(1,30))</f>
        <v>D026</v>
      </c>
      <c r="G862" s="3">
        <f t="shared" ca="1" si="222"/>
        <v>6.8</v>
      </c>
      <c r="H862" s="3">
        <f t="shared" ca="1" si="223"/>
        <v>19744</v>
      </c>
      <c r="I862" s="3">
        <f t="shared" ca="1" si="224"/>
        <v>5528</v>
      </c>
      <c r="J862" s="3">
        <f t="shared" ca="1" si="225"/>
        <v>3591</v>
      </c>
      <c r="K862" s="3">
        <f t="shared" ca="1" si="226"/>
        <v>16</v>
      </c>
      <c r="L862" s="3">
        <f t="shared" ca="1" si="227"/>
        <v>19</v>
      </c>
      <c r="M862" s="3">
        <f t="shared" ca="1" si="228"/>
        <v>3</v>
      </c>
      <c r="N862" s="3" t="str">
        <f t="shared" ca="1" si="229"/>
        <v>Delayed</v>
      </c>
      <c r="O862" s="3" t="str">
        <f t="shared" ca="1" si="230"/>
        <v>Low</v>
      </c>
      <c r="P862" s="3">
        <f t="shared" ca="1" si="231"/>
        <v>22.7</v>
      </c>
      <c r="Q862" s="1" t="str">
        <f ca="1">VLOOKUP(D862,Routes!$A$2:$D$31,2,FALSE)</f>
        <v>Indore</v>
      </c>
      <c r="R862" s="1" t="str">
        <f ca="1">VLOOKUP(D862,Routes!$A$2:$D$31,3,FALSE)</f>
        <v>Mumbai</v>
      </c>
      <c r="S862" s="3">
        <f ca="1">VLOOKUP(D862,Routes!$A$2:$D$31,4,FALSE)</f>
        <v>590</v>
      </c>
      <c r="T862" s="3" t="str">
        <f ca="1">VLOOKUP(E862,Vehicles!$A$2:$D$21,2,FALSE)</f>
        <v>Trailer</v>
      </c>
      <c r="U862" s="3">
        <f ca="1">VLOOKUP(E862,Vehicles!$A$2:$D$21,3,FALSE)</f>
        <v>35</v>
      </c>
      <c r="V862" s="3" t="str">
        <f ca="1">VLOOKUP(E862,Vehicles!$A$2:$D$21,4,FALSE)</f>
        <v>Diesel</v>
      </c>
      <c r="W862" s="3">
        <f ca="1">VLOOKUP(V862,Fuel_Rates!$A$2:$B$3,2,FALSE)</f>
        <v>95</v>
      </c>
      <c r="X862" s="3">
        <f t="shared" ca="1" si="233"/>
        <v>33.46</v>
      </c>
      <c r="Y862" s="3">
        <f t="shared" ca="1" si="234"/>
        <v>28863</v>
      </c>
      <c r="Z862" s="3" t="str">
        <f t="shared" ca="1" si="235"/>
        <v>Nov</v>
      </c>
      <c r="AA862" s="3" t="str">
        <f t="shared" ca="1" si="236"/>
        <v>Q4</v>
      </c>
      <c r="AB862" s="4" t="str">
        <f t="shared" ca="1" si="237"/>
        <v>Medium Haul</v>
      </c>
    </row>
    <row r="863" spans="1:28" x14ac:dyDescent="0.3">
      <c r="A863" s="8" t="str">
        <f t="shared" si="232"/>
        <v>S0862</v>
      </c>
      <c r="B863" s="3">
        <f t="shared" ca="1" si="221"/>
        <v>45980</v>
      </c>
      <c r="C863" s="3" t="str">
        <f ca="1">INDEX(Customers!$A$2:$A$21,RANDBETWEEN(1,20))</f>
        <v>C003</v>
      </c>
      <c r="D863" s="3" t="str">
        <f ca="1">INDEX(Routes!$A$2:$A$31,RANDBETWEEN(1,30))</f>
        <v>R010</v>
      </c>
      <c r="E863" s="3" t="str">
        <f ca="1">INDEX(Vehicles!$A$2:$A$21,RANDBETWEEN(1,20))</f>
        <v>V015</v>
      </c>
      <c r="F863" s="3" t="str">
        <f ca="1">INDEX(Drivers!$A$2:$A$31,RANDBETWEEN(1,30))</f>
        <v>D005</v>
      </c>
      <c r="G863" s="3">
        <f t="shared" ca="1" si="222"/>
        <v>5</v>
      </c>
      <c r="H863" s="3">
        <f t="shared" ca="1" si="223"/>
        <v>15067</v>
      </c>
      <c r="I863" s="3">
        <f t="shared" ca="1" si="224"/>
        <v>4219</v>
      </c>
      <c r="J863" s="3">
        <f t="shared" ca="1" si="225"/>
        <v>3767</v>
      </c>
      <c r="K863" s="3">
        <f t="shared" ca="1" si="226"/>
        <v>36</v>
      </c>
      <c r="L863" s="3">
        <f t="shared" ca="1" si="227"/>
        <v>39</v>
      </c>
      <c r="M863" s="3">
        <f t="shared" ca="1" si="228"/>
        <v>3</v>
      </c>
      <c r="N863" s="3" t="str">
        <f t="shared" ca="1" si="229"/>
        <v>Delayed</v>
      </c>
      <c r="O863" s="3" t="str">
        <f t="shared" ca="1" si="230"/>
        <v>Low</v>
      </c>
      <c r="P863" s="3">
        <f t="shared" ca="1" si="231"/>
        <v>16.7</v>
      </c>
      <c r="Q863" s="1" t="str">
        <f ca="1">VLOOKUP(D863,Routes!$A$2:$D$31,2,FALSE)</f>
        <v>Bengaluru</v>
      </c>
      <c r="R863" s="1" t="str">
        <f ca="1">VLOOKUP(D863,Routes!$A$2:$D$31,3,FALSE)</f>
        <v>Hyderabad</v>
      </c>
      <c r="S863" s="3">
        <f ca="1">VLOOKUP(D863,Routes!$A$2:$D$31,4,FALSE)</f>
        <v>570</v>
      </c>
      <c r="T863" s="3" t="str">
        <f ca="1">VLOOKUP(E863,Vehicles!$A$2:$D$21,2,FALSE)</f>
        <v>Trailer</v>
      </c>
      <c r="U863" s="3">
        <f ca="1">VLOOKUP(E863,Vehicles!$A$2:$D$21,3,FALSE)</f>
        <v>30</v>
      </c>
      <c r="V863" s="3" t="str">
        <f ca="1">VLOOKUP(E863,Vehicles!$A$2:$D$21,4,FALSE)</f>
        <v>Diesel</v>
      </c>
      <c r="W863" s="3">
        <f ca="1">VLOOKUP(V863,Fuel_Rates!$A$2:$B$3,2,FALSE)</f>
        <v>95</v>
      </c>
      <c r="X863" s="3">
        <f t="shared" ca="1" si="233"/>
        <v>26.43</v>
      </c>
      <c r="Y863" s="3">
        <f t="shared" ca="1" si="234"/>
        <v>23053</v>
      </c>
      <c r="Z863" s="3" t="str">
        <f t="shared" ca="1" si="235"/>
        <v>Nov</v>
      </c>
      <c r="AA863" s="3" t="str">
        <f t="shared" ca="1" si="236"/>
        <v>Q4</v>
      </c>
      <c r="AB863" s="4" t="str">
        <f t="shared" ca="1" si="237"/>
        <v>Medium Haul</v>
      </c>
    </row>
    <row r="864" spans="1:28" x14ac:dyDescent="0.3">
      <c r="A864" s="8" t="str">
        <f t="shared" si="232"/>
        <v>S0863</v>
      </c>
      <c r="B864" s="3">
        <f t="shared" ca="1" si="221"/>
        <v>46009</v>
      </c>
      <c r="C864" s="3" t="str">
        <f ca="1">INDEX(Customers!$A$2:$A$21,RANDBETWEEN(1,20))</f>
        <v>C001</v>
      </c>
      <c r="D864" s="3" t="str">
        <f ca="1">INDEX(Routes!$A$2:$A$31,RANDBETWEEN(1,30))</f>
        <v>R002</v>
      </c>
      <c r="E864" s="3" t="str">
        <f ca="1">INDEX(Vehicles!$A$2:$A$21,RANDBETWEEN(1,20))</f>
        <v>V018</v>
      </c>
      <c r="F864" s="3" t="str">
        <f ca="1">INDEX(Drivers!$A$2:$A$31,RANDBETWEEN(1,30))</f>
        <v>D029</v>
      </c>
      <c r="G864" s="3">
        <f t="shared" ca="1" si="222"/>
        <v>19.2</v>
      </c>
      <c r="H864" s="3">
        <f t="shared" ca="1" si="223"/>
        <v>38978</v>
      </c>
      <c r="I864" s="3">
        <f t="shared" ca="1" si="224"/>
        <v>10914</v>
      </c>
      <c r="J864" s="3">
        <f t="shared" ca="1" si="225"/>
        <v>1208</v>
      </c>
      <c r="K864" s="3">
        <f t="shared" ca="1" si="226"/>
        <v>24</v>
      </c>
      <c r="L864" s="3">
        <f t="shared" ca="1" si="227"/>
        <v>27</v>
      </c>
      <c r="M864" s="3">
        <f t="shared" ca="1" si="228"/>
        <v>3</v>
      </c>
      <c r="N864" s="3" t="str">
        <f t="shared" ca="1" si="229"/>
        <v>Delayed</v>
      </c>
      <c r="O864" s="3" t="str">
        <f t="shared" ca="1" si="230"/>
        <v>High</v>
      </c>
      <c r="P864" s="3">
        <f t="shared" ca="1" si="231"/>
        <v>64</v>
      </c>
      <c r="Q864" s="1" t="str">
        <f ca="1">VLOOKUP(D864,Routes!$A$2:$D$31,2,FALSE)</f>
        <v>Mumbai</v>
      </c>
      <c r="R864" s="1" t="str">
        <f ca="1">VLOOKUP(D864,Routes!$A$2:$D$31,3,FALSE)</f>
        <v>Ahmedabad</v>
      </c>
      <c r="S864" s="3">
        <f ca="1">VLOOKUP(D864,Routes!$A$2:$D$31,4,FALSE)</f>
        <v>530</v>
      </c>
      <c r="T864" s="3" t="str">
        <f ca="1">VLOOKUP(E864,Vehicles!$A$2:$D$21,2,FALSE)</f>
        <v>Truck</v>
      </c>
      <c r="U864" s="3">
        <f ca="1">VLOOKUP(E864,Vehicles!$A$2:$D$21,3,FALSE)</f>
        <v>26</v>
      </c>
      <c r="V864" s="3" t="str">
        <f ca="1">VLOOKUP(E864,Vehicles!$A$2:$D$21,4,FALSE)</f>
        <v>Diesel</v>
      </c>
      <c r="W864" s="3">
        <f ca="1">VLOOKUP(V864,Fuel_Rates!$A$2:$B$3,2,FALSE)</f>
        <v>95</v>
      </c>
      <c r="X864" s="3">
        <f t="shared" ca="1" si="233"/>
        <v>73.540000000000006</v>
      </c>
      <c r="Y864" s="3">
        <f t="shared" ca="1" si="234"/>
        <v>51100</v>
      </c>
      <c r="Z864" s="3" t="str">
        <f t="shared" ca="1" si="235"/>
        <v>Dec</v>
      </c>
      <c r="AA864" s="3" t="str">
        <f t="shared" ca="1" si="236"/>
        <v>Q4</v>
      </c>
      <c r="AB864" s="4" t="str">
        <f t="shared" ca="1" si="237"/>
        <v>Medium Haul</v>
      </c>
    </row>
    <row r="865" spans="1:28" x14ac:dyDescent="0.3">
      <c r="A865" s="8" t="str">
        <f t="shared" si="232"/>
        <v>S0864</v>
      </c>
      <c r="B865" s="3">
        <f t="shared" ca="1" si="221"/>
        <v>45880</v>
      </c>
      <c r="C865" s="3" t="str">
        <f ca="1">INDEX(Customers!$A$2:$A$21,RANDBETWEEN(1,20))</f>
        <v>C016</v>
      </c>
      <c r="D865" s="3" t="str">
        <f ca="1">INDEX(Routes!$A$2:$A$31,RANDBETWEEN(1,30))</f>
        <v>R010</v>
      </c>
      <c r="E865" s="3" t="str">
        <f ca="1">INDEX(Vehicles!$A$2:$A$21,RANDBETWEEN(1,20))</f>
        <v>V020</v>
      </c>
      <c r="F865" s="3" t="str">
        <f ca="1">INDEX(Drivers!$A$2:$A$31,RANDBETWEEN(1,30))</f>
        <v>D006</v>
      </c>
      <c r="G865" s="3">
        <f t="shared" ca="1" si="222"/>
        <v>30</v>
      </c>
      <c r="H865" s="3">
        <f t="shared" ca="1" si="223"/>
        <v>62479</v>
      </c>
      <c r="I865" s="3">
        <f t="shared" ca="1" si="224"/>
        <v>17494</v>
      </c>
      <c r="J865" s="3">
        <f t="shared" ca="1" si="225"/>
        <v>2142</v>
      </c>
      <c r="K865" s="3">
        <f t="shared" ca="1" si="226"/>
        <v>30</v>
      </c>
      <c r="L865" s="3">
        <f t="shared" ca="1" si="227"/>
        <v>37</v>
      </c>
      <c r="M865" s="3">
        <f t="shared" ca="1" si="228"/>
        <v>7</v>
      </c>
      <c r="N865" s="3" t="str">
        <f t="shared" ca="1" si="229"/>
        <v>Delayed</v>
      </c>
      <c r="O865" s="3" t="str">
        <f t="shared" ca="1" si="230"/>
        <v>Low</v>
      </c>
      <c r="P865" s="3">
        <f t="shared" ca="1" si="231"/>
        <v>100</v>
      </c>
      <c r="Q865" s="1" t="str">
        <f ca="1">VLOOKUP(D865,Routes!$A$2:$D$31,2,FALSE)</f>
        <v>Bengaluru</v>
      </c>
      <c r="R865" s="1" t="str">
        <f ca="1">VLOOKUP(D865,Routes!$A$2:$D$31,3,FALSE)</f>
        <v>Hyderabad</v>
      </c>
      <c r="S865" s="3">
        <f ca="1">VLOOKUP(D865,Routes!$A$2:$D$31,4,FALSE)</f>
        <v>570</v>
      </c>
      <c r="T865" s="3" t="str">
        <f ca="1">VLOOKUP(E865,Vehicles!$A$2:$D$21,2,FALSE)</f>
        <v>Container</v>
      </c>
      <c r="U865" s="3">
        <f ca="1">VLOOKUP(E865,Vehicles!$A$2:$D$21,3,FALSE)</f>
        <v>28</v>
      </c>
      <c r="V865" s="3" t="str">
        <f ca="1">VLOOKUP(E865,Vehicles!$A$2:$D$21,4,FALSE)</f>
        <v>Diesel</v>
      </c>
      <c r="W865" s="3">
        <f ca="1">VLOOKUP(V865,Fuel_Rates!$A$2:$B$3,2,FALSE)</f>
        <v>95</v>
      </c>
      <c r="X865" s="3">
        <f t="shared" ca="1" si="233"/>
        <v>109.61</v>
      </c>
      <c r="Y865" s="3">
        <f t="shared" ca="1" si="234"/>
        <v>82115</v>
      </c>
      <c r="Z865" s="3" t="str">
        <f t="shared" ca="1" si="235"/>
        <v>Aug</v>
      </c>
      <c r="AA865" s="3" t="str">
        <f t="shared" ca="1" si="236"/>
        <v>Q3</v>
      </c>
      <c r="AB865" s="4" t="str">
        <f t="shared" ca="1" si="237"/>
        <v>Medium Haul</v>
      </c>
    </row>
    <row r="866" spans="1:28" x14ac:dyDescent="0.3">
      <c r="A866" s="8" t="str">
        <f t="shared" si="232"/>
        <v>S0865</v>
      </c>
      <c r="B866" s="3">
        <f t="shared" ca="1" si="221"/>
        <v>45862</v>
      </c>
      <c r="C866" s="3" t="str">
        <f ca="1">INDEX(Customers!$A$2:$A$21,RANDBETWEEN(1,20))</f>
        <v>C020</v>
      </c>
      <c r="D866" s="3" t="str">
        <f ca="1">INDEX(Routes!$A$2:$A$31,RANDBETWEEN(1,30))</f>
        <v>R026</v>
      </c>
      <c r="E866" s="3" t="str">
        <f ca="1">INDEX(Vehicles!$A$2:$A$21,RANDBETWEEN(1,20))</f>
        <v>V008</v>
      </c>
      <c r="F866" s="3" t="str">
        <f ca="1">INDEX(Drivers!$A$2:$A$31,RANDBETWEEN(1,30))</f>
        <v>D029</v>
      </c>
      <c r="G866" s="3">
        <f t="shared" ca="1" si="222"/>
        <v>27.2</v>
      </c>
      <c r="H866" s="3">
        <f t="shared" ca="1" si="223"/>
        <v>54478</v>
      </c>
      <c r="I866" s="3">
        <f t="shared" ca="1" si="224"/>
        <v>15254</v>
      </c>
      <c r="J866" s="3">
        <f t="shared" ca="1" si="225"/>
        <v>3763</v>
      </c>
      <c r="K866" s="3">
        <f t="shared" ca="1" si="226"/>
        <v>35</v>
      </c>
      <c r="L866" s="3">
        <f t="shared" ca="1" si="227"/>
        <v>38</v>
      </c>
      <c r="M866" s="3">
        <f t="shared" ca="1" si="228"/>
        <v>3</v>
      </c>
      <c r="N866" s="3" t="str">
        <f t="shared" ca="1" si="229"/>
        <v>Delayed</v>
      </c>
      <c r="O866" s="3" t="str">
        <f t="shared" ca="1" si="230"/>
        <v>Low</v>
      </c>
      <c r="P866" s="3">
        <f t="shared" ca="1" si="231"/>
        <v>90.7</v>
      </c>
      <c r="Q866" s="1" t="str">
        <f ca="1">VLOOKUP(D866,Routes!$A$2:$D$31,2,FALSE)</f>
        <v>Nagpur</v>
      </c>
      <c r="R866" s="1" t="str">
        <f ca="1">VLOOKUP(D866,Routes!$A$2:$D$31,3,FALSE)</f>
        <v>Bhopal</v>
      </c>
      <c r="S866" s="3">
        <f ca="1">VLOOKUP(D866,Routes!$A$2:$D$31,4,FALSE)</f>
        <v>350</v>
      </c>
      <c r="T866" s="3" t="str">
        <f ca="1">VLOOKUP(E866,Vehicles!$A$2:$D$21,2,FALSE)</f>
        <v>Container</v>
      </c>
      <c r="U866" s="3">
        <f ca="1">VLOOKUP(E866,Vehicles!$A$2:$D$21,3,FALSE)</f>
        <v>25</v>
      </c>
      <c r="V866" s="3" t="str">
        <f ca="1">VLOOKUP(E866,Vehicles!$A$2:$D$21,4,FALSE)</f>
        <v>Diesel</v>
      </c>
      <c r="W866" s="3">
        <f ca="1">VLOOKUP(V866,Fuel_Rates!$A$2:$B$3,2,FALSE)</f>
        <v>95</v>
      </c>
      <c r="X866" s="3">
        <f t="shared" ca="1" si="233"/>
        <v>155.65</v>
      </c>
      <c r="Y866" s="3">
        <f t="shared" ca="1" si="234"/>
        <v>73495</v>
      </c>
      <c r="Z866" s="3" t="str">
        <f t="shared" ca="1" si="235"/>
        <v>Jul</v>
      </c>
      <c r="AA866" s="3" t="str">
        <f t="shared" ca="1" si="236"/>
        <v>Q3</v>
      </c>
      <c r="AB866" s="4" t="str">
        <f t="shared" ca="1" si="237"/>
        <v>Medium Haul</v>
      </c>
    </row>
    <row r="867" spans="1:28" x14ac:dyDescent="0.3">
      <c r="A867" s="8" t="str">
        <f t="shared" si="232"/>
        <v>S0866</v>
      </c>
      <c r="B867" s="3">
        <f t="shared" ca="1" si="221"/>
        <v>45790</v>
      </c>
      <c r="C867" s="3" t="str">
        <f ca="1">INDEX(Customers!$A$2:$A$21,RANDBETWEEN(1,20))</f>
        <v>C001</v>
      </c>
      <c r="D867" s="3" t="str">
        <f ca="1">INDEX(Routes!$A$2:$A$31,RANDBETWEEN(1,30))</f>
        <v>R014</v>
      </c>
      <c r="E867" s="3" t="str">
        <f ca="1">INDEX(Vehicles!$A$2:$A$21,RANDBETWEEN(1,20))</f>
        <v>V003</v>
      </c>
      <c r="F867" s="3" t="str">
        <f ca="1">INDEX(Drivers!$A$2:$A$31,RANDBETWEEN(1,30))</f>
        <v>D030</v>
      </c>
      <c r="G867" s="3">
        <f t="shared" ca="1" si="222"/>
        <v>20.5</v>
      </c>
      <c r="H867" s="3">
        <f t="shared" ca="1" si="223"/>
        <v>49159</v>
      </c>
      <c r="I867" s="3">
        <f t="shared" ca="1" si="224"/>
        <v>13765</v>
      </c>
      <c r="J867" s="3">
        <f t="shared" ca="1" si="225"/>
        <v>1481</v>
      </c>
      <c r="K867" s="3">
        <f t="shared" ca="1" si="226"/>
        <v>19</v>
      </c>
      <c r="L867" s="3">
        <f t="shared" ca="1" si="227"/>
        <v>25</v>
      </c>
      <c r="M867" s="3">
        <f t="shared" ca="1" si="228"/>
        <v>6</v>
      </c>
      <c r="N867" s="3" t="str">
        <f t="shared" ca="1" si="229"/>
        <v>Delayed</v>
      </c>
      <c r="O867" s="3" t="str">
        <f t="shared" ca="1" si="230"/>
        <v>Low</v>
      </c>
      <c r="P867" s="3">
        <f t="shared" ca="1" si="231"/>
        <v>68.3</v>
      </c>
      <c r="Q867" s="1" t="str">
        <f ca="1">VLOOKUP(D867,Routes!$A$2:$D$31,2,FALSE)</f>
        <v>Hyderabad</v>
      </c>
      <c r="R867" s="1" t="str">
        <f ca="1">VLOOKUP(D867,Routes!$A$2:$D$31,3,FALSE)</f>
        <v>Nagpur</v>
      </c>
      <c r="S867" s="3">
        <f ca="1">VLOOKUP(D867,Routes!$A$2:$D$31,4,FALSE)</f>
        <v>500</v>
      </c>
      <c r="T867" s="3" t="str">
        <f ca="1">VLOOKUP(E867,Vehicles!$A$2:$D$21,2,FALSE)</f>
        <v>Truck</v>
      </c>
      <c r="U867" s="3">
        <f ca="1">VLOOKUP(E867,Vehicles!$A$2:$D$21,3,FALSE)</f>
        <v>25</v>
      </c>
      <c r="V867" s="3" t="str">
        <f ca="1">VLOOKUP(E867,Vehicles!$A$2:$D$21,4,FALSE)</f>
        <v>Diesel</v>
      </c>
      <c r="W867" s="3">
        <f ca="1">VLOOKUP(V867,Fuel_Rates!$A$2:$B$3,2,FALSE)</f>
        <v>95</v>
      </c>
      <c r="X867" s="3">
        <f t="shared" ca="1" si="233"/>
        <v>98.32</v>
      </c>
      <c r="Y867" s="3">
        <f t="shared" ca="1" si="234"/>
        <v>64405</v>
      </c>
      <c r="Z867" s="3" t="str">
        <f t="shared" ca="1" si="235"/>
        <v>May</v>
      </c>
      <c r="AA867" s="3" t="str">
        <f t="shared" ca="1" si="236"/>
        <v>Q2</v>
      </c>
      <c r="AB867" s="4" t="str">
        <f t="shared" ca="1" si="237"/>
        <v>Medium Haul</v>
      </c>
    </row>
    <row r="868" spans="1:28" x14ac:dyDescent="0.3">
      <c r="A868" s="8" t="str">
        <f t="shared" si="232"/>
        <v>S0867</v>
      </c>
      <c r="B868" s="3">
        <f t="shared" ca="1" si="221"/>
        <v>45802</v>
      </c>
      <c r="C868" s="3" t="str">
        <f ca="1">INDEX(Customers!$A$2:$A$21,RANDBETWEEN(1,20))</f>
        <v>C008</v>
      </c>
      <c r="D868" s="3" t="str">
        <f ca="1">INDEX(Routes!$A$2:$A$31,RANDBETWEEN(1,30))</f>
        <v>R024</v>
      </c>
      <c r="E868" s="3" t="str">
        <f ca="1">INDEX(Vehicles!$A$2:$A$21,RANDBETWEEN(1,20))</f>
        <v>V002</v>
      </c>
      <c r="F868" s="3" t="str">
        <f ca="1">INDEX(Drivers!$A$2:$A$31,RANDBETWEEN(1,30))</f>
        <v>D021</v>
      </c>
      <c r="G868" s="3">
        <f t="shared" ca="1" si="222"/>
        <v>17.2</v>
      </c>
      <c r="H868" s="3">
        <f t="shared" ca="1" si="223"/>
        <v>35444</v>
      </c>
      <c r="I868" s="3">
        <f t="shared" ca="1" si="224"/>
        <v>9924</v>
      </c>
      <c r="J868" s="3">
        <f t="shared" ca="1" si="225"/>
        <v>3948</v>
      </c>
      <c r="K868" s="3">
        <f t="shared" ca="1" si="226"/>
        <v>46</v>
      </c>
      <c r="L868" s="3">
        <f t="shared" ca="1" si="227"/>
        <v>46</v>
      </c>
      <c r="M868" s="3">
        <f t="shared" ca="1" si="228"/>
        <v>0</v>
      </c>
      <c r="N868" s="3" t="str">
        <f t="shared" ca="1" si="229"/>
        <v>On Time</v>
      </c>
      <c r="O868" s="3" t="str">
        <f t="shared" ca="1" si="230"/>
        <v>Low</v>
      </c>
      <c r="P868" s="3">
        <f t="shared" ca="1" si="231"/>
        <v>57.3</v>
      </c>
      <c r="Q868" s="1" t="str">
        <f ca="1">VLOOKUP(D868,Routes!$A$2:$D$31,2,FALSE)</f>
        <v>Surat</v>
      </c>
      <c r="R868" s="1" t="str">
        <f ca="1">VLOOKUP(D868,Routes!$A$2:$D$31,3,FALSE)</f>
        <v>Mumbai</v>
      </c>
      <c r="S868" s="3">
        <f ca="1">VLOOKUP(D868,Routes!$A$2:$D$31,4,FALSE)</f>
        <v>280</v>
      </c>
      <c r="T868" s="3" t="str">
        <f ca="1">VLOOKUP(E868,Vehicles!$A$2:$D$21,2,FALSE)</f>
        <v>Truck</v>
      </c>
      <c r="U868" s="3">
        <f ca="1">VLOOKUP(E868,Vehicles!$A$2:$D$21,3,FALSE)</f>
        <v>20</v>
      </c>
      <c r="V868" s="3" t="str">
        <f ca="1">VLOOKUP(E868,Vehicles!$A$2:$D$21,4,FALSE)</f>
        <v>Diesel</v>
      </c>
      <c r="W868" s="3">
        <f ca="1">VLOOKUP(V868,Fuel_Rates!$A$2:$B$3,2,FALSE)</f>
        <v>95</v>
      </c>
      <c r="X868" s="3">
        <f t="shared" ca="1" si="233"/>
        <v>126.59</v>
      </c>
      <c r="Y868" s="3">
        <f t="shared" ca="1" si="234"/>
        <v>49316</v>
      </c>
      <c r="Z868" s="3" t="str">
        <f t="shared" ca="1" si="235"/>
        <v>May</v>
      </c>
      <c r="AA868" s="3" t="str">
        <f t="shared" ca="1" si="236"/>
        <v>Q2</v>
      </c>
      <c r="AB868" s="4" t="str">
        <f t="shared" ca="1" si="237"/>
        <v>Short Haul</v>
      </c>
    </row>
    <row r="869" spans="1:28" x14ac:dyDescent="0.3">
      <c r="A869" s="8" t="str">
        <f t="shared" si="232"/>
        <v>S0868</v>
      </c>
      <c r="B869" s="3">
        <f t="shared" ca="1" si="221"/>
        <v>45852</v>
      </c>
      <c r="C869" s="3" t="str">
        <f ca="1">INDEX(Customers!$A$2:$A$21,RANDBETWEEN(1,20))</f>
        <v>C017</v>
      </c>
      <c r="D869" s="3" t="str">
        <f ca="1">INDEX(Routes!$A$2:$A$31,RANDBETWEEN(1,30))</f>
        <v>R001</v>
      </c>
      <c r="E869" s="3" t="str">
        <f ca="1">INDEX(Vehicles!$A$2:$A$21,RANDBETWEEN(1,20))</f>
        <v>V001</v>
      </c>
      <c r="F869" s="3" t="str">
        <f ca="1">INDEX(Drivers!$A$2:$A$31,RANDBETWEEN(1,30))</f>
        <v>D026</v>
      </c>
      <c r="G869" s="3">
        <f t="shared" ca="1" si="222"/>
        <v>14.8</v>
      </c>
      <c r="H869" s="3">
        <f t="shared" ca="1" si="223"/>
        <v>41550</v>
      </c>
      <c r="I869" s="3">
        <f t="shared" ca="1" si="224"/>
        <v>11634</v>
      </c>
      <c r="J869" s="3">
        <f t="shared" ca="1" si="225"/>
        <v>3922</v>
      </c>
      <c r="K869" s="3">
        <f t="shared" ca="1" si="226"/>
        <v>10</v>
      </c>
      <c r="L869" s="3">
        <f t="shared" ca="1" si="227"/>
        <v>14</v>
      </c>
      <c r="M869" s="3">
        <f t="shared" ca="1" si="228"/>
        <v>4</v>
      </c>
      <c r="N869" s="3" t="str">
        <f t="shared" ca="1" si="229"/>
        <v>Delayed</v>
      </c>
      <c r="O869" s="3" t="str">
        <f t="shared" ca="1" si="230"/>
        <v>Low</v>
      </c>
      <c r="P869" s="3">
        <f t="shared" ca="1" si="231"/>
        <v>49.3</v>
      </c>
      <c r="Q869" s="1" t="str">
        <f ca="1">VLOOKUP(D869,Routes!$A$2:$D$31,2,FALSE)</f>
        <v>Mumbai</v>
      </c>
      <c r="R869" s="1" t="str">
        <f ca="1">VLOOKUP(D869,Routes!$A$2:$D$31,3,FALSE)</f>
        <v>Pune</v>
      </c>
      <c r="S869" s="3">
        <f ca="1">VLOOKUP(D869,Routes!$A$2:$D$31,4,FALSE)</f>
        <v>150</v>
      </c>
      <c r="T869" s="3" t="str">
        <f ca="1">VLOOKUP(E869,Vehicles!$A$2:$D$21,2,FALSE)</f>
        <v>Truck</v>
      </c>
      <c r="U869" s="3">
        <f ca="1">VLOOKUP(E869,Vehicles!$A$2:$D$21,3,FALSE)</f>
        <v>16</v>
      </c>
      <c r="V869" s="3" t="str">
        <f ca="1">VLOOKUP(E869,Vehicles!$A$2:$D$21,4,FALSE)</f>
        <v>Diesel</v>
      </c>
      <c r="W869" s="3">
        <f ca="1">VLOOKUP(V869,Fuel_Rates!$A$2:$B$3,2,FALSE)</f>
        <v>95</v>
      </c>
      <c r="X869" s="3">
        <f t="shared" ca="1" si="233"/>
        <v>277</v>
      </c>
      <c r="Y869" s="3">
        <f t="shared" ca="1" si="234"/>
        <v>57106</v>
      </c>
      <c r="Z869" s="3" t="str">
        <f t="shared" ca="1" si="235"/>
        <v>Jul</v>
      </c>
      <c r="AA869" s="3" t="str">
        <f t="shared" ca="1" si="236"/>
        <v>Q3</v>
      </c>
      <c r="AB869" s="4" t="str">
        <f t="shared" ca="1" si="237"/>
        <v>Short Haul</v>
      </c>
    </row>
    <row r="870" spans="1:28" x14ac:dyDescent="0.3">
      <c r="A870" s="8" t="str">
        <f t="shared" si="232"/>
        <v>S0869</v>
      </c>
      <c r="B870" s="3">
        <f t="shared" ca="1" si="221"/>
        <v>45809</v>
      </c>
      <c r="C870" s="3" t="str">
        <f ca="1">INDEX(Customers!$A$2:$A$21,RANDBETWEEN(1,20))</f>
        <v>C010</v>
      </c>
      <c r="D870" s="3" t="str">
        <f ca="1">INDEX(Routes!$A$2:$A$31,RANDBETWEEN(1,30))</f>
        <v>R009</v>
      </c>
      <c r="E870" s="3" t="str">
        <f ca="1">INDEX(Vehicles!$A$2:$A$21,RANDBETWEEN(1,20))</f>
        <v>V020</v>
      </c>
      <c r="F870" s="3" t="str">
        <f ca="1">INDEX(Drivers!$A$2:$A$31,RANDBETWEEN(1,30))</f>
        <v>D028</v>
      </c>
      <c r="G870" s="3">
        <f t="shared" ca="1" si="222"/>
        <v>22.7</v>
      </c>
      <c r="H870" s="3">
        <f t="shared" ca="1" si="223"/>
        <v>50166</v>
      </c>
      <c r="I870" s="3">
        <f t="shared" ca="1" si="224"/>
        <v>14046</v>
      </c>
      <c r="J870" s="3">
        <f t="shared" ca="1" si="225"/>
        <v>2862</v>
      </c>
      <c r="K870" s="3">
        <f t="shared" ca="1" si="226"/>
        <v>47</v>
      </c>
      <c r="L870" s="3">
        <f t="shared" ca="1" si="227"/>
        <v>51</v>
      </c>
      <c r="M870" s="3">
        <f t="shared" ca="1" si="228"/>
        <v>4</v>
      </c>
      <c r="N870" s="3" t="str">
        <f t="shared" ca="1" si="229"/>
        <v>Delayed</v>
      </c>
      <c r="O870" s="3" t="str">
        <f t="shared" ca="1" si="230"/>
        <v>Medium</v>
      </c>
      <c r="P870" s="3">
        <f t="shared" ca="1" si="231"/>
        <v>75.7</v>
      </c>
      <c r="Q870" s="1" t="str">
        <f ca="1">VLOOKUP(D870,Routes!$A$2:$D$31,2,FALSE)</f>
        <v>Bengaluru</v>
      </c>
      <c r="R870" s="1" t="str">
        <f ca="1">VLOOKUP(D870,Routes!$A$2:$D$31,3,FALSE)</f>
        <v>Chennai</v>
      </c>
      <c r="S870" s="3">
        <f ca="1">VLOOKUP(D870,Routes!$A$2:$D$31,4,FALSE)</f>
        <v>350</v>
      </c>
      <c r="T870" s="3" t="str">
        <f ca="1">VLOOKUP(E870,Vehicles!$A$2:$D$21,2,FALSE)</f>
        <v>Container</v>
      </c>
      <c r="U870" s="3">
        <f ca="1">VLOOKUP(E870,Vehicles!$A$2:$D$21,3,FALSE)</f>
        <v>28</v>
      </c>
      <c r="V870" s="3" t="str">
        <f ca="1">VLOOKUP(E870,Vehicles!$A$2:$D$21,4,FALSE)</f>
        <v>Diesel</v>
      </c>
      <c r="W870" s="3">
        <f ca="1">VLOOKUP(V870,Fuel_Rates!$A$2:$B$3,2,FALSE)</f>
        <v>95</v>
      </c>
      <c r="X870" s="3">
        <f t="shared" ca="1" si="233"/>
        <v>143.33000000000001</v>
      </c>
      <c r="Y870" s="3">
        <f t="shared" ca="1" si="234"/>
        <v>67074</v>
      </c>
      <c r="Z870" s="3" t="str">
        <f t="shared" ca="1" si="235"/>
        <v>Jun</v>
      </c>
      <c r="AA870" s="3" t="str">
        <f t="shared" ca="1" si="236"/>
        <v>Q2</v>
      </c>
      <c r="AB870" s="4" t="str">
        <f t="shared" ca="1" si="237"/>
        <v>Medium Haul</v>
      </c>
    </row>
    <row r="871" spans="1:28" x14ac:dyDescent="0.3">
      <c r="A871" s="8" t="str">
        <f t="shared" si="232"/>
        <v>S0870</v>
      </c>
      <c r="B871" s="3">
        <f t="shared" ca="1" si="221"/>
        <v>45735</v>
      </c>
      <c r="C871" s="3" t="str">
        <f ca="1">INDEX(Customers!$A$2:$A$21,RANDBETWEEN(1,20))</f>
        <v>C013</v>
      </c>
      <c r="D871" s="3" t="str">
        <f ca="1">INDEX(Routes!$A$2:$A$31,RANDBETWEEN(1,30))</f>
        <v>R010</v>
      </c>
      <c r="E871" s="3" t="str">
        <f ca="1">INDEX(Vehicles!$A$2:$A$21,RANDBETWEEN(1,20))</f>
        <v>V003</v>
      </c>
      <c r="F871" s="3" t="str">
        <f ca="1">INDEX(Drivers!$A$2:$A$31,RANDBETWEEN(1,30))</f>
        <v>D023</v>
      </c>
      <c r="G871" s="3">
        <f t="shared" ca="1" si="222"/>
        <v>12.5</v>
      </c>
      <c r="H871" s="3">
        <f t="shared" ca="1" si="223"/>
        <v>26806</v>
      </c>
      <c r="I871" s="3">
        <f t="shared" ca="1" si="224"/>
        <v>7506</v>
      </c>
      <c r="J871" s="3">
        <f t="shared" ca="1" si="225"/>
        <v>1537</v>
      </c>
      <c r="K871" s="3">
        <f t="shared" ca="1" si="226"/>
        <v>21</v>
      </c>
      <c r="L871" s="3">
        <f t="shared" ca="1" si="227"/>
        <v>28</v>
      </c>
      <c r="M871" s="3">
        <f t="shared" ca="1" si="228"/>
        <v>7</v>
      </c>
      <c r="N871" s="3" t="str">
        <f t="shared" ca="1" si="229"/>
        <v>Delayed</v>
      </c>
      <c r="O871" s="3" t="str">
        <f t="shared" ca="1" si="230"/>
        <v>High</v>
      </c>
      <c r="P871" s="3">
        <f t="shared" ca="1" si="231"/>
        <v>41.7</v>
      </c>
      <c r="Q871" s="1" t="str">
        <f ca="1">VLOOKUP(D871,Routes!$A$2:$D$31,2,FALSE)</f>
        <v>Bengaluru</v>
      </c>
      <c r="R871" s="1" t="str">
        <f ca="1">VLOOKUP(D871,Routes!$A$2:$D$31,3,FALSE)</f>
        <v>Hyderabad</v>
      </c>
      <c r="S871" s="3">
        <f ca="1">VLOOKUP(D871,Routes!$A$2:$D$31,4,FALSE)</f>
        <v>570</v>
      </c>
      <c r="T871" s="3" t="str">
        <f ca="1">VLOOKUP(E871,Vehicles!$A$2:$D$21,2,FALSE)</f>
        <v>Truck</v>
      </c>
      <c r="U871" s="3">
        <f ca="1">VLOOKUP(E871,Vehicles!$A$2:$D$21,3,FALSE)</f>
        <v>25</v>
      </c>
      <c r="V871" s="3" t="str">
        <f ca="1">VLOOKUP(E871,Vehicles!$A$2:$D$21,4,FALSE)</f>
        <v>Diesel</v>
      </c>
      <c r="W871" s="3">
        <f ca="1">VLOOKUP(V871,Fuel_Rates!$A$2:$B$3,2,FALSE)</f>
        <v>95</v>
      </c>
      <c r="X871" s="3">
        <f t="shared" ca="1" si="233"/>
        <v>47.03</v>
      </c>
      <c r="Y871" s="3">
        <f t="shared" ca="1" si="234"/>
        <v>35849</v>
      </c>
      <c r="Z871" s="3" t="str">
        <f t="shared" ca="1" si="235"/>
        <v>Mar</v>
      </c>
      <c r="AA871" s="3" t="str">
        <f t="shared" ca="1" si="236"/>
        <v>Q1</v>
      </c>
      <c r="AB871" s="4" t="str">
        <f t="shared" ca="1" si="237"/>
        <v>Medium Haul</v>
      </c>
    </row>
    <row r="872" spans="1:28" x14ac:dyDescent="0.3">
      <c r="A872" s="8" t="str">
        <f t="shared" si="232"/>
        <v>S0871</v>
      </c>
      <c r="B872" s="3">
        <f t="shared" ca="1" si="221"/>
        <v>45739</v>
      </c>
      <c r="C872" s="3" t="str">
        <f ca="1">INDEX(Customers!$A$2:$A$21,RANDBETWEEN(1,20))</f>
        <v>C014</v>
      </c>
      <c r="D872" s="3" t="str">
        <f ca="1">INDEX(Routes!$A$2:$A$31,RANDBETWEEN(1,30))</f>
        <v>R009</v>
      </c>
      <c r="E872" s="3" t="str">
        <f ca="1">INDEX(Vehicles!$A$2:$A$21,RANDBETWEEN(1,20))</f>
        <v>V016</v>
      </c>
      <c r="F872" s="3" t="str">
        <f ca="1">INDEX(Drivers!$A$2:$A$31,RANDBETWEEN(1,30))</f>
        <v>D029</v>
      </c>
      <c r="G872" s="3">
        <f t="shared" ca="1" si="222"/>
        <v>11.6</v>
      </c>
      <c r="H872" s="3">
        <f t="shared" ca="1" si="223"/>
        <v>31244</v>
      </c>
      <c r="I872" s="3">
        <f t="shared" ca="1" si="224"/>
        <v>8748</v>
      </c>
      <c r="J872" s="3">
        <f t="shared" ca="1" si="225"/>
        <v>985</v>
      </c>
      <c r="K872" s="3">
        <f t="shared" ca="1" si="226"/>
        <v>25</v>
      </c>
      <c r="L872" s="3">
        <f t="shared" ca="1" si="227"/>
        <v>28</v>
      </c>
      <c r="M872" s="3">
        <f t="shared" ca="1" si="228"/>
        <v>3</v>
      </c>
      <c r="N872" s="3" t="str">
        <f t="shared" ca="1" si="229"/>
        <v>Delayed</v>
      </c>
      <c r="O872" s="3" t="str">
        <f t="shared" ca="1" si="230"/>
        <v>Low</v>
      </c>
      <c r="P872" s="3">
        <f t="shared" ca="1" si="231"/>
        <v>38.700000000000003</v>
      </c>
      <c r="Q872" s="1" t="str">
        <f ca="1">VLOOKUP(D872,Routes!$A$2:$D$31,2,FALSE)</f>
        <v>Bengaluru</v>
      </c>
      <c r="R872" s="1" t="str">
        <f ca="1">VLOOKUP(D872,Routes!$A$2:$D$31,3,FALSE)</f>
        <v>Chennai</v>
      </c>
      <c r="S872" s="3">
        <f ca="1">VLOOKUP(D872,Routes!$A$2:$D$31,4,FALSE)</f>
        <v>350</v>
      </c>
      <c r="T872" s="3" t="str">
        <f ca="1">VLOOKUP(E872,Vehicles!$A$2:$D$21,2,FALSE)</f>
        <v>Container</v>
      </c>
      <c r="U872" s="3">
        <f ca="1">VLOOKUP(E872,Vehicles!$A$2:$D$21,3,FALSE)</f>
        <v>22</v>
      </c>
      <c r="V872" s="3" t="str">
        <f ca="1">VLOOKUP(E872,Vehicles!$A$2:$D$21,4,FALSE)</f>
        <v>Diesel</v>
      </c>
      <c r="W872" s="3">
        <f ca="1">VLOOKUP(V872,Fuel_Rates!$A$2:$B$3,2,FALSE)</f>
        <v>95</v>
      </c>
      <c r="X872" s="3">
        <f t="shared" ca="1" si="233"/>
        <v>89.27</v>
      </c>
      <c r="Y872" s="3">
        <f t="shared" ca="1" si="234"/>
        <v>40977</v>
      </c>
      <c r="Z872" s="3" t="str">
        <f t="shared" ca="1" si="235"/>
        <v>Mar</v>
      </c>
      <c r="AA872" s="3" t="str">
        <f t="shared" ca="1" si="236"/>
        <v>Q1</v>
      </c>
      <c r="AB872" s="4" t="str">
        <f t="shared" ca="1" si="237"/>
        <v>Medium Haul</v>
      </c>
    </row>
    <row r="873" spans="1:28" x14ac:dyDescent="0.3">
      <c r="A873" s="8" t="str">
        <f t="shared" si="232"/>
        <v>S0872</v>
      </c>
      <c r="B873" s="3">
        <f t="shared" ca="1" si="221"/>
        <v>45717</v>
      </c>
      <c r="C873" s="3" t="str">
        <f ca="1">INDEX(Customers!$A$2:$A$21,RANDBETWEEN(1,20))</f>
        <v>C005</v>
      </c>
      <c r="D873" s="3" t="str">
        <f ca="1">INDEX(Routes!$A$2:$A$31,RANDBETWEEN(1,30))</f>
        <v>R028</v>
      </c>
      <c r="E873" s="3" t="str">
        <f ca="1">INDEX(Vehicles!$A$2:$A$21,RANDBETWEEN(1,20))</f>
        <v>V001</v>
      </c>
      <c r="F873" s="3" t="str">
        <f ca="1">INDEX(Drivers!$A$2:$A$31,RANDBETWEEN(1,30))</f>
        <v>D007</v>
      </c>
      <c r="G873" s="3">
        <f t="shared" ca="1" si="222"/>
        <v>23</v>
      </c>
      <c r="H873" s="3">
        <f t="shared" ca="1" si="223"/>
        <v>54745</v>
      </c>
      <c r="I873" s="3">
        <f t="shared" ca="1" si="224"/>
        <v>15329</v>
      </c>
      <c r="J873" s="3">
        <f t="shared" ca="1" si="225"/>
        <v>2553</v>
      </c>
      <c r="K873" s="3">
        <f t="shared" ca="1" si="226"/>
        <v>9</v>
      </c>
      <c r="L873" s="3">
        <f t="shared" ca="1" si="227"/>
        <v>14</v>
      </c>
      <c r="M873" s="3">
        <f t="shared" ca="1" si="228"/>
        <v>5</v>
      </c>
      <c r="N873" s="3" t="str">
        <f t="shared" ca="1" si="229"/>
        <v>Delayed</v>
      </c>
      <c r="O873" s="3" t="str">
        <f t="shared" ca="1" si="230"/>
        <v>Low</v>
      </c>
      <c r="P873" s="3">
        <f t="shared" ca="1" si="231"/>
        <v>76.7</v>
      </c>
      <c r="Q873" s="1" t="str">
        <f ca="1">VLOOKUP(D873,Routes!$A$2:$D$31,2,FALSE)</f>
        <v>Indore</v>
      </c>
      <c r="R873" s="1" t="str">
        <f ca="1">VLOOKUP(D873,Routes!$A$2:$D$31,3,FALSE)</f>
        <v>Mumbai</v>
      </c>
      <c r="S873" s="3">
        <f ca="1">VLOOKUP(D873,Routes!$A$2:$D$31,4,FALSE)</f>
        <v>590</v>
      </c>
      <c r="T873" s="3" t="str">
        <f ca="1">VLOOKUP(E873,Vehicles!$A$2:$D$21,2,FALSE)</f>
        <v>Truck</v>
      </c>
      <c r="U873" s="3">
        <f ca="1">VLOOKUP(E873,Vehicles!$A$2:$D$21,3,FALSE)</f>
        <v>16</v>
      </c>
      <c r="V873" s="3" t="str">
        <f ca="1">VLOOKUP(E873,Vehicles!$A$2:$D$21,4,FALSE)</f>
        <v>Diesel</v>
      </c>
      <c r="W873" s="3">
        <f ca="1">VLOOKUP(V873,Fuel_Rates!$A$2:$B$3,2,FALSE)</f>
        <v>95</v>
      </c>
      <c r="X873" s="3">
        <f t="shared" ca="1" si="233"/>
        <v>92.79</v>
      </c>
      <c r="Y873" s="3">
        <f t="shared" ca="1" si="234"/>
        <v>72627</v>
      </c>
      <c r="Z873" s="3" t="str">
        <f t="shared" ca="1" si="235"/>
        <v>Mar</v>
      </c>
      <c r="AA873" s="3" t="str">
        <f t="shared" ca="1" si="236"/>
        <v>Q1</v>
      </c>
      <c r="AB873" s="4" t="str">
        <f t="shared" ca="1" si="237"/>
        <v>Medium Haul</v>
      </c>
    </row>
    <row r="874" spans="1:28" x14ac:dyDescent="0.3">
      <c r="A874" s="8" t="str">
        <f t="shared" si="232"/>
        <v>S0873</v>
      </c>
      <c r="B874" s="3">
        <f t="shared" ca="1" si="221"/>
        <v>45731</v>
      </c>
      <c r="C874" s="3" t="str">
        <f ca="1">INDEX(Customers!$A$2:$A$21,RANDBETWEEN(1,20))</f>
        <v>C014</v>
      </c>
      <c r="D874" s="3" t="str">
        <f ca="1">INDEX(Routes!$A$2:$A$31,RANDBETWEEN(1,30))</f>
        <v>R020</v>
      </c>
      <c r="E874" s="3" t="str">
        <f ca="1">INDEX(Vehicles!$A$2:$A$21,RANDBETWEEN(1,20))</f>
        <v>V009</v>
      </c>
      <c r="F874" s="3" t="str">
        <f ca="1">INDEX(Drivers!$A$2:$A$31,RANDBETWEEN(1,30))</f>
        <v>D006</v>
      </c>
      <c r="G874" s="3">
        <f t="shared" ca="1" si="222"/>
        <v>17.8</v>
      </c>
      <c r="H874" s="3">
        <f t="shared" ca="1" si="223"/>
        <v>45378</v>
      </c>
      <c r="I874" s="3">
        <f t="shared" ca="1" si="224"/>
        <v>12706</v>
      </c>
      <c r="J874" s="3">
        <f t="shared" ca="1" si="225"/>
        <v>801</v>
      </c>
      <c r="K874" s="3">
        <f t="shared" ca="1" si="226"/>
        <v>7</v>
      </c>
      <c r="L874" s="3">
        <f t="shared" ca="1" si="227"/>
        <v>13</v>
      </c>
      <c r="M874" s="3">
        <f t="shared" ca="1" si="228"/>
        <v>6</v>
      </c>
      <c r="N874" s="3" t="str">
        <f t="shared" ca="1" si="229"/>
        <v>Delayed</v>
      </c>
      <c r="O874" s="3" t="str">
        <f t="shared" ca="1" si="230"/>
        <v>Medium</v>
      </c>
      <c r="P874" s="3">
        <f t="shared" ca="1" si="231"/>
        <v>59.3</v>
      </c>
      <c r="Q874" s="1" t="str">
        <f ca="1">VLOOKUP(D874,Routes!$A$2:$D$31,2,FALSE)</f>
        <v>Pune</v>
      </c>
      <c r="R874" s="1" t="str">
        <f ca="1">VLOOKUP(D874,Routes!$A$2:$D$31,3,FALSE)</f>
        <v>Nagpur</v>
      </c>
      <c r="S874" s="3">
        <f ca="1">VLOOKUP(D874,Routes!$A$2:$D$31,4,FALSE)</f>
        <v>720</v>
      </c>
      <c r="T874" s="3" t="str">
        <f ca="1">VLOOKUP(E874,Vehicles!$A$2:$D$21,2,FALSE)</f>
        <v>LCV</v>
      </c>
      <c r="U874" s="3">
        <f ca="1">VLOOKUP(E874,Vehicles!$A$2:$D$21,3,FALSE)</f>
        <v>5</v>
      </c>
      <c r="V874" s="3" t="str">
        <f ca="1">VLOOKUP(E874,Vehicles!$A$2:$D$21,4,FALSE)</f>
        <v>Diesel</v>
      </c>
      <c r="W874" s="3">
        <f ca="1">VLOOKUP(V874,Fuel_Rates!$A$2:$B$3,2,FALSE)</f>
        <v>95</v>
      </c>
      <c r="X874" s="3">
        <f t="shared" ca="1" si="233"/>
        <v>63.03</v>
      </c>
      <c r="Y874" s="3">
        <f t="shared" ca="1" si="234"/>
        <v>58885</v>
      </c>
      <c r="Z874" s="3" t="str">
        <f t="shared" ca="1" si="235"/>
        <v>Mar</v>
      </c>
      <c r="AA874" s="3" t="str">
        <f t="shared" ca="1" si="236"/>
        <v>Q1</v>
      </c>
      <c r="AB874" s="4" t="str">
        <f t="shared" ca="1" si="237"/>
        <v>Medium Haul</v>
      </c>
    </row>
    <row r="875" spans="1:28" x14ac:dyDescent="0.3">
      <c r="A875" s="8" t="str">
        <f t="shared" si="232"/>
        <v>S0874</v>
      </c>
      <c r="B875" s="3">
        <f t="shared" ca="1" si="221"/>
        <v>45823</v>
      </c>
      <c r="C875" s="3" t="str">
        <f ca="1">INDEX(Customers!$A$2:$A$21,RANDBETWEEN(1,20))</f>
        <v>C008</v>
      </c>
      <c r="D875" s="3" t="str">
        <f ca="1">INDEX(Routes!$A$2:$A$31,RANDBETWEEN(1,30))</f>
        <v>R018</v>
      </c>
      <c r="E875" s="3" t="str">
        <f ca="1">INDEX(Vehicles!$A$2:$A$21,RANDBETWEEN(1,20))</f>
        <v>V012</v>
      </c>
      <c r="F875" s="3" t="str">
        <f ca="1">INDEX(Drivers!$A$2:$A$31,RANDBETWEEN(1,30))</f>
        <v>D005</v>
      </c>
      <c r="G875" s="3">
        <f t="shared" ca="1" si="222"/>
        <v>3.3</v>
      </c>
      <c r="H875" s="3">
        <f t="shared" ca="1" si="223"/>
        <v>10307</v>
      </c>
      <c r="I875" s="3">
        <f t="shared" ca="1" si="224"/>
        <v>2886</v>
      </c>
      <c r="J875" s="3">
        <f t="shared" ca="1" si="225"/>
        <v>1116</v>
      </c>
      <c r="K875" s="3">
        <f t="shared" ca="1" si="226"/>
        <v>5</v>
      </c>
      <c r="L875" s="3">
        <f t="shared" ca="1" si="227"/>
        <v>9</v>
      </c>
      <c r="M875" s="3">
        <f t="shared" ca="1" si="228"/>
        <v>4</v>
      </c>
      <c r="N875" s="3" t="str">
        <f t="shared" ca="1" si="229"/>
        <v>Delayed</v>
      </c>
      <c r="O875" s="3" t="str">
        <f t="shared" ca="1" si="230"/>
        <v>Low</v>
      </c>
      <c r="P875" s="3">
        <f t="shared" ca="1" si="231"/>
        <v>11</v>
      </c>
      <c r="Q875" s="1" t="str">
        <f ca="1">VLOOKUP(D875,Routes!$A$2:$D$31,2,FALSE)</f>
        <v>Ahmedabad</v>
      </c>
      <c r="R875" s="1" t="str">
        <f ca="1">VLOOKUP(D875,Routes!$A$2:$D$31,3,FALSE)</f>
        <v>Jaipur</v>
      </c>
      <c r="S875" s="3">
        <f ca="1">VLOOKUP(D875,Routes!$A$2:$D$31,4,FALSE)</f>
        <v>670</v>
      </c>
      <c r="T875" s="3" t="str">
        <f ca="1">VLOOKUP(E875,Vehicles!$A$2:$D$21,2,FALSE)</f>
        <v>Truck</v>
      </c>
      <c r="U875" s="3">
        <f ca="1">VLOOKUP(E875,Vehicles!$A$2:$D$21,3,FALSE)</f>
        <v>20</v>
      </c>
      <c r="V875" s="3" t="str">
        <f ca="1">VLOOKUP(E875,Vehicles!$A$2:$D$21,4,FALSE)</f>
        <v>CNG</v>
      </c>
      <c r="W875" s="3">
        <f ca="1">VLOOKUP(V875,Fuel_Rates!$A$2:$B$3,2,FALSE)</f>
        <v>78</v>
      </c>
      <c r="X875" s="3">
        <f t="shared" ca="1" si="233"/>
        <v>15.38</v>
      </c>
      <c r="Y875" s="3">
        <f t="shared" ca="1" si="234"/>
        <v>14309</v>
      </c>
      <c r="Z875" s="3" t="str">
        <f t="shared" ca="1" si="235"/>
        <v>Jun</v>
      </c>
      <c r="AA875" s="3" t="str">
        <f t="shared" ca="1" si="236"/>
        <v>Q2</v>
      </c>
      <c r="AB875" s="4" t="str">
        <f t="shared" ca="1" si="237"/>
        <v>Medium Haul</v>
      </c>
    </row>
    <row r="876" spans="1:28" x14ac:dyDescent="0.3">
      <c r="A876" s="8" t="str">
        <f t="shared" si="232"/>
        <v>S0875</v>
      </c>
      <c r="B876" s="3">
        <f t="shared" ca="1" si="221"/>
        <v>45875</v>
      </c>
      <c r="C876" s="3" t="str">
        <f ca="1">INDEX(Customers!$A$2:$A$21,RANDBETWEEN(1,20))</f>
        <v>C010</v>
      </c>
      <c r="D876" s="3" t="str">
        <f ca="1">INDEX(Routes!$A$2:$A$31,RANDBETWEEN(1,30))</f>
        <v>R028</v>
      </c>
      <c r="E876" s="3" t="str">
        <f ca="1">INDEX(Vehicles!$A$2:$A$21,RANDBETWEEN(1,20))</f>
        <v>V005</v>
      </c>
      <c r="F876" s="3" t="str">
        <f ca="1">INDEX(Drivers!$A$2:$A$31,RANDBETWEEN(1,30))</f>
        <v>D029</v>
      </c>
      <c r="G876" s="3">
        <f t="shared" ca="1" si="222"/>
        <v>24.5</v>
      </c>
      <c r="H876" s="3">
        <f t="shared" ca="1" si="223"/>
        <v>47238</v>
      </c>
      <c r="I876" s="3">
        <f t="shared" ca="1" si="224"/>
        <v>13227</v>
      </c>
      <c r="J876" s="3">
        <f t="shared" ca="1" si="225"/>
        <v>3190</v>
      </c>
      <c r="K876" s="3">
        <f t="shared" ca="1" si="226"/>
        <v>11</v>
      </c>
      <c r="L876" s="3">
        <f t="shared" ca="1" si="227"/>
        <v>19</v>
      </c>
      <c r="M876" s="3">
        <f t="shared" ca="1" si="228"/>
        <v>8</v>
      </c>
      <c r="N876" s="3" t="str">
        <f t="shared" ca="1" si="229"/>
        <v>Delayed</v>
      </c>
      <c r="O876" s="3" t="str">
        <f t="shared" ca="1" si="230"/>
        <v>Low</v>
      </c>
      <c r="P876" s="3">
        <f t="shared" ca="1" si="231"/>
        <v>81.7</v>
      </c>
      <c r="Q876" s="1" t="str">
        <f ca="1">VLOOKUP(D876,Routes!$A$2:$D$31,2,FALSE)</f>
        <v>Indore</v>
      </c>
      <c r="R876" s="1" t="str">
        <f ca="1">VLOOKUP(D876,Routes!$A$2:$D$31,3,FALSE)</f>
        <v>Mumbai</v>
      </c>
      <c r="S876" s="3">
        <f ca="1">VLOOKUP(D876,Routes!$A$2:$D$31,4,FALSE)</f>
        <v>590</v>
      </c>
      <c r="T876" s="3" t="str">
        <f ca="1">VLOOKUP(E876,Vehicles!$A$2:$D$21,2,FALSE)</f>
        <v>Trailer</v>
      </c>
      <c r="U876" s="3">
        <f ca="1">VLOOKUP(E876,Vehicles!$A$2:$D$21,3,FALSE)</f>
        <v>32</v>
      </c>
      <c r="V876" s="3" t="str">
        <f ca="1">VLOOKUP(E876,Vehicles!$A$2:$D$21,4,FALSE)</f>
        <v>Diesel</v>
      </c>
      <c r="W876" s="3">
        <f ca="1">VLOOKUP(V876,Fuel_Rates!$A$2:$B$3,2,FALSE)</f>
        <v>95</v>
      </c>
      <c r="X876" s="3">
        <f t="shared" ca="1" si="233"/>
        <v>80.06</v>
      </c>
      <c r="Y876" s="3">
        <f t="shared" ca="1" si="234"/>
        <v>63655</v>
      </c>
      <c r="Z876" s="3" t="str">
        <f t="shared" ca="1" si="235"/>
        <v>Aug</v>
      </c>
      <c r="AA876" s="3" t="str">
        <f t="shared" ca="1" si="236"/>
        <v>Q3</v>
      </c>
      <c r="AB876" s="4" t="str">
        <f t="shared" ca="1" si="237"/>
        <v>Medium Haul</v>
      </c>
    </row>
    <row r="877" spans="1:28" x14ac:dyDescent="0.3">
      <c r="A877" s="8" t="str">
        <f t="shared" si="232"/>
        <v>S0876</v>
      </c>
      <c r="B877" s="3">
        <f t="shared" ca="1" si="221"/>
        <v>45976</v>
      </c>
      <c r="C877" s="3" t="str">
        <f ca="1">INDEX(Customers!$A$2:$A$21,RANDBETWEEN(1,20))</f>
        <v>C009</v>
      </c>
      <c r="D877" s="3" t="str">
        <f ca="1">INDEX(Routes!$A$2:$A$31,RANDBETWEEN(1,30))</f>
        <v>R001</v>
      </c>
      <c r="E877" s="3" t="str">
        <f ca="1">INDEX(Vehicles!$A$2:$A$21,RANDBETWEEN(1,20))</f>
        <v>V006</v>
      </c>
      <c r="F877" s="3" t="str">
        <f ca="1">INDEX(Drivers!$A$2:$A$31,RANDBETWEEN(1,30))</f>
        <v>D006</v>
      </c>
      <c r="G877" s="3">
        <f t="shared" ca="1" si="222"/>
        <v>8.1999999999999993</v>
      </c>
      <c r="H877" s="3">
        <f t="shared" ca="1" si="223"/>
        <v>27094</v>
      </c>
      <c r="I877" s="3">
        <f t="shared" ca="1" si="224"/>
        <v>7586</v>
      </c>
      <c r="J877" s="3">
        <f t="shared" ca="1" si="225"/>
        <v>2826</v>
      </c>
      <c r="K877" s="3">
        <f t="shared" ca="1" si="226"/>
        <v>44</v>
      </c>
      <c r="L877" s="3">
        <f t="shared" ca="1" si="227"/>
        <v>45</v>
      </c>
      <c r="M877" s="3">
        <f t="shared" ca="1" si="228"/>
        <v>1</v>
      </c>
      <c r="N877" s="3" t="str">
        <f t="shared" ca="1" si="229"/>
        <v>On Time</v>
      </c>
      <c r="O877" s="3" t="str">
        <f t="shared" ca="1" si="230"/>
        <v>Low</v>
      </c>
      <c r="P877" s="3">
        <f t="shared" ca="1" si="231"/>
        <v>27.3</v>
      </c>
      <c r="Q877" s="1" t="str">
        <f ca="1">VLOOKUP(D877,Routes!$A$2:$D$31,2,FALSE)</f>
        <v>Mumbai</v>
      </c>
      <c r="R877" s="1" t="str">
        <f ca="1">VLOOKUP(D877,Routes!$A$2:$D$31,3,FALSE)</f>
        <v>Pune</v>
      </c>
      <c r="S877" s="3">
        <f ca="1">VLOOKUP(D877,Routes!$A$2:$D$31,4,FALSE)</f>
        <v>150</v>
      </c>
      <c r="T877" s="3" t="str">
        <f ca="1">VLOOKUP(E877,Vehicles!$A$2:$D$21,2,FALSE)</f>
        <v>Container</v>
      </c>
      <c r="U877" s="3">
        <f ca="1">VLOOKUP(E877,Vehicles!$A$2:$D$21,3,FALSE)</f>
        <v>18</v>
      </c>
      <c r="V877" s="3" t="str">
        <f ca="1">VLOOKUP(E877,Vehicles!$A$2:$D$21,4,FALSE)</f>
        <v>Diesel</v>
      </c>
      <c r="W877" s="3">
        <f ca="1">VLOOKUP(V877,Fuel_Rates!$A$2:$B$3,2,FALSE)</f>
        <v>95</v>
      </c>
      <c r="X877" s="3">
        <f t="shared" ca="1" si="233"/>
        <v>180.63</v>
      </c>
      <c r="Y877" s="3">
        <f t="shared" ca="1" si="234"/>
        <v>37506</v>
      </c>
      <c r="Z877" s="3" t="str">
        <f t="shared" ca="1" si="235"/>
        <v>Nov</v>
      </c>
      <c r="AA877" s="3" t="str">
        <f t="shared" ca="1" si="236"/>
        <v>Q4</v>
      </c>
      <c r="AB877" s="4" t="str">
        <f t="shared" ca="1" si="237"/>
        <v>Short Haul</v>
      </c>
    </row>
    <row r="878" spans="1:28" x14ac:dyDescent="0.3">
      <c r="A878" s="8" t="str">
        <f t="shared" si="232"/>
        <v>S0877</v>
      </c>
      <c r="B878" s="3">
        <f t="shared" ca="1" si="221"/>
        <v>45973</v>
      </c>
      <c r="C878" s="3" t="str">
        <f ca="1">INDEX(Customers!$A$2:$A$21,RANDBETWEEN(1,20))</f>
        <v>C012</v>
      </c>
      <c r="D878" s="3" t="str">
        <f ca="1">INDEX(Routes!$A$2:$A$31,RANDBETWEEN(1,30))</f>
        <v>R010</v>
      </c>
      <c r="E878" s="3" t="str">
        <f ca="1">INDEX(Vehicles!$A$2:$A$21,RANDBETWEEN(1,20))</f>
        <v>V004</v>
      </c>
      <c r="F878" s="3" t="str">
        <f ca="1">INDEX(Drivers!$A$2:$A$31,RANDBETWEEN(1,30))</f>
        <v>D007</v>
      </c>
      <c r="G878" s="3">
        <f t="shared" ca="1" si="222"/>
        <v>6.9</v>
      </c>
      <c r="H878" s="3">
        <f t="shared" ca="1" si="223"/>
        <v>16920</v>
      </c>
      <c r="I878" s="3">
        <f t="shared" ca="1" si="224"/>
        <v>4738</v>
      </c>
      <c r="J878" s="3">
        <f t="shared" ca="1" si="225"/>
        <v>776</v>
      </c>
      <c r="K878" s="3">
        <f t="shared" ca="1" si="226"/>
        <v>6</v>
      </c>
      <c r="L878" s="3">
        <f t="shared" ca="1" si="227"/>
        <v>8</v>
      </c>
      <c r="M878" s="3">
        <f t="shared" ca="1" si="228"/>
        <v>2</v>
      </c>
      <c r="N878" s="3" t="str">
        <f t="shared" ca="1" si="229"/>
        <v>On Time</v>
      </c>
      <c r="O878" s="3" t="str">
        <f t="shared" ca="1" si="230"/>
        <v>High</v>
      </c>
      <c r="P878" s="3">
        <f t="shared" ca="1" si="231"/>
        <v>23</v>
      </c>
      <c r="Q878" s="1" t="str">
        <f ca="1">VLOOKUP(D878,Routes!$A$2:$D$31,2,FALSE)</f>
        <v>Bengaluru</v>
      </c>
      <c r="R878" s="1" t="str">
        <f ca="1">VLOOKUP(D878,Routes!$A$2:$D$31,3,FALSE)</f>
        <v>Hyderabad</v>
      </c>
      <c r="S878" s="3">
        <f ca="1">VLOOKUP(D878,Routes!$A$2:$D$31,4,FALSE)</f>
        <v>570</v>
      </c>
      <c r="T878" s="3" t="str">
        <f ca="1">VLOOKUP(E878,Vehicles!$A$2:$D$21,2,FALSE)</f>
        <v>Trailer</v>
      </c>
      <c r="U878" s="3">
        <f ca="1">VLOOKUP(E878,Vehicles!$A$2:$D$21,3,FALSE)</f>
        <v>28</v>
      </c>
      <c r="V878" s="3" t="str">
        <f ca="1">VLOOKUP(E878,Vehicles!$A$2:$D$21,4,FALSE)</f>
        <v>Diesel</v>
      </c>
      <c r="W878" s="3">
        <f ca="1">VLOOKUP(V878,Fuel_Rates!$A$2:$B$3,2,FALSE)</f>
        <v>95</v>
      </c>
      <c r="X878" s="3">
        <f t="shared" ca="1" si="233"/>
        <v>29.68</v>
      </c>
      <c r="Y878" s="3">
        <f t="shared" ca="1" si="234"/>
        <v>22434</v>
      </c>
      <c r="Z878" s="3" t="str">
        <f t="shared" ca="1" si="235"/>
        <v>Nov</v>
      </c>
      <c r="AA878" s="3" t="str">
        <f t="shared" ca="1" si="236"/>
        <v>Q4</v>
      </c>
      <c r="AB878" s="4" t="str">
        <f t="shared" ca="1" si="237"/>
        <v>Medium Haul</v>
      </c>
    </row>
    <row r="879" spans="1:28" x14ac:dyDescent="0.3">
      <c r="A879" s="8" t="str">
        <f t="shared" si="232"/>
        <v>S0878</v>
      </c>
      <c r="B879" s="3">
        <f t="shared" ca="1" si="221"/>
        <v>45782</v>
      </c>
      <c r="C879" s="3" t="str">
        <f ca="1">INDEX(Customers!$A$2:$A$21,RANDBETWEEN(1,20))</f>
        <v>C004</v>
      </c>
      <c r="D879" s="3" t="str">
        <f ca="1">INDEX(Routes!$A$2:$A$31,RANDBETWEEN(1,30))</f>
        <v>R024</v>
      </c>
      <c r="E879" s="3" t="str">
        <f ca="1">INDEX(Vehicles!$A$2:$A$21,RANDBETWEEN(1,20))</f>
        <v>V009</v>
      </c>
      <c r="F879" s="3" t="str">
        <f ca="1">INDEX(Drivers!$A$2:$A$31,RANDBETWEEN(1,30))</f>
        <v>D027</v>
      </c>
      <c r="G879" s="3">
        <f t="shared" ca="1" si="222"/>
        <v>19.899999999999999</v>
      </c>
      <c r="H879" s="3">
        <f t="shared" ca="1" si="223"/>
        <v>45212</v>
      </c>
      <c r="I879" s="3">
        <f t="shared" ca="1" si="224"/>
        <v>12659</v>
      </c>
      <c r="J879" s="3">
        <f t="shared" ca="1" si="225"/>
        <v>2511</v>
      </c>
      <c r="K879" s="3">
        <f t="shared" ca="1" si="226"/>
        <v>35</v>
      </c>
      <c r="L879" s="3">
        <f t="shared" ca="1" si="227"/>
        <v>43</v>
      </c>
      <c r="M879" s="3">
        <f t="shared" ca="1" si="228"/>
        <v>8</v>
      </c>
      <c r="N879" s="3" t="str">
        <f t="shared" ca="1" si="229"/>
        <v>Delayed</v>
      </c>
      <c r="O879" s="3" t="str">
        <f t="shared" ca="1" si="230"/>
        <v>High</v>
      </c>
      <c r="P879" s="3">
        <f t="shared" ca="1" si="231"/>
        <v>66.3</v>
      </c>
      <c r="Q879" s="1" t="str">
        <f ca="1">VLOOKUP(D879,Routes!$A$2:$D$31,2,FALSE)</f>
        <v>Surat</v>
      </c>
      <c r="R879" s="1" t="str">
        <f ca="1">VLOOKUP(D879,Routes!$A$2:$D$31,3,FALSE)</f>
        <v>Mumbai</v>
      </c>
      <c r="S879" s="3">
        <f ca="1">VLOOKUP(D879,Routes!$A$2:$D$31,4,FALSE)</f>
        <v>280</v>
      </c>
      <c r="T879" s="3" t="str">
        <f ca="1">VLOOKUP(E879,Vehicles!$A$2:$D$21,2,FALSE)</f>
        <v>LCV</v>
      </c>
      <c r="U879" s="3">
        <f ca="1">VLOOKUP(E879,Vehicles!$A$2:$D$21,3,FALSE)</f>
        <v>5</v>
      </c>
      <c r="V879" s="3" t="str">
        <f ca="1">VLOOKUP(E879,Vehicles!$A$2:$D$21,4,FALSE)</f>
        <v>Diesel</v>
      </c>
      <c r="W879" s="3">
        <f ca="1">VLOOKUP(V879,Fuel_Rates!$A$2:$B$3,2,FALSE)</f>
        <v>95</v>
      </c>
      <c r="X879" s="3">
        <f t="shared" ca="1" si="233"/>
        <v>161.47</v>
      </c>
      <c r="Y879" s="3">
        <f t="shared" ca="1" si="234"/>
        <v>60382</v>
      </c>
      <c r="Z879" s="3" t="str">
        <f t="shared" ca="1" si="235"/>
        <v>May</v>
      </c>
      <c r="AA879" s="3" t="str">
        <f t="shared" ca="1" si="236"/>
        <v>Q2</v>
      </c>
      <c r="AB879" s="4" t="str">
        <f t="shared" ca="1" si="237"/>
        <v>Short Haul</v>
      </c>
    </row>
    <row r="880" spans="1:28" x14ac:dyDescent="0.3">
      <c r="A880" s="8" t="str">
        <f t="shared" si="232"/>
        <v>S0879</v>
      </c>
      <c r="B880" s="3">
        <f t="shared" ca="1" si="221"/>
        <v>46004</v>
      </c>
      <c r="C880" s="3" t="str">
        <f ca="1">INDEX(Customers!$A$2:$A$21,RANDBETWEEN(1,20))</f>
        <v>C005</v>
      </c>
      <c r="D880" s="3" t="str">
        <f ca="1">INDEX(Routes!$A$2:$A$31,RANDBETWEEN(1,30))</f>
        <v>R011</v>
      </c>
      <c r="E880" s="3" t="str">
        <f ca="1">INDEX(Vehicles!$A$2:$A$21,RANDBETWEEN(1,20))</f>
        <v>V013</v>
      </c>
      <c r="F880" s="3" t="str">
        <f ca="1">INDEX(Drivers!$A$2:$A$31,RANDBETWEEN(1,30))</f>
        <v>D015</v>
      </c>
      <c r="G880" s="3">
        <f t="shared" ca="1" si="222"/>
        <v>22.6</v>
      </c>
      <c r="H880" s="3">
        <f t="shared" ca="1" si="223"/>
        <v>51094</v>
      </c>
      <c r="I880" s="3">
        <f t="shared" ca="1" si="224"/>
        <v>14306</v>
      </c>
      <c r="J880" s="3">
        <f t="shared" ca="1" si="225"/>
        <v>2088</v>
      </c>
      <c r="K880" s="3">
        <f t="shared" ca="1" si="226"/>
        <v>14</v>
      </c>
      <c r="L880" s="3">
        <f t="shared" ca="1" si="227"/>
        <v>17</v>
      </c>
      <c r="M880" s="3">
        <f t="shared" ca="1" si="228"/>
        <v>3</v>
      </c>
      <c r="N880" s="3" t="str">
        <f t="shared" ca="1" si="229"/>
        <v>Delayed</v>
      </c>
      <c r="O880" s="3" t="str">
        <f t="shared" ca="1" si="230"/>
        <v>Low</v>
      </c>
      <c r="P880" s="3">
        <f t="shared" ca="1" si="231"/>
        <v>75.3</v>
      </c>
      <c r="Q880" s="1" t="str">
        <f ca="1">VLOOKUP(D880,Routes!$A$2:$D$31,2,FALSE)</f>
        <v>Bengaluru</v>
      </c>
      <c r="R880" s="1" t="str">
        <f ca="1">VLOOKUP(D880,Routes!$A$2:$D$31,3,FALSE)</f>
        <v>Kochi</v>
      </c>
      <c r="S880" s="3">
        <f ca="1">VLOOKUP(D880,Routes!$A$2:$D$31,4,FALSE)</f>
        <v>550</v>
      </c>
      <c r="T880" s="3" t="str">
        <f ca="1">VLOOKUP(E880,Vehicles!$A$2:$D$21,2,FALSE)</f>
        <v>LCV</v>
      </c>
      <c r="U880" s="3">
        <f ca="1">VLOOKUP(E880,Vehicles!$A$2:$D$21,3,FALSE)</f>
        <v>4</v>
      </c>
      <c r="V880" s="3" t="str">
        <f ca="1">VLOOKUP(E880,Vehicles!$A$2:$D$21,4,FALSE)</f>
        <v>CNG</v>
      </c>
      <c r="W880" s="3">
        <f ca="1">VLOOKUP(V880,Fuel_Rates!$A$2:$B$3,2,FALSE)</f>
        <v>78</v>
      </c>
      <c r="X880" s="3">
        <f t="shared" ca="1" si="233"/>
        <v>92.9</v>
      </c>
      <c r="Y880" s="3">
        <f t="shared" ca="1" si="234"/>
        <v>67488</v>
      </c>
      <c r="Z880" s="3" t="str">
        <f t="shared" ca="1" si="235"/>
        <v>Dec</v>
      </c>
      <c r="AA880" s="3" t="str">
        <f t="shared" ca="1" si="236"/>
        <v>Q4</v>
      </c>
      <c r="AB880" s="4" t="str">
        <f t="shared" ca="1" si="237"/>
        <v>Medium Haul</v>
      </c>
    </row>
    <row r="881" spans="1:28" x14ac:dyDescent="0.3">
      <c r="A881" s="8" t="str">
        <f t="shared" si="232"/>
        <v>S0880</v>
      </c>
      <c r="B881" s="3">
        <f t="shared" ca="1" si="221"/>
        <v>45700</v>
      </c>
      <c r="C881" s="3" t="str">
        <f ca="1">INDEX(Customers!$A$2:$A$21,RANDBETWEEN(1,20))</f>
        <v>C002</v>
      </c>
      <c r="D881" s="3" t="str">
        <f ca="1">INDEX(Routes!$A$2:$A$31,RANDBETWEEN(1,30))</f>
        <v>R024</v>
      </c>
      <c r="E881" s="3" t="str">
        <f ca="1">INDEX(Vehicles!$A$2:$A$21,RANDBETWEEN(1,20))</f>
        <v>V011</v>
      </c>
      <c r="F881" s="3" t="str">
        <f ca="1">INDEX(Drivers!$A$2:$A$31,RANDBETWEEN(1,30))</f>
        <v>D002</v>
      </c>
      <c r="G881" s="3">
        <f t="shared" ca="1" si="222"/>
        <v>5.4</v>
      </c>
      <c r="H881" s="3">
        <f t="shared" ca="1" si="223"/>
        <v>17147</v>
      </c>
      <c r="I881" s="3">
        <f t="shared" ca="1" si="224"/>
        <v>4801</v>
      </c>
      <c r="J881" s="3">
        <f t="shared" ca="1" si="225"/>
        <v>3639</v>
      </c>
      <c r="K881" s="3">
        <f t="shared" ca="1" si="226"/>
        <v>31</v>
      </c>
      <c r="L881" s="3">
        <f t="shared" ca="1" si="227"/>
        <v>39</v>
      </c>
      <c r="M881" s="3">
        <f t="shared" ca="1" si="228"/>
        <v>8</v>
      </c>
      <c r="N881" s="3" t="str">
        <f t="shared" ca="1" si="229"/>
        <v>Delayed</v>
      </c>
      <c r="O881" s="3" t="str">
        <f t="shared" ca="1" si="230"/>
        <v>Medium</v>
      </c>
      <c r="P881" s="3">
        <f t="shared" ca="1" si="231"/>
        <v>18</v>
      </c>
      <c r="Q881" s="1" t="str">
        <f ca="1">VLOOKUP(D881,Routes!$A$2:$D$31,2,FALSE)</f>
        <v>Surat</v>
      </c>
      <c r="R881" s="1" t="str">
        <f ca="1">VLOOKUP(D881,Routes!$A$2:$D$31,3,FALSE)</f>
        <v>Mumbai</v>
      </c>
      <c r="S881" s="3">
        <f ca="1">VLOOKUP(D881,Routes!$A$2:$D$31,4,FALSE)</f>
        <v>280</v>
      </c>
      <c r="T881" s="3" t="str">
        <f ca="1">VLOOKUP(E881,Vehicles!$A$2:$D$21,2,FALSE)</f>
        <v>Truck</v>
      </c>
      <c r="U881" s="3">
        <f ca="1">VLOOKUP(E881,Vehicles!$A$2:$D$21,3,FALSE)</f>
        <v>18</v>
      </c>
      <c r="V881" s="3" t="str">
        <f ca="1">VLOOKUP(E881,Vehicles!$A$2:$D$21,4,FALSE)</f>
        <v>CNG</v>
      </c>
      <c r="W881" s="3">
        <f ca="1">VLOOKUP(V881,Fuel_Rates!$A$2:$B$3,2,FALSE)</f>
        <v>78</v>
      </c>
      <c r="X881" s="3">
        <f t="shared" ca="1" si="233"/>
        <v>61.24</v>
      </c>
      <c r="Y881" s="3">
        <f t="shared" ca="1" si="234"/>
        <v>25587</v>
      </c>
      <c r="Z881" s="3" t="str">
        <f t="shared" ca="1" si="235"/>
        <v>Feb</v>
      </c>
      <c r="AA881" s="3" t="str">
        <f t="shared" ca="1" si="236"/>
        <v>Q1</v>
      </c>
      <c r="AB881" s="4" t="str">
        <f t="shared" ca="1" si="237"/>
        <v>Short Haul</v>
      </c>
    </row>
    <row r="882" spans="1:28" x14ac:dyDescent="0.3">
      <c r="A882" s="8" t="str">
        <f t="shared" si="232"/>
        <v>S0881</v>
      </c>
      <c r="B882" s="3">
        <f t="shared" ca="1" si="221"/>
        <v>45846</v>
      </c>
      <c r="C882" s="3" t="str">
        <f ca="1">INDEX(Customers!$A$2:$A$21,RANDBETWEEN(1,20))</f>
        <v>C014</v>
      </c>
      <c r="D882" s="3" t="str">
        <f ca="1">INDEX(Routes!$A$2:$A$31,RANDBETWEEN(1,30))</f>
        <v>R023</v>
      </c>
      <c r="E882" s="3" t="str">
        <f ca="1">INDEX(Vehicles!$A$2:$A$21,RANDBETWEEN(1,20))</f>
        <v>V012</v>
      </c>
      <c r="F882" s="3" t="str">
        <f ca="1">INDEX(Drivers!$A$2:$A$31,RANDBETWEEN(1,30))</f>
        <v>D015</v>
      </c>
      <c r="G882" s="3">
        <f t="shared" ca="1" si="222"/>
        <v>27</v>
      </c>
      <c r="H882" s="3">
        <f t="shared" ca="1" si="223"/>
        <v>55675</v>
      </c>
      <c r="I882" s="3">
        <f t="shared" ca="1" si="224"/>
        <v>15589</v>
      </c>
      <c r="J882" s="3">
        <f t="shared" ca="1" si="225"/>
        <v>2483</v>
      </c>
      <c r="K882" s="3">
        <f t="shared" ca="1" si="226"/>
        <v>37</v>
      </c>
      <c r="L882" s="3">
        <f t="shared" ca="1" si="227"/>
        <v>39</v>
      </c>
      <c r="M882" s="3">
        <f t="shared" ca="1" si="228"/>
        <v>2</v>
      </c>
      <c r="N882" s="3" t="str">
        <f t="shared" ca="1" si="229"/>
        <v>On Time</v>
      </c>
      <c r="O882" s="3" t="str">
        <f t="shared" ca="1" si="230"/>
        <v>Medium</v>
      </c>
      <c r="P882" s="3">
        <f t="shared" ca="1" si="231"/>
        <v>90</v>
      </c>
      <c r="Q882" s="1" t="str">
        <f ca="1">VLOOKUP(D882,Routes!$A$2:$D$31,2,FALSE)</f>
        <v>Kochi</v>
      </c>
      <c r="R882" s="1" t="str">
        <f ca="1">VLOOKUP(D882,Routes!$A$2:$D$31,3,FALSE)</f>
        <v>Bengaluru</v>
      </c>
      <c r="S882" s="3">
        <f ca="1">VLOOKUP(D882,Routes!$A$2:$D$31,4,FALSE)</f>
        <v>550</v>
      </c>
      <c r="T882" s="3" t="str">
        <f ca="1">VLOOKUP(E882,Vehicles!$A$2:$D$21,2,FALSE)</f>
        <v>Truck</v>
      </c>
      <c r="U882" s="3">
        <f ca="1">VLOOKUP(E882,Vehicles!$A$2:$D$21,3,FALSE)</f>
        <v>20</v>
      </c>
      <c r="V882" s="3" t="str">
        <f ca="1">VLOOKUP(E882,Vehicles!$A$2:$D$21,4,FALSE)</f>
        <v>CNG</v>
      </c>
      <c r="W882" s="3">
        <f ca="1">VLOOKUP(V882,Fuel_Rates!$A$2:$B$3,2,FALSE)</f>
        <v>78</v>
      </c>
      <c r="X882" s="3">
        <f t="shared" ca="1" si="233"/>
        <v>101.23</v>
      </c>
      <c r="Y882" s="3">
        <f t="shared" ca="1" si="234"/>
        <v>73747</v>
      </c>
      <c r="Z882" s="3" t="str">
        <f t="shared" ca="1" si="235"/>
        <v>Jul</v>
      </c>
      <c r="AA882" s="3" t="str">
        <f t="shared" ca="1" si="236"/>
        <v>Q3</v>
      </c>
      <c r="AB882" s="4" t="str">
        <f t="shared" ca="1" si="237"/>
        <v>Medium Haul</v>
      </c>
    </row>
    <row r="883" spans="1:28" x14ac:dyDescent="0.3">
      <c r="A883" s="8" t="str">
        <f t="shared" si="232"/>
        <v>S0882</v>
      </c>
      <c r="B883" s="3">
        <f t="shared" ca="1" si="221"/>
        <v>45794</v>
      </c>
      <c r="C883" s="3" t="str">
        <f ca="1">INDEX(Customers!$A$2:$A$21,RANDBETWEEN(1,20))</f>
        <v>C013</v>
      </c>
      <c r="D883" s="3" t="str">
        <f ca="1">INDEX(Routes!$A$2:$A$31,RANDBETWEEN(1,30))</f>
        <v>R020</v>
      </c>
      <c r="E883" s="3" t="str">
        <f ca="1">INDEX(Vehicles!$A$2:$A$21,RANDBETWEEN(1,20))</f>
        <v>V008</v>
      </c>
      <c r="F883" s="3" t="str">
        <f ca="1">INDEX(Drivers!$A$2:$A$31,RANDBETWEEN(1,30))</f>
        <v>D027</v>
      </c>
      <c r="G883" s="3">
        <f t="shared" ca="1" si="222"/>
        <v>5.5</v>
      </c>
      <c r="H883" s="3">
        <f t="shared" ca="1" si="223"/>
        <v>24453</v>
      </c>
      <c r="I883" s="3">
        <f t="shared" ca="1" si="224"/>
        <v>6847</v>
      </c>
      <c r="J883" s="3">
        <f t="shared" ca="1" si="225"/>
        <v>3869</v>
      </c>
      <c r="K883" s="3">
        <f t="shared" ca="1" si="226"/>
        <v>31</v>
      </c>
      <c r="L883" s="3">
        <f t="shared" ca="1" si="227"/>
        <v>39</v>
      </c>
      <c r="M883" s="3">
        <f t="shared" ca="1" si="228"/>
        <v>8</v>
      </c>
      <c r="N883" s="3" t="str">
        <f t="shared" ca="1" si="229"/>
        <v>Delayed</v>
      </c>
      <c r="O883" s="3" t="str">
        <f t="shared" ca="1" si="230"/>
        <v>Low</v>
      </c>
      <c r="P883" s="3">
        <f t="shared" ca="1" si="231"/>
        <v>18.3</v>
      </c>
      <c r="Q883" s="1" t="str">
        <f ca="1">VLOOKUP(D883,Routes!$A$2:$D$31,2,FALSE)</f>
        <v>Pune</v>
      </c>
      <c r="R883" s="1" t="str">
        <f ca="1">VLOOKUP(D883,Routes!$A$2:$D$31,3,FALSE)</f>
        <v>Nagpur</v>
      </c>
      <c r="S883" s="3">
        <f ca="1">VLOOKUP(D883,Routes!$A$2:$D$31,4,FALSE)</f>
        <v>720</v>
      </c>
      <c r="T883" s="3" t="str">
        <f ca="1">VLOOKUP(E883,Vehicles!$A$2:$D$21,2,FALSE)</f>
        <v>Container</v>
      </c>
      <c r="U883" s="3">
        <f ca="1">VLOOKUP(E883,Vehicles!$A$2:$D$21,3,FALSE)</f>
        <v>25</v>
      </c>
      <c r="V883" s="3" t="str">
        <f ca="1">VLOOKUP(E883,Vehicles!$A$2:$D$21,4,FALSE)</f>
        <v>Diesel</v>
      </c>
      <c r="W883" s="3">
        <f ca="1">VLOOKUP(V883,Fuel_Rates!$A$2:$B$3,2,FALSE)</f>
        <v>95</v>
      </c>
      <c r="X883" s="3">
        <f t="shared" ca="1" si="233"/>
        <v>33.96</v>
      </c>
      <c r="Y883" s="3">
        <f t="shared" ca="1" si="234"/>
        <v>35169</v>
      </c>
      <c r="Z883" s="3" t="str">
        <f t="shared" ca="1" si="235"/>
        <v>May</v>
      </c>
      <c r="AA883" s="3" t="str">
        <f t="shared" ca="1" si="236"/>
        <v>Q2</v>
      </c>
      <c r="AB883" s="4" t="str">
        <f t="shared" ca="1" si="237"/>
        <v>Medium Haul</v>
      </c>
    </row>
    <row r="884" spans="1:28" x14ac:dyDescent="0.3">
      <c r="A884" s="8" t="str">
        <f t="shared" si="232"/>
        <v>S0883</v>
      </c>
      <c r="B884" s="3">
        <f t="shared" ca="1" si="221"/>
        <v>45982</v>
      </c>
      <c r="C884" s="3" t="str">
        <f ca="1">INDEX(Customers!$A$2:$A$21,RANDBETWEEN(1,20))</f>
        <v>C014</v>
      </c>
      <c r="D884" s="3" t="str">
        <f ca="1">INDEX(Routes!$A$2:$A$31,RANDBETWEEN(1,30))</f>
        <v>R021</v>
      </c>
      <c r="E884" s="3" t="str">
        <f ca="1">INDEX(Vehicles!$A$2:$A$21,RANDBETWEEN(1,20))</f>
        <v>V012</v>
      </c>
      <c r="F884" s="3" t="str">
        <f ca="1">INDEX(Drivers!$A$2:$A$31,RANDBETWEEN(1,30))</f>
        <v>D021</v>
      </c>
      <c r="G884" s="3">
        <f t="shared" ca="1" si="222"/>
        <v>10.3</v>
      </c>
      <c r="H884" s="3">
        <f t="shared" ca="1" si="223"/>
        <v>26852</v>
      </c>
      <c r="I884" s="3">
        <f t="shared" ca="1" si="224"/>
        <v>7519</v>
      </c>
      <c r="J884" s="3">
        <f t="shared" ca="1" si="225"/>
        <v>2922</v>
      </c>
      <c r="K884" s="3">
        <f t="shared" ca="1" si="226"/>
        <v>18</v>
      </c>
      <c r="L884" s="3">
        <f t="shared" ca="1" si="227"/>
        <v>22</v>
      </c>
      <c r="M884" s="3">
        <f t="shared" ca="1" si="228"/>
        <v>4</v>
      </c>
      <c r="N884" s="3" t="str">
        <f t="shared" ca="1" si="229"/>
        <v>Delayed</v>
      </c>
      <c r="O884" s="3" t="str">
        <f t="shared" ca="1" si="230"/>
        <v>High</v>
      </c>
      <c r="P884" s="3">
        <f t="shared" ca="1" si="231"/>
        <v>34.299999999999997</v>
      </c>
      <c r="Q884" s="1" t="str">
        <f ca="1">VLOOKUP(D884,Routes!$A$2:$D$31,2,FALSE)</f>
        <v>Lucknow</v>
      </c>
      <c r="R884" s="1" t="str">
        <f ca="1">VLOOKUP(D884,Routes!$A$2:$D$31,3,FALSE)</f>
        <v>Kanpur</v>
      </c>
      <c r="S884" s="3">
        <f ca="1">VLOOKUP(D884,Routes!$A$2:$D$31,4,FALSE)</f>
        <v>90</v>
      </c>
      <c r="T884" s="3" t="str">
        <f ca="1">VLOOKUP(E884,Vehicles!$A$2:$D$21,2,FALSE)</f>
        <v>Truck</v>
      </c>
      <c r="U884" s="3">
        <f ca="1">VLOOKUP(E884,Vehicles!$A$2:$D$21,3,FALSE)</f>
        <v>20</v>
      </c>
      <c r="V884" s="3" t="str">
        <f ca="1">VLOOKUP(E884,Vehicles!$A$2:$D$21,4,FALSE)</f>
        <v>CNG</v>
      </c>
      <c r="W884" s="3">
        <f ca="1">VLOOKUP(V884,Fuel_Rates!$A$2:$B$3,2,FALSE)</f>
        <v>78</v>
      </c>
      <c r="X884" s="3">
        <f t="shared" ca="1" si="233"/>
        <v>298.36</v>
      </c>
      <c r="Y884" s="3">
        <f t="shared" ca="1" si="234"/>
        <v>37293</v>
      </c>
      <c r="Z884" s="3" t="str">
        <f t="shared" ca="1" si="235"/>
        <v>Nov</v>
      </c>
      <c r="AA884" s="3" t="str">
        <f t="shared" ca="1" si="236"/>
        <v>Q4</v>
      </c>
      <c r="AB884" s="4" t="str">
        <f t="shared" ca="1" si="237"/>
        <v>Short Haul</v>
      </c>
    </row>
    <row r="885" spans="1:28" x14ac:dyDescent="0.3">
      <c r="A885" s="8" t="str">
        <f t="shared" si="232"/>
        <v>S0884</v>
      </c>
      <c r="B885" s="3">
        <f t="shared" ca="1" si="221"/>
        <v>45797</v>
      </c>
      <c r="C885" s="3" t="str">
        <f ca="1">INDEX(Customers!$A$2:$A$21,RANDBETWEEN(1,20))</f>
        <v>C007</v>
      </c>
      <c r="D885" s="3" t="str">
        <f ca="1">INDEX(Routes!$A$2:$A$31,RANDBETWEEN(1,30))</f>
        <v>R003</v>
      </c>
      <c r="E885" s="3" t="str">
        <f ca="1">INDEX(Vehicles!$A$2:$A$21,RANDBETWEEN(1,20))</f>
        <v>V012</v>
      </c>
      <c r="F885" s="3" t="str">
        <f ca="1">INDEX(Drivers!$A$2:$A$31,RANDBETWEEN(1,30))</f>
        <v>D009</v>
      </c>
      <c r="G885" s="3">
        <f t="shared" ca="1" si="222"/>
        <v>15.1</v>
      </c>
      <c r="H885" s="3">
        <f t="shared" ca="1" si="223"/>
        <v>31205</v>
      </c>
      <c r="I885" s="3">
        <f t="shared" ca="1" si="224"/>
        <v>8737</v>
      </c>
      <c r="J885" s="3">
        <f t="shared" ca="1" si="225"/>
        <v>1773</v>
      </c>
      <c r="K885" s="3">
        <f t="shared" ca="1" si="226"/>
        <v>16</v>
      </c>
      <c r="L885" s="3">
        <f t="shared" ca="1" si="227"/>
        <v>18</v>
      </c>
      <c r="M885" s="3">
        <f t="shared" ca="1" si="228"/>
        <v>2</v>
      </c>
      <c r="N885" s="3" t="str">
        <f t="shared" ca="1" si="229"/>
        <v>On Time</v>
      </c>
      <c r="O885" s="3" t="str">
        <f t="shared" ca="1" si="230"/>
        <v>High</v>
      </c>
      <c r="P885" s="3">
        <f t="shared" ca="1" si="231"/>
        <v>50.3</v>
      </c>
      <c r="Q885" s="1" t="str">
        <f ca="1">VLOOKUP(D885,Routes!$A$2:$D$31,2,FALSE)</f>
        <v>Mumbai</v>
      </c>
      <c r="R885" s="1" t="str">
        <f ca="1">VLOOKUP(D885,Routes!$A$2:$D$31,3,FALSE)</f>
        <v>Delhi</v>
      </c>
      <c r="S885" s="3">
        <f ca="1">VLOOKUP(D885,Routes!$A$2:$D$31,4,FALSE)</f>
        <v>1450</v>
      </c>
      <c r="T885" s="3" t="str">
        <f ca="1">VLOOKUP(E885,Vehicles!$A$2:$D$21,2,FALSE)</f>
        <v>Truck</v>
      </c>
      <c r="U885" s="3">
        <f ca="1">VLOOKUP(E885,Vehicles!$A$2:$D$21,3,FALSE)</f>
        <v>20</v>
      </c>
      <c r="V885" s="3" t="str">
        <f ca="1">VLOOKUP(E885,Vehicles!$A$2:$D$21,4,FALSE)</f>
        <v>CNG</v>
      </c>
      <c r="W885" s="3">
        <f ca="1">VLOOKUP(V885,Fuel_Rates!$A$2:$B$3,2,FALSE)</f>
        <v>78</v>
      </c>
      <c r="X885" s="3">
        <f t="shared" ca="1" si="233"/>
        <v>21.52</v>
      </c>
      <c r="Y885" s="3">
        <f t="shared" ca="1" si="234"/>
        <v>41715</v>
      </c>
      <c r="Z885" s="3" t="str">
        <f t="shared" ca="1" si="235"/>
        <v>May</v>
      </c>
      <c r="AA885" s="3" t="str">
        <f t="shared" ca="1" si="236"/>
        <v>Q2</v>
      </c>
      <c r="AB885" s="4" t="str">
        <f t="shared" ca="1" si="237"/>
        <v>Long Haul</v>
      </c>
    </row>
    <row r="886" spans="1:28" x14ac:dyDescent="0.3">
      <c r="A886" s="8" t="str">
        <f t="shared" si="232"/>
        <v>S0885</v>
      </c>
      <c r="B886" s="3">
        <f t="shared" ca="1" si="221"/>
        <v>45701</v>
      </c>
      <c r="C886" s="3" t="str">
        <f ca="1">INDEX(Customers!$A$2:$A$21,RANDBETWEEN(1,20))</f>
        <v>C005</v>
      </c>
      <c r="D886" s="3" t="str">
        <f ca="1">INDEX(Routes!$A$2:$A$31,RANDBETWEEN(1,30))</f>
        <v>R027</v>
      </c>
      <c r="E886" s="3" t="str">
        <f ca="1">INDEX(Vehicles!$A$2:$A$21,RANDBETWEEN(1,20))</f>
        <v>V001</v>
      </c>
      <c r="F886" s="3" t="str">
        <f ca="1">INDEX(Drivers!$A$2:$A$31,RANDBETWEEN(1,30))</f>
        <v>D006</v>
      </c>
      <c r="G886" s="3">
        <f t="shared" ca="1" si="222"/>
        <v>4.9000000000000004</v>
      </c>
      <c r="H886" s="3">
        <f t="shared" ca="1" si="223"/>
        <v>22814</v>
      </c>
      <c r="I886" s="3">
        <f t="shared" ca="1" si="224"/>
        <v>6388</v>
      </c>
      <c r="J886" s="3">
        <f t="shared" ca="1" si="225"/>
        <v>1359</v>
      </c>
      <c r="K886" s="3">
        <f t="shared" ca="1" si="226"/>
        <v>20</v>
      </c>
      <c r="L886" s="3">
        <f t="shared" ca="1" si="227"/>
        <v>27</v>
      </c>
      <c r="M886" s="3">
        <f t="shared" ca="1" si="228"/>
        <v>7</v>
      </c>
      <c r="N886" s="3" t="str">
        <f t="shared" ca="1" si="229"/>
        <v>Delayed</v>
      </c>
      <c r="O886" s="3" t="str">
        <f t="shared" ca="1" si="230"/>
        <v>High</v>
      </c>
      <c r="P886" s="3">
        <f t="shared" ca="1" si="231"/>
        <v>16.3</v>
      </c>
      <c r="Q886" s="1" t="str">
        <f ca="1">VLOOKUP(D886,Routes!$A$2:$D$31,2,FALSE)</f>
        <v>Patna</v>
      </c>
      <c r="R886" s="1" t="str">
        <f ca="1">VLOOKUP(D886,Routes!$A$2:$D$31,3,FALSE)</f>
        <v>Ranchi</v>
      </c>
      <c r="S886" s="3">
        <f ca="1">VLOOKUP(D886,Routes!$A$2:$D$31,4,FALSE)</f>
        <v>330</v>
      </c>
      <c r="T886" s="3" t="str">
        <f ca="1">VLOOKUP(E886,Vehicles!$A$2:$D$21,2,FALSE)</f>
        <v>Truck</v>
      </c>
      <c r="U886" s="3">
        <f ca="1">VLOOKUP(E886,Vehicles!$A$2:$D$21,3,FALSE)</f>
        <v>16</v>
      </c>
      <c r="V886" s="3" t="str">
        <f ca="1">VLOOKUP(E886,Vehicles!$A$2:$D$21,4,FALSE)</f>
        <v>Diesel</v>
      </c>
      <c r="W886" s="3">
        <f ca="1">VLOOKUP(V886,Fuel_Rates!$A$2:$B$3,2,FALSE)</f>
        <v>95</v>
      </c>
      <c r="X886" s="3">
        <f t="shared" ca="1" si="233"/>
        <v>69.13</v>
      </c>
      <c r="Y886" s="3">
        <f t="shared" ca="1" si="234"/>
        <v>30561</v>
      </c>
      <c r="Z886" s="3" t="str">
        <f t="shared" ca="1" si="235"/>
        <v>Feb</v>
      </c>
      <c r="AA886" s="3" t="str">
        <f t="shared" ca="1" si="236"/>
        <v>Q1</v>
      </c>
      <c r="AB886" s="4" t="str">
        <f t="shared" ca="1" si="237"/>
        <v>Medium Haul</v>
      </c>
    </row>
    <row r="887" spans="1:28" x14ac:dyDescent="0.3">
      <c r="A887" s="8" t="str">
        <f t="shared" si="232"/>
        <v>S0886</v>
      </c>
      <c r="B887" s="3">
        <f t="shared" ca="1" si="221"/>
        <v>45674</v>
      </c>
      <c r="C887" s="3" t="str">
        <f ca="1">INDEX(Customers!$A$2:$A$21,RANDBETWEEN(1,20))</f>
        <v>C010</v>
      </c>
      <c r="D887" s="3" t="str">
        <f ca="1">INDEX(Routes!$A$2:$A$31,RANDBETWEEN(1,30))</f>
        <v>R019</v>
      </c>
      <c r="E887" s="3" t="str">
        <f ca="1">INDEX(Vehicles!$A$2:$A$21,RANDBETWEEN(1,20))</f>
        <v>V011</v>
      </c>
      <c r="F887" s="3" t="str">
        <f ca="1">INDEX(Drivers!$A$2:$A$31,RANDBETWEEN(1,30))</f>
        <v>D004</v>
      </c>
      <c r="G887" s="3">
        <f t="shared" ca="1" si="222"/>
        <v>28.5</v>
      </c>
      <c r="H887" s="3">
        <f t="shared" ca="1" si="223"/>
        <v>65698</v>
      </c>
      <c r="I887" s="3">
        <f t="shared" ca="1" si="224"/>
        <v>18395</v>
      </c>
      <c r="J887" s="3">
        <f t="shared" ca="1" si="225"/>
        <v>2598</v>
      </c>
      <c r="K887" s="3">
        <f t="shared" ca="1" si="226"/>
        <v>16</v>
      </c>
      <c r="L887" s="3">
        <f t="shared" ca="1" si="227"/>
        <v>21</v>
      </c>
      <c r="M887" s="3">
        <f t="shared" ca="1" si="228"/>
        <v>5</v>
      </c>
      <c r="N887" s="3" t="str">
        <f t="shared" ca="1" si="229"/>
        <v>Delayed</v>
      </c>
      <c r="O887" s="3" t="str">
        <f t="shared" ca="1" si="230"/>
        <v>Low</v>
      </c>
      <c r="P887" s="3">
        <f t="shared" ca="1" si="231"/>
        <v>95</v>
      </c>
      <c r="Q887" s="1" t="str">
        <f ca="1">VLOOKUP(D887,Routes!$A$2:$D$31,2,FALSE)</f>
        <v>Ahmedabad</v>
      </c>
      <c r="R887" s="1" t="str">
        <f ca="1">VLOOKUP(D887,Routes!$A$2:$D$31,3,FALSE)</f>
        <v>Indore</v>
      </c>
      <c r="S887" s="3">
        <f ca="1">VLOOKUP(D887,Routes!$A$2:$D$31,4,FALSE)</f>
        <v>390</v>
      </c>
      <c r="T887" s="3" t="str">
        <f ca="1">VLOOKUP(E887,Vehicles!$A$2:$D$21,2,FALSE)</f>
        <v>Truck</v>
      </c>
      <c r="U887" s="3">
        <f ca="1">VLOOKUP(E887,Vehicles!$A$2:$D$21,3,FALSE)</f>
        <v>18</v>
      </c>
      <c r="V887" s="3" t="str">
        <f ca="1">VLOOKUP(E887,Vehicles!$A$2:$D$21,4,FALSE)</f>
        <v>CNG</v>
      </c>
      <c r="W887" s="3">
        <f ca="1">VLOOKUP(V887,Fuel_Rates!$A$2:$B$3,2,FALSE)</f>
        <v>78</v>
      </c>
      <c r="X887" s="3">
        <f t="shared" ca="1" si="233"/>
        <v>168.46</v>
      </c>
      <c r="Y887" s="3">
        <f t="shared" ca="1" si="234"/>
        <v>86691</v>
      </c>
      <c r="Z887" s="3" t="str">
        <f t="shared" ca="1" si="235"/>
        <v>Jan</v>
      </c>
      <c r="AA887" s="3" t="str">
        <f t="shared" ca="1" si="236"/>
        <v>Q1</v>
      </c>
      <c r="AB887" s="4" t="str">
        <f t="shared" ca="1" si="237"/>
        <v>Medium Haul</v>
      </c>
    </row>
    <row r="888" spans="1:28" x14ac:dyDescent="0.3">
      <c r="A888" s="8" t="str">
        <f t="shared" si="232"/>
        <v>S0887</v>
      </c>
      <c r="B888" s="3">
        <f t="shared" ca="1" si="221"/>
        <v>45812</v>
      </c>
      <c r="C888" s="3" t="str">
        <f ca="1">INDEX(Customers!$A$2:$A$21,RANDBETWEEN(1,20))</f>
        <v>C017</v>
      </c>
      <c r="D888" s="3" t="str">
        <f ca="1">INDEX(Routes!$A$2:$A$31,RANDBETWEEN(1,30))</f>
        <v>R002</v>
      </c>
      <c r="E888" s="3" t="str">
        <f ca="1">INDEX(Vehicles!$A$2:$A$21,RANDBETWEEN(1,20))</f>
        <v>V006</v>
      </c>
      <c r="F888" s="3" t="str">
        <f ca="1">INDEX(Drivers!$A$2:$A$31,RANDBETWEEN(1,30))</f>
        <v>D002</v>
      </c>
      <c r="G888" s="3">
        <f t="shared" ca="1" si="222"/>
        <v>12</v>
      </c>
      <c r="H888" s="3">
        <f t="shared" ca="1" si="223"/>
        <v>36232</v>
      </c>
      <c r="I888" s="3">
        <f t="shared" ca="1" si="224"/>
        <v>10145</v>
      </c>
      <c r="J888" s="3">
        <f t="shared" ca="1" si="225"/>
        <v>1223</v>
      </c>
      <c r="K888" s="3">
        <f t="shared" ca="1" si="226"/>
        <v>4</v>
      </c>
      <c r="L888" s="3">
        <f t="shared" ca="1" si="227"/>
        <v>7</v>
      </c>
      <c r="M888" s="3">
        <f t="shared" ca="1" si="228"/>
        <v>3</v>
      </c>
      <c r="N888" s="3" t="str">
        <f t="shared" ca="1" si="229"/>
        <v>Delayed</v>
      </c>
      <c r="O888" s="3" t="str">
        <f t="shared" ca="1" si="230"/>
        <v>High</v>
      </c>
      <c r="P888" s="3">
        <f t="shared" ca="1" si="231"/>
        <v>40</v>
      </c>
      <c r="Q888" s="1" t="str">
        <f ca="1">VLOOKUP(D888,Routes!$A$2:$D$31,2,FALSE)</f>
        <v>Mumbai</v>
      </c>
      <c r="R888" s="1" t="str">
        <f ca="1">VLOOKUP(D888,Routes!$A$2:$D$31,3,FALSE)</f>
        <v>Ahmedabad</v>
      </c>
      <c r="S888" s="3">
        <f ca="1">VLOOKUP(D888,Routes!$A$2:$D$31,4,FALSE)</f>
        <v>530</v>
      </c>
      <c r="T888" s="3" t="str">
        <f ca="1">VLOOKUP(E888,Vehicles!$A$2:$D$21,2,FALSE)</f>
        <v>Container</v>
      </c>
      <c r="U888" s="3">
        <f ca="1">VLOOKUP(E888,Vehicles!$A$2:$D$21,3,FALSE)</f>
        <v>18</v>
      </c>
      <c r="V888" s="3" t="str">
        <f ca="1">VLOOKUP(E888,Vehicles!$A$2:$D$21,4,FALSE)</f>
        <v>Diesel</v>
      </c>
      <c r="W888" s="3">
        <f ca="1">VLOOKUP(V888,Fuel_Rates!$A$2:$B$3,2,FALSE)</f>
        <v>95</v>
      </c>
      <c r="X888" s="3">
        <f t="shared" ca="1" si="233"/>
        <v>68.36</v>
      </c>
      <c r="Y888" s="3">
        <f t="shared" ca="1" si="234"/>
        <v>47600</v>
      </c>
      <c r="Z888" s="3" t="str">
        <f t="shared" ca="1" si="235"/>
        <v>Jun</v>
      </c>
      <c r="AA888" s="3" t="str">
        <f t="shared" ca="1" si="236"/>
        <v>Q2</v>
      </c>
      <c r="AB888" s="4" t="str">
        <f t="shared" ca="1" si="237"/>
        <v>Medium Haul</v>
      </c>
    </row>
    <row r="889" spans="1:28" x14ac:dyDescent="0.3">
      <c r="A889" s="8" t="str">
        <f t="shared" si="232"/>
        <v>S0888</v>
      </c>
      <c r="B889" s="3">
        <f t="shared" ca="1" si="221"/>
        <v>45903</v>
      </c>
      <c r="C889" s="3" t="str">
        <f ca="1">INDEX(Customers!$A$2:$A$21,RANDBETWEEN(1,20))</f>
        <v>C003</v>
      </c>
      <c r="D889" s="3" t="str">
        <f ca="1">INDEX(Routes!$A$2:$A$31,RANDBETWEEN(1,30))</f>
        <v>R025</v>
      </c>
      <c r="E889" s="3" t="str">
        <f ca="1">INDEX(Vehicles!$A$2:$A$21,RANDBETWEEN(1,20))</f>
        <v>V007</v>
      </c>
      <c r="F889" s="3" t="str">
        <f ca="1">INDEX(Drivers!$A$2:$A$31,RANDBETWEEN(1,30))</f>
        <v>D007</v>
      </c>
      <c r="G889" s="3">
        <f t="shared" ca="1" si="222"/>
        <v>20.7</v>
      </c>
      <c r="H889" s="3">
        <f t="shared" ca="1" si="223"/>
        <v>51991</v>
      </c>
      <c r="I889" s="3">
        <f t="shared" ca="1" si="224"/>
        <v>14557</v>
      </c>
      <c r="J889" s="3">
        <f t="shared" ca="1" si="225"/>
        <v>1290</v>
      </c>
      <c r="K889" s="3">
        <f t="shared" ca="1" si="226"/>
        <v>47</v>
      </c>
      <c r="L889" s="3">
        <f t="shared" ca="1" si="227"/>
        <v>47</v>
      </c>
      <c r="M889" s="3">
        <f t="shared" ca="1" si="228"/>
        <v>0</v>
      </c>
      <c r="N889" s="3" t="str">
        <f t="shared" ca="1" si="229"/>
        <v>On Time</v>
      </c>
      <c r="O889" s="3" t="str">
        <f t="shared" ca="1" si="230"/>
        <v>Medium</v>
      </c>
      <c r="P889" s="3">
        <f t="shared" ca="1" si="231"/>
        <v>69</v>
      </c>
      <c r="Q889" s="1" t="str">
        <f ca="1">VLOOKUP(D889,Routes!$A$2:$D$31,2,FALSE)</f>
        <v>Visakhapatnam</v>
      </c>
      <c r="R889" s="1" t="str">
        <f ca="1">VLOOKUP(D889,Routes!$A$2:$D$31,3,FALSE)</f>
        <v>Hyderabad</v>
      </c>
      <c r="S889" s="3">
        <f ca="1">VLOOKUP(D889,Routes!$A$2:$D$31,4,FALSE)</f>
        <v>620</v>
      </c>
      <c r="T889" s="3" t="str">
        <f ca="1">VLOOKUP(E889,Vehicles!$A$2:$D$21,2,FALSE)</f>
        <v>Container</v>
      </c>
      <c r="U889" s="3">
        <f ca="1">VLOOKUP(E889,Vehicles!$A$2:$D$21,3,FALSE)</f>
        <v>20</v>
      </c>
      <c r="V889" s="3" t="str">
        <f ca="1">VLOOKUP(E889,Vehicles!$A$2:$D$21,4,FALSE)</f>
        <v>Diesel</v>
      </c>
      <c r="W889" s="3">
        <f ca="1">VLOOKUP(V889,Fuel_Rates!$A$2:$B$3,2,FALSE)</f>
        <v>95</v>
      </c>
      <c r="X889" s="3">
        <f t="shared" ca="1" si="233"/>
        <v>83.86</v>
      </c>
      <c r="Y889" s="3">
        <f t="shared" ca="1" si="234"/>
        <v>67838</v>
      </c>
      <c r="Z889" s="3" t="str">
        <f t="shared" ca="1" si="235"/>
        <v>Sep</v>
      </c>
      <c r="AA889" s="3" t="str">
        <f t="shared" ca="1" si="236"/>
        <v>Q3</v>
      </c>
      <c r="AB889" s="4" t="str">
        <f t="shared" ca="1" si="237"/>
        <v>Medium Haul</v>
      </c>
    </row>
    <row r="890" spans="1:28" x14ac:dyDescent="0.3">
      <c r="A890" s="8" t="str">
        <f t="shared" si="232"/>
        <v>S0889</v>
      </c>
      <c r="B890" s="3">
        <f t="shared" ca="1" si="221"/>
        <v>45789</v>
      </c>
      <c r="C890" s="3" t="str">
        <f ca="1">INDEX(Customers!$A$2:$A$21,RANDBETWEEN(1,20))</f>
        <v>C020</v>
      </c>
      <c r="D890" s="3" t="str">
        <f ca="1">INDEX(Routes!$A$2:$A$31,RANDBETWEEN(1,30))</f>
        <v>R021</v>
      </c>
      <c r="E890" s="3" t="str">
        <f ca="1">INDEX(Vehicles!$A$2:$A$21,RANDBETWEEN(1,20))</f>
        <v>V008</v>
      </c>
      <c r="F890" s="3" t="str">
        <f ca="1">INDEX(Drivers!$A$2:$A$31,RANDBETWEEN(1,30))</f>
        <v>D028</v>
      </c>
      <c r="G890" s="3">
        <f t="shared" ca="1" si="222"/>
        <v>13.3</v>
      </c>
      <c r="H890" s="3">
        <f t="shared" ca="1" si="223"/>
        <v>29124</v>
      </c>
      <c r="I890" s="3">
        <f t="shared" ca="1" si="224"/>
        <v>8155</v>
      </c>
      <c r="J890" s="3">
        <f t="shared" ca="1" si="225"/>
        <v>3572</v>
      </c>
      <c r="K890" s="3">
        <f t="shared" ca="1" si="226"/>
        <v>38</v>
      </c>
      <c r="L890" s="3">
        <f t="shared" ca="1" si="227"/>
        <v>38</v>
      </c>
      <c r="M890" s="3">
        <f t="shared" ca="1" si="228"/>
        <v>0</v>
      </c>
      <c r="N890" s="3" t="str">
        <f t="shared" ca="1" si="229"/>
        <v>On Time</v>
      </c>
      <c r="O890" s="3" t="str">
        <f t="shared" ca="1" si="230"/>
        <v>Medium</v>
      </c>
      <c r="P890" s="3">
        <f t="shared" ca="1" si="231"/>
        <v>44.3</v>
      </c>
      <c r="Q890" s="1" t="str">
        <f ca="1">VLOOKUP(D890,Routes!$A$2:$D$31,2,FALSE)</f>
        <v>Lucknow</v>
      </c>
      <c r="R890" s="1" t="str">
        <f ca="1">VLOOKUP(D890,Routes!$A$2:$D$31,3,FALSE)</f>
        <v>Kanpur</v>
      </c>
      <c r="S890" s="3">
        <f ca="1">VLOOKUP(D890,Routes!$A$2:$D$31,4,FALSE)</f>
        <v>90</v>
      </c>
      <c r="T890" s="3" t="str">
        <f ca="1">VLOOKUP(E890,Vehicles!$A$2:$D$21,2,FALSE)</f>
        <v>Container</v>
      </c>
      <c r="U890" s="3">
        <f ca="1">VLOOKUP(E890,Vehicles!$A$2:$D$21,3,FALSE)</f>
        <v>25</v>
      </c>
      <c r="V890" s="3" t="str">
        <f ca="1">VLOOKUP(E890,Vehicles!$A$2:$D$21,4,FALSE)</f>
        <v>Diesel</v>
      </c>
      <c r="W890" s="3">
        <f ca="1">VLOOKUP(V890,Fuel_Rates!$A$2:$B$3,2,FALSE)</f>
        <v>95</v>
      </c>
      <c r="X890" s="3">
        <f t="shared" ca="1" si="233"/>
        <v>323.60000000000002</v>
      </c>
      <c r="Y890" s="3">
        <f t="shared" ca="1" si="234"/>
        <v>40851</v>
      </c>
      <c r="Z890" s="3" t="str">
        <f t="shared" ca="1" si="235"/>
        <v>May</v>
      </c>
      <c r="AA890" s="3" t="str">
        <f t="shared" ca="1" si="236"/>
        <v>Q2</v>
      </c>
      <c r="AB890" s="4" t="str">
        <f t="shared" ca="1" si="237"/>
        <v>Short Haul</v>
      </c>
    </row>
    <row r="891" spans="1:28" x14ac:dyDescent="0.3">
      <c r="A891" s="8" t="str">
        <f t="shared" si="232"/>
        <v>S0890</v>
      </c>
      <c r="B891" s="3">
        <f t="shared" ca="1" si="221"/>
        <v>45788</v>
      </c>
      <c r="C891" s="3" t="str">
        <f ca="1">INDEX(Customers!$A$2:$A$21,RANDBETWEEN(1,20))</f>
        <v>C017</v>
      </c>
      <c r="D891" s="3" t="str">
        <f ca="1">INDEX(Routes!$A$2:$A$31,RANDBETWEEN(1,30))</f>
        <v>R015</v>
      </c>
      <c r="E891" s="3" t="str">
        <f ca="1">INDEX(Vehicles!$A$2:$A$21,RANDBETWEEN(1,20))</f>
        <v>V017</v>
      </c>
      <c r="F891" s="3" t="str">
        <f ca="1">INDEX(Drivers!$A$2:$A$31,RANDBETWEEN(1,30))</f>
        <v>D004</v>
      </c>
      <c r="G891" s="3">
        <f t="shared" ca="1" si="222"/>
        <v>21.9</v>
      </c>
      <c r="H891" s="3">
        <f t="shared" ca="1" si="223"/>
        <v>45844</v>
      </c>
      <c r="I891" s="3">
        <f t="shared" ca="1" si="224"/>
        <v>12836</v>
      </c>
      <c r="J891" s="3">
        <f t="shared" ca="1" si="225"/>
        <v>1160</v>
      </c>
      <c r="K891" s="3">
        <f t="shared" ca="1" si="226"/>
        <v>7</v>
      </c>
      <c r="L891" s="3">
        <f t="shared" ca="1" si="227"/>
        <v>9</v>
      </c>
      <c r="M891" s="3">
        <f t="shared" ca="1" si="228"/>
        <v>2</v>
      </c>
      <c r="N891" s="3" t="str">
        <f t="shared" ca="1" si="229"/>
        <v>On Time</v>
      </c>
      <c r="O891" s="3" t="str">
        <f t="shared" ca="1" si="230"/>
        <v>Low</v>
      </c>
      <c r="P891" s="3">
        <f t="shared" ca="1" si="231"/>
        <v>73</v>
      </c>
      <c r="Q891" s="1" t="str">
        <f ca="1">VLOOKUP(D891,Routes!$A$2:$D$31,2,FALSE)</f>
        <v>Hyderabad</v>
      </c>
      <c r="R891" s="1" t="str">
        <f ca="1">VLOOKUP(D891,Routes!$A$2:$D$31,3,FALSE)</f>
        <v>Pune</v>
      </c>
      <c r="S891" s="3">
        <f ca="1">VLOOKUP(D891,Routes!$A$2:$D$31,4,FALSE)</f>
        <v>560</v>
      </c>
      <c r="T891" s="3" t="str">
        <f ca="1">VLOOKUP(E891,Vehicles!$A$2:$D$21,2,FALSE)</f>
        <v>Truck</v>
      </c>
      <c r="U891" s="3">
        <f ca="1">VLOOKUP(E891,Vehicles!$A$2:$D$21,3,FALSE)</f>
        <v>24</v>
      </c>
      <c r="V891" s="3" t="str">
        <f ca="1">VLOOKUP(E891,Vehicles!$A$2:$D$21,4,FALSE)</f>
        <v>Diesel</v>
      </c>
      <c r="W891" s="3">
        <f ca="1">VLOOKUP(V891,Fuel_Rates!$A$2:$B$3,2,FALSE)</f>
        <v>95</v>
      </c>
      <c r="X891" s="3">
        <f t="shared" ca="1" si="233"/>
        <v>81.86</v>
      </c>
      <c r="Y891" s="3">
        <f t="shared" ca="1" si="234"/>
        <v>59840</v>
      </c>
      <c r="Z891" s="3" t="str">
        <f t="shared" ca="1" si="235"/>
        <v>May</v>
      </c>
      <c r="AA891" s="3" t="str">
        <f t="shared" ca="1" si="236"/>
        <v>Q2</v>
      </c>
      <c r="AB891" s="4" t="str">
        <f t="shared" ca="1" si="237"/>
        <v>Medium Haul</v>
      </c>
    </row>
    <row r="892" spans="1:28" x14ac:dyDescent="0.3">
      <c r="A892" s="8" t="str">
        <f t="shared" si="232"/>
        <v>S0891</v>
      </c>
      <c r="B892" s="3">
        <f t="shared" ca="1" si="221"/>
        <v>45988</v>
      </c>
      <c r="C892" s="3" t="str">
        <f ca="1">INDEX(Customers!$A$2:$A$21,RANDBETWEEN(1,20))</f>
        <v>C017</v>
      </c>
      <c r="D892" s="3" t="str">
        <f ca="1">INDEX(Routes!$A$2:$A$31,RANDBETWEEN(1,30))</f>
        <v>R021</v>
      </c>
      <c r="E892" s="3" t="str">
        <f ca="1">INDEX(Vehicles!$A$2:$A$21,RANDBETWEEN(1,20))</f>
        <v>V013</v>
      </c>
      <c r="F892" s="3" t="str">
        <f ca="1">INDEX(Drivers!$A$2:$A$31,RANDBETWEEN(1,30))</f>
        <v>D015</v>
      </c>
      <c r="G892" s="3">
        <f t="shared" ca="1" si="222"/>
        <v>17.2</v>
      </c>
      <c r="H892" s="3">
        <f t="shared" ca="1" si="223"/>
        <v>43917</v>
      </c>
      <c r="I892" s="3">
        <f t="shared" ca="1" si="224"/>
        <v>12297</v>
      </c>
      <c r="J892" s="3">
        <f t="shared" ca="1" si="225"/>
        <v>2995</v>
      </c>
      <c r="K892" s="3">
        <f t="shared" ca="1" si="226"/>
        <v>33</v>
      </c>
      <c r="L892" s="3">
        <f t="shared" ca="1" si="227"/>
        <v>40</v>
      </c>
      <c r="M892" s="3">
        <f t="shared" ca="1" si="228"/>
        <v>7</v>
      </c>
      <c r="N892" s="3" t="str">
        <f t="shared" ca="1" si="229"/>
        <v>Delayed</v>
      </c>
      <c r="O892" s="3" t="str">
        <f t="shared" ca="1" si="230"/>
        <v>Low</v>
      </c>
      <c r="P892" s="3">
        <f t="shared" ca="1" si="231"/>
        <v>57.3</v>
      </c>
      <c r="Q892" s="1" t="str">
        <f ca="1">VLOOKUP(D892,Routes!$A$2:$D$31,2,FALSE)</f>
        <v>Lucknow</v>
      </c>
      <c r="R892" s="1" t="str">
        <f ca="1">VLOOKUP(D892,Routes!$A$2:$D$31,3,FALSE)</f>
        <v>Kanpur</v>
      </c>
      <c r="S892" s="3">
        <f ca="1">VLOOKUP(D892,Routes!$A$2:$D$31,4,FALSE)</f>
        <v>90</v>
      </c>
      <c r="T892" s="3" t="str">
        <f ca="1">VLOOKUP(E892,Vehicles!$A$2:$D$21,2,FALSE)</f>
        <v>LCV</v>
      </c>
      <c r="U892" s="3">
        <f ca="1">VLOOKUP(E892,Vehicles!$A$2:$D$21,3,FALSE)</f>
        <v>4</v>
      </c>
      <c r="V892" s="3" t="str">
        <f ca="1">VLOOKUP(E892,Vehicles!$A$2:$D$21,4,FALSE)</f>
        <v>CNG</v>
      </c>
      <c r="W892" s="3">
        <f ca="1">VLOOKUP(V892,Fuel_Rates!$A$2:$B$3,2,FALSE)</f>
        <v>78</v>
      </c>
      <c r="X892" s="3">
        <f t="shared" ca="1" si="233"/>
        <v>487.97</v>
      </c>
      <c r="Y892" s="3">
        <f t="shared" ca="1" si="234"/>
        <v>59209</v>
      </c>
      <c r="Z892" s="3" t="str">
        <f t="shared" ca="1" si="235"/>
        <v>Nov</v>
      </c>
      <c r="AA892" s="3" t="str">
        <f t="shared" ca="1" si="236"/>
        <v>Q4</v>
      </c>
      <c r="AB892" s="4" t="str">
        <f t="shared" ca="1" si="237"/>
        <v>Short Haul</v>
      </c>
    </row>
    <row r="893" spans="1:28" x14ac:dyDescent="0.3">
      <c r="A893" s="8" t="str">
        <f t="shared" si="232"/>
        <v>S0892</v>
      </c>
      <c r="B893" s="3">
        <f t="shared" ca="1" si="221"/>
        <v>45664</v>
      </c>
      <c r="C893" s="3" t="str">
        <f ca="1">INDEX(Customers!$A$2:$A$21,RANDBETWEEN(1,20))</f>
        <v>C020</v>
      </c>
      <c r="D893" s="3" t="str">
        <f ca="1">INDEX(Routes!$A$2:$A$31,RANDBETWEEN(1,30))</f>
        <v>R010</v>
      </c>
      <c r="E893" s="3" t="str">
        <f ca="1">INDEX(Vehicles!$A$2:$A$21,RANDBETWEEN(1,20))</f>
        <v>V016</v>
      </c>
      <c r="F893" s="3" t="str">
        <f ca="1">INDEX(Drivers!$A$2:$A$31,RANDBETWEEN(1,30))</f>
        <v>D025</v>
      </c>
      <c r="G893" s="3">
        <f t="shared" ca="1" si="222"/>
        <v>18.3</v>
      </c>
      <c r="H893" s="3">
        <f t="shared" ca="1" si="223"/>
        <v>38203</v>
      </c>
      <c r="I893" s="3">
        <f t="shared" ca="1" si="224"/>
        <v>10697</v>
      </c>
      <c r="J893" s="3">
        <f t="shared" ca="1" si="225"/>
        <v>2245</v>
      </c>
      <c r="K893" s="3">
        <f t="shared" ca="1" si="226"/>
        <v>12</v>
      </c>
      <c r="L893" s="3">
        <f t="shared" ca="1" si="227"/>
        <v>20</v>
      </c>
      <c r="M893" s="3">
        <f t="shared" ca="1" si="228"/>
        <v>8</v>
      </c>
      <c r="N893" s="3" t="str">
        <f t="shared" ca="1" si="229"/>
        <v>Delayed</v>
      </c>
      <c r="O893" s="3" t="str">
        <f t="shared" ca="1" si="230"/>
        <v>High</v>
      </c>
      <c r="P893" s="3">
        <f t="shared" ca="1" si="231"/>
        <v>61</v>
      </c>
      <c r="Q893" s="1" t="str">
        <f ca="1">VLOOKUP(D893,Routes!$A$2:$D$31,2,FALSE)</f>
        <v>Bengaluru</v>
      </c>
      <c r="R893" s="1" t="str">
        <f ca="1">VLOOKUP(D893,Routes!$A$2:$D$31,3,FALSE)</f>
        <v>Hyderabad</v>
      </c>
      <c r="S893" s="3">
        <f ca="1">VLOOKUP(D893,Routes!$A$2:$D$31,4,FALSE)</f>
        <v>570</v>
      </c>
      <c r="T893" s="3" t="str">
        <f ca="1">VLOOKUP(E893,Vehicles!$A$2:$D$21,2,FALSE)</f>
        <v>Container</v>
      </c>
      <c r="U893" s="3">
        <f ca="1">VLOOKUP(E893,Vehicles!$A$2:$D$21,3,FALSE)</f>
        <v>22</v>
      </c>
      <c r="V893" s="3" t="str">
        <f ca="1">VLOOKUP(E893,Vehicles!$A$2:$D$21,4,FALSE)</f>
        <v>Diesel</v>
      </c>
      <c r="W893" s="3">
        <f ca="1">VLOOKUP(V893,Fuel_Rates!$A$2:$B$3,2,FALSE)</f>
        <v>95</v>
      </c>
      <c r="X893" s="3">
        <f t="shared" ca="1" si="233"/>
        <v>67.02</v>
      </c>
      <c r="Y893" s="3">
        <f t="shared" ca="1" si="234"/>
        <v>51145</v>
      </c>
      <c r="Z893" s="3" t="str">
        <f t="shared" ca="1" si="235"/>
        <v>Jan</v>
      </c>
      <c r="AA893" s="3" t="str">
        <f t="shared" ca="1" si="236"/>
        <v>Q1</v>
      </c>
      <c r="AB893" s="4" t="str">
        <f t="shared" ca="1" si="237"/>
        <v>Medium Haul</v>
      </c>
    </row>
    <row r="894" spans="1:28" x14ac:dyDescent="0.3">
      <c r="A894" s="8" t="str">
        <f t="shared" si="232"/>
        <v>S0893</v>
      </c>
      <c r="B894" s="3">
        <f t="shared" ca="1" si="221"/>
        <v>45795</v>
      </c>
      <c r="C894" s="3" t="str">
        <f ca="1">INDEX(Customers!$A$2:$A$21,RANDBETWEEN(1,20))</f>
        <v>C011</v>
      </c>
      <c r="D894" s="3" t="str">
        <f ca="1">INDEX(Routes!$A$2:$A$31,RANDBETWEEN(1,30))</f>
        <v>R016</v>
      </c>
      <c r="E894" s="3" t="str">
        <f ca="1">INDEX(Vehicles!$A$2:$A$21,RANDBETWEEN(1,20))</f>
        <v>V002</v>
      </c>
      <c r="F894" s="3" t="str">
        <f ca="1">INDEX(Drivers!$A$2:$A$31,RANDBETWEEN(1,30))</f>
        <v>D003</v>
      </c>
      <c r="G894" s="3">
        <f t="shared" ca="1" si="222"/>
        <v>29.2</v>
      </c>
      <c r="H894" s="3">
        <f t="shared" ca="1" si="223"/>
        <v>66262</v>
      </c>
      <c r="I894" s="3">
        <f t="shared" ca="1" si="224"/>
        <v>18553</v>
      </c>
      <c r="J894" s="3">
        <f t="shared" ca="1" si="225"/>
        <v>920</v>
      </c>
      <c r="K894" s="3">
        <f t="shared" ca="1" si="226"/>
        <v>47</v>
      </c>
      <c r="L894" s="3">
        <f t="shared" ca="1" si="227"/>
        <v>47</v>
      </c>
      <c r="M894" s="3">
        <f t="shared" ca="1" si="228"/>
        <v>0</v>
      </c>
      <c r="N894" s="3" t="str">
        <f t="shared" ca="1" si="229"/>
        <v>On Time</v>
      </c>
      <c r="O894" s="3" t="str">
        <f t="shared" ca="1" si="230"/>
        <v>Low</v>
      </c>
      <c r="P894" s="3">
        <f t="shared" ca="1" si="231"/>
        <v>97.3</v>
      </c>
      <c r="Q894" s="1" t="str">
        <f ca="1">VLOOKUP(D894,Routes!$A$2:$D$31,2,FALSE)</f>
        <v>Kolkata</v>
      </c>
      <c r="R894" s="1" t="str">
        <f ca="1">VLOOKUP(D894,Routes!$A$2:$D$31,3,FALSE)</f>
        <v>Bhubaneswar</v>
      </c>
      <c r="S894" s="3">
        <f ca="1">VLOOKUP(D894,Routes!$A$2:$D$31,4,FALSE)</f>
        <v>440</v>
      </c>
      <c r="T894" s="3" t="str">
        <f ca="1">VLOOKUP(E894,Vehicles!$A$2:$D$21,2,FALSE)</f>
        <v>Truck</v>
      </c>
      <c r="U894" s="3">
        <f ca="1">VLOOKUP(E894,Vehicles!$A$2:$D$21,3,FALSE)</f>
        <v>20</v>
      </c>
      <c r="V894" s="3" t="str">
        <f ca="1">VLOOKUP(E894,Vehicles!$A$2:$D$21,4,FALSE)</f>
        <v>Diesel</v>
      </c>
      <c r="W894" s="3">
        <f ca="1">VLOOKUP(V894,Fuel_Rates!$A$2:$B$3,2,FALSE)</f>
        <v>95</v>
      </c>
      <c r="X894" s="3">
        <f t="shared" ca="1" si="233"/>
        <v>150.6</v>
      </c>
      <c r="Y894" s="3">
        <f t="shared" ca="1" si="234"/>
        <v>85735</v>
      </c>
      <c r="Z894" s="3" t="str">
        <f t="shared" ca="1" si="235"/>
        <v>May</v>
      </c>
      <c r="AA894" s="3" t="str">
        <f t="shared" ca="1" si="236"/>
        <v>Q2</v>
      </c>
      <c r="AB894" s="4" t="str">
        <f t="shared" ca="1" si="237"/>
        <v>Medium Haul</v>
      </c>
    </row>
    <row r="895" spans="1:28" x14ac:dyDescent="0.3">
      <c r="A895" s="8" t="str">
        <f t="shared" si="232"/>
        <v>S0894</v>
      </c>
      <c r="B895" s="3">
        <f t="shared" ca="1" si="221"/>
        <v>45977</v>
      </c>
      <c r="C895" s="3" t="str">
        <f ca="1">INDEX(Customers!$A$2:$A$21,RANDBETWEEN(1,20))</f>
        <v>C005</v>
      </c>
      <c r="D895" s="3" t="str">
        <f ca="1">INDEX(Routes!$A$2:$A$31,RANDBETWEEN(1,30))</f>
        <v>R019</v>
      </c>
      <c r="E895" s="3" t="str">
        <f ca="1">INDEX(Vehicles!$A$2:$A$21,RANDBETWEEN(1,20))</f>
        <v>V004</v>
      </c>
      <c r="F895" s="3" t="str">
        <f ca="1">INDEX(Drivers!$A$2:$A$31,RANDBETWEEN(1,30))</f>
        <v>D010</v>
      </c>
      <c r="G895" s="3">
        <f t="shared" ca="1" si="222"/>
        <v>3</v>
      </c>
      <c r="H895" s="3">
        <f t="shared" ca="1" si="223"/>
        <v>11364</v>
      </c>
      <c r="I895" s="3">
        <f t="shared" ca="1" si="224"/>
        <v>3182</v>
      </c>
      <c r="J895" s="3">
        <f t="shared" ca="1" si="225"/>
        <v>1658</v>
      </c>
      <c r="K895" s="3">
        <f t="shared" ca="1" si="226"/>
        <v>21</v>
      </c>
      <c r="L895" s="3">
        <f t="shared" ca="1" si="227"/>
        <v>27</v>
      </c>
      <c r="M895" s="3">
        <f t="shared" ca="1" si="228"/>
        <v>6</v>
      </c>
      <c r="N895" s="3" t="str">
        <f t="shared" ca="1" si="229"/>
        <v>Delayed</v>
      </c>
      <c r="O895" s="3" t="str">
        <f t="shared" ca="1" si="230"/>
        <v>High</v>
      </c>
      <c r="P895" s="3">
        <f t="shared" ca="1" si="231"/>
        <v>10</v>
      </c>
      <c r="Q895" s="1" t="str">
        <f ca="1">VLOOKUP(D895,Routes!$A$2:$D$31,2,FALSE)</f>
        <v>Ahmedabad</v>
      </c>
      <c r="R895" s="1" t="str">
        <f ca="1">VLOOKUP(D895,Routes!$A$2:$D$31,3,FALSE)</f>
        <v>Indore</v>
      </c>
      <c r="S895" s="3">
        <f ca="1">VLOOKUP(D895,Routes!$A$2:$D$31,4,FALSE)</f>
        <v>390</v>
      </c>
      <c r="T895" s="3" t="str">
        <f ca="1">VLOOKUP(E895,Vehicles!$A$2:$D$21,2,FALSE)</f>
        <v>Trailer</v>
      </c>
      <c r="U895" s="3">
        <f ca="1">VLOOKUP(E895,Vehicles!$A$2:$D$21,3,FALSE)</f>
        <v>28</v>
      </c>
      <c r="V895" s="3" t="str">
        <f ca="1">VLOOKUP(E895,Vehicles!$A$2:$D$21,4,FALSE)</f>
        <v>Diesel</v>
      </c>
      <c r="W895" s="3">
        <f ca="1">VLOOKUP(V895,Fuel_Rates!$A$2:$B$3,2,FALSE)</f>
        <v>95</v>
      </c>
      <c r="X895" s="3">
        <f t="shared" ca="1" si="233"/>
        <v>29.14</v>
      </c>
      <c r="Y895" s="3">
        <f t="shared" ca="1" si="234"/>
        <v>16204</v>
      </c>
      <c r="Z895" s="3" t="str">
        <f t="shared" ca="1" si="235"/>
        <v>Nov</v>
      </c>
      <c r="AA895" s="3" t="str">
        <f t="shared" ca="1" si="236"/>
        <v>Q4</v>
      </c>
      <c r="AB895" s="4" t="str">
        <f t="shared" ca="1" si="237"/>
        <v>Medium Haul</v>
      </c>
    </row>
    <row r="896" spans="1:28" x14ac:dyDescent="0.3">
      <c r="A896" s="8" t="str">
        <f t="shared" si="232"/>
        <v>S0895</v>
      </c>
      <c r="B896" s="3">
        <f t="shared" ca="1" si="221"/>
        <v>45905</v>
      </c>
      <c r="C896" s="3" t="str">
        <f ca="1">INDEX(Customers!$A$2:$A$21,RANDBETWEEN(1,20))</f>
        <v>C005</v>
      </c>
      <c r="D896" s="3" t="str">
        <f ca="1">INDEX(Routes!$A$2:$A$31,RANDBETWEEN(1,30))</f>
        <v>R013</v>
      </c>
      <c r="E896" s="3" t="str">
        <f ca="1">INDEX(Vehicles!$A$2:$A$21,RANDBETWEEN(1,20))</f>
        <v>V010</v>
      </c>
      <c r="F896" s="3" t="str">
        <f ca="1">INDEX(Drivers!$A$2:$A$31,RANDBETWEEN(1,30))</f>
        <v>D020</v>
      </c>
      <c r="G896" s="3">
        <f t="shared" ca="1" si="222"/>
        <v>28.6</v>
      </c>
      <c r="H896" s="3">
        <f t="shared" ca="1" si="223"/>
        <v>61738</v>
      </c>
      <c r="I896" s="3">
        <f t="shared" ca="1" si="224"/>
        <v>17287</v>
      </c>
      <c r="J896" s="3">
        <f t="shared" ca="1" si="225"/>
        <v>2206</v>
      </c>
      <c r="K896" s="3">
        <f t="shared" ca="1" si="226"/>
        <v>41</v>
      </c>
      <c r="L896" s="3">
        <f t="shared" ca="1" si="227"/>
        <v>48</v>
      </c>
      <c r="M896" s="3">
        <f t="shared" ca="1" si="228"/>
        <v>7</v>
      </c>
      <c r="N896" s="3" t="str">
        <f t="shared" ca="1" si="229"/>
        <v>Delayed</v>
      </c>
      <c r="O896" s="3" t="str">
        <f t="shared" ca="1" si="230"/>
        <v>High</v>
      </c>
      <c r="P896" s="3">
        <f t="shared" ca="1" si="231"/>
        <v>95.3</v>
      </c>
      <c r="Q896" s="1" t="str">
        <f ca="1">VLOOKUP(D896,Routes!$A$2:$D$31,2,FALSE)</f>
        <v>Chennai</v>
      </c>
      <c r="R896" s="1" t="str">
        <f ca="1">VLOOKUP(D896,Routes!$A$2:$D$31,3,FALSE)</f>
        <v>Hyderabad</v>
      </c>
      <c r="S896" s="3">
        <f ca="1">VLOOKUP(D896,Routes!$A$2:$D$31,4,FALSE)</f>
        <v>630</v>
      </c>
      <c r="T896" s="3" t="str">
        <f ca="1">VLOOKUP(E896,Vehicles!$A$2:$D$21,2,FALSE)</f>
        <v>LCV</v>
      </c>
      <c r="U896" s="3">
        <f ca="1">VLOOKUP(E896,Vehicles!$A$2:$D$21,3,FALSE)</f>
        <v>7</v>
      </c>
      <c r="V896" s="3" t="str">
        <f ca="1">VLOOKUP(E896,Vehicles!$A$2:$D$21,4,FALSE)</f>
        <v>Diesel</v>
      </c>
      <c r="W896" s="3">
        <f ca="1">VLOOKUP(V896,Fuel_Rates!$A$2:$B$3,2,FALSE)</f>
        <v>95</v>
      </c>
      <c r="X896" s="3">
        <f t="shared" ca="1" si="233"/>
        <v>98</v>
      </c>
      <c r="Y896" s="3">
        <f t="shared" ca="1" si="234"/>
        <v>81231</v>
      </c>
      <c r="Z896" s="3" t="str">
        <f t="shared" ca="1" si="235"/>
        <v>Sep</v>
      </c>
      <c r="AA896" s="3" t="str">
        <f t="shared" ca="1" si="236"/>
        <v>Q3</v>
      </c>
      <c r="AB896" s="4" t="str">
        <f t="shared" ca="1" si="237"/>
        <v>Medium Haul</v>
      </c>
    </row>
    <row r="897" spans="1:28" x14ac:dyDescent="0.3">
      <c r="A897" s="8" t="str">
        <f t="shared" si="232"/>
        <v>S0896</v>
      </c>
      <c r="B897" s="3">
        <f t="shared" ca="1" si="221"/>
        <v>45874</v>
      </c>
      <c r="C897" s="3" t="str">
        <f ca="1">INDEX(Customers!$A$2:$A$21,RANDBETWEEN(1,20))</f>
        <v>C019</v>
      </c>
      <c r="D897" s="3" t="str">
        <f ca="1">INDEX(Routes!$A$2:$A$31,RANDBETWEEN(1,30))</f>
        <v>R009</v>
      </c>
      <c r="E897" s="3" t="str">
        <f ca="1">INDEX(Vehicles!$A$2:$A$21,RANDBETWEEN(1,20))</f>
        <v>V008</v>
      </c>
      <c r="F897" s="3" t="str">
        <f ca="1">INDEX(Drivers!$A$2:$A$31,RANDBETWEEN(1,30))</f>
        <v>D005</v>
      </c>
      <c r="G897" s="3">
        <f t="shared" ca="1" si="222"/>
        <v>6.5</v>
      </c>
      <c r="H897" s="3">
        <f t="shared" ca="1" si="223"/>
        <v>23216</v>
      </c>
      <c r="I897" s="3">
        <f t="shared" ca="1" si="224"/>
        <v>6500</v>
      </c>
      <c r="J897" s="3">
        <f t="shared" ca="1" si="225"/>
        <v>3571</v>
      </c>
      <c r="K897" s="3">
        <f t="shared" ca="1" si="226"/>
        <v>40</v>
      </c>
      <c r="L897" s="3">
        <f t="shared" ca="1" si="227"/>
        <v>42</v>
      </c>
      <c r="M897" s="3">
        <f t="shared" ca="1" si="228"/>
        <v>2</v>
      </c>
      <c r="N897" s="3" t="str">
        <f t="shared" ca="1" si="229"/>
        <v>On Time</v>
      </c>
      <c r="O897" s="3" t="str">
        <f t="shared" ca="1" si="230"/>
        <v>Low</v>
      </c>
      <c r="P897" s="3">
        <f t="shared" ca="1" si="231"/>
        <v>21.7</v>
      </c>
      <c r="Q897" s="1" t="str">
        <f ca="1">VLOOKUP(D897,Routes!$A$2:$D$31,2,FALSE)</f>
        <v>Bengaluru</v>
      </c>
      <c r="R897" s="1" t="str">
        <f ca="1">VLOOKUP(D897,Routes!$A$2:$D$31,3,FALSE)</f>
        <v>Chennai</v>
      </c>
      <c r="S897" s="3">
        <f ca="1">VLOOKUP(D897,Routes!$A$2:$D$31,4,FALSE)</f>
        <v>350</v>
      </c>
      <c r="T897" s="3" t="str">
        <f ca="1">VLOOKUP(E897,Vehicles!$A$2:$D$21,2,FALSE)</f>
        <v>Container</v>
      </c>
      <c r="U897" s="3">
        <f ca="1">VLOOKUP(E897,Vehicles!$A$2:$D$21,3,FALSE)</f>
        <v>25</v>
      </c>
      <c r="V897" s="3" t="str">
        <f ca="1">VLOOKUP(E897,Vehicles!$A$2:$D$21,4,FALSE)</f>
        <v>Diesel</v>
      </c>
      <c r="W897" s="3">
        <f ca="1">VLOOKUP(V897,Fuel_Rates!$A$2:$B$3,2,FALSE)</f>
        <v>95</v>
      </c>
      <c r="X897" s="3">
        <f t="shared" ca="1" si="233"/>
        <v>66.33</v>
      </c>
      <c r="Y897" s="3">
        <f t="shared" ca="1" si="234"/>
        <v>33287</v>
      </c>
      <c r="Z897" s="3" t="str">
        <f t="shared" ca="1" si="235"/>
        <v>Aug</v>
      </c>
      <c r="AA897" s="3" t="str">
        <f t="shared" ca="1" si="236"/>
        <v>Q3</v>
      </c>
      <c r="AB897" s="4" t="str">
        <f t="shared" ca="1" si="237"/>
        <v>Medium Haul</v>
      </c>
    </row>
    <row r="898" spans="1:28" x14ac:dyDescent="0.3">
      <c r="A898" s="8" t="str">
        <f t="shared" si="232"/>
        <v>S0897</v>
      </c>
      <c r="B898" s="3">
        <f t="shared" ref="B898:B961" ca="1" si="238">DATE(2025,RANDBETWEEN(1,12),RANDBETWEEN(1,28))</f>
        <v>45775</v>
      </c>
      <c r="C898" s="3" t="str">
        <f ca="1">INDEX(Customers!$A$2:$A$21,RANDBETWEEN(1,20))</f>
        <v>C001</v>
      </c>
      <c r="D898" s="3" t="str">
        <f ca="1">INDEX(Routes!$A$2:$A$31,RANDBETWEEN(1,30))</f>
        <v>R012</v>
      </c>
      <c r="E898" s="3" t="str">
        <f ca="1">INDEX(Vehicles!$A$2:$A$21,RANDBETWEEN(1,20))</f>
        <v>V020</v>
      </c>
      <c r="F898" s="3" t="str">
        <f ca="1">INDEX(Drivers!$A$2:$A$31,RANDBETWEEN(1,30))</f>
        <v>D004</v>
      </c>
      <c r="G898" s="3">
        <f t="shared" ref="G898:G961" ca="1" si="239">ROUND(RANDBETWEEN(20,300)/10,1)</f>
        <v>8.4</v>
      </c>
      <c r="H898" s="3">
        <f t="shared" ref="H898:H961" ca="1" si="240">ROUND((G898*1800)+RANDBETWEEN(3000,15000),0)</f>
        <v>22299</v>
      </c>
      <c r="I898" s="3">
        <f t="shared" ref="I898:I961" ca="1" si="241">ROUND(H898*0.28,0)</f>
        <v>6244</v>
      </c>
      <c r="J898" s="3">
        <f t="shared" ref="J898:J961" ca="1" si="242">RANDBETWEEN(500,4000)</f>
        <v>1350</v>
      </c>
      <c r="K898" s="3">
        <f t="shared" ref="K898:K961" ca="1" si="243">RANDBETWEEN(4,48)</f>
        <v>36</v>
      </c>
      <c r="L898" s="3">
        <f t="shared" ref="L898:L961" ca="1" si="244">K898+RANDBETWEEN(0,8)</f>
        <v>36</v>
      </c>
      <c r="M898" s="3">
        <f t="shared" ref="M898:M961" ca="1" si="245">L898-K898</f>
        <v>0</v>
      </c>
      <c r="N898" s="3" t="str">
        <f t="shared" ref="N898:N961" ca="1" si="246">IF(M898&lt;=2,"On Time","Delayed")</f>
        <v>On Time</v>
      </c>
      <c r="O898" s="3" t="str">
        <f t="shared" ref="O898:O961" ca="1" si="247">CHOOSE(RANDBETWEEN(1,3),"High","Medium","Low")</f>
        <v>Low</v>
      </c>
      <c r="P898" s="3">
        <f t="shared" ref="P898:P961" ca="1" si="248">ROUND((G898/30)*100,1)</f>
        <v>28</v>
      </c>
      <c r="Q898" s="1" t="str">
        <f ca="1">VLOOKUP(D898,Routes!$A$2:$D$31,2,FALSE)</f>
        <v>Chennai</v>
      </c>
      <c r="R898" s="1" t="str">
        <f ca="1">VLOOKUP(D898,Routes!$A$2:$D$31,3,FALSE)</f>
        <v>Coimbatore</v>
      </c>
      <c r="S898" s="3">
        <f ca="1">VLOOKUP(D898,Routes!$A$2:$D$31,4,FALSE)</f>
        <v>500</v>
      </c>
      <c r="T898" s="3" t="str">
        <f ca="1">VLOOKUP(E898,Vehicles!$A$2:$D$21,2,FALSE)</f>
        <v>Container</v>
      </c>
      <c r="U898" s="3">
        <f ca="1">VLOOKUP(E898,Vehicles!$A$2:$D$21,3,FALSE)</f>
        <v>28</v>
      </c>
      <c r="V898" s="3" t="str">
        <f ca="1">VLOOKUP(E898,Vehicles!$A$2:$D$21,4,FALSE)</f>
        <v>Diesel</v>
      </c>
      <c r="W898" s="3">
        <f ca="1">VLOOKUP(V898,Fuel_Rates!$A$2:$B$3,2,FALSE)</f>
        <v>95</v>
      </c>
      <c r="X898" s="3">
        <f t="shared" ca="1" si="233"/>
        <v>44.6</v>
      </c>
      <c r="Y898" s="3">
        <f t="shared" ca="1" si="234"/>
        <v>29893</v>
      </c>
      <c r="Z898" s="3" t="str">
        <f t="shared" ca="1" si="235"/>
        <v>Apr</v>
      </c>
      <c r="AA898" s="3" t="str">
        <f t="shared" ca="1" si="236"/>
        <v>Q2</v>
      </c>
      <c r="AB898" s="4" t="str">
        <f t="shared" ca="1" si="237"/>
        <v>Medium Haul</v>
      </c>
    </row>
    <row r="899" spans="1:28" x14ac:dyDescent="0.3">
      <c r="A899" s="8" t="str">
        <f t="shared" ref="A899:A962" si="249">"S"&amp;TEXT(ROW()-1,"0000")</f>
        <v>S0898</v>
      </c>
      <c r="B899" s="3">
        <f t="shared" ca="1" si="238"/>
        <v>45980</v>
      </c>
      <c r="C899" s="3" t="str">
        <f ca="1">INDEX(Customers!$A$2:$A$21,RANDBETWEEN(1,20))</f>
        <v>C005</v>
      </c>
      <c r="D899" s="3" t="str">
        <f ca="1">INDEX(Routes!$A$2:$A$31,RANDBETWEEN(1,30))</f>
        <v>R022</v>
      </c>
      <c r="E899" s="3" t="str">
        <f ca="1">INDEX(Vehicles!$A$2:$A$21,RANDBETWEEN(1,20))</f>
        <v>V001</v>
      </c>
      <c r="F899" s="3" t="str">
        <f ca="1">INDEX(Drivers!$A$2:$A$31,RANDBETWEEN(1,30))</f>
        <v>D010</v>
      </c>
      <c r="G899" s="3">
        <f t="shared" ca="1" si="239"/>
        <v>8</v>
      </c>
      <c r="H899" s="3">
        <f t="shared" ca="1" si="240"/>
        <v>18120</v>
      </c>
      <c r="I899" s="3">
        <f t="shared" ca="1" si="241"/>
        <v>5074</v>
      </c>
      <c r="J899" s="3">
        <f t="shared" ca="1" si="242"/>
        <v>3762</v>
      </c>
      <c r="K899" s="3">
        <f t="shared" ca="1" si="243"/>
        <v>32</v>
      </c>
      <c r="L899" s="3">
        <f t="shared" ca="1" si="244"/>
        <v>35</v>
      </c>
      <c r="M899" s="3">
        <f t="shared" ca="1" si="245"/>
        <v>3</v>
      </c>
      <c r="N899" s="3" t="str">
        <f t="shared" ca="1" si="246"/>
        <v>Delayed</v>
      </c>
      <c r="O899" s="3" t="str">
        <f t="shared" ca="1" si="247"/>
        <v>Low</v>
      </c>
      <c r="P899" s="3">
        <f t="shared" ca="1" si="248"/>
        <v>26.7</v>
      </c>
      <c r="Q899" s="1" t="str">
        <f ca="1">VLOOKUP(D899,Routes!$A$2:$D$31,2,FALSE)</f>
        <v>Jaipur</v>
      </c>
      <c r="R899" s="1" t="str">
        <f ca="1">VLOOKUP(D899,Routes!$A$2:$D$31,3,FALSE)</f>
        <v>Indore</v>
      </c>
      <c r="S899" s="3">
        <f ca="1">VLOOKUP(D899,Routes!$A$2:$D$31,4,FALSE)</f>
        <v>600</v>
      </c>
      <c r="T899" s="3" t="str">
        <f ca="1">VLOOKUP(E899,Vehicles!$A$2:$D$21,2,FALSE)</f>
        <v>Truck</v>
      </c>
      <c r="U899" s="3">
        <f ca="1">VLOOKUP(E899,Vehicles!$A$2:$D$21,3,FALSE)</f>
        <v>16</v>
      </c>
      <c r="V899" s="3" t="str">
        <f ca="1">VLOOKUP(E899,Vehicles!$A$2:$D$21,4,FALSE)</f>
        <v>Diesel</v>
      </c>
      <c r="W899" s="3">
        <f ca="1">VLOOKUP(V899,Fuel_Rates!$A$2:$B$3,2,FALSE)</f>
        <v>95</v>
      </c>
      <c r="X899" s="3">
        <f t="shared" ref="X899:X962" ca="1" si="250">ROUND(H899/S899,2)</f>
        <v>30.2</v>
      </c>
      <c r="Y899" s="3">
        <f t="shared" ref="Y899:Y962" ca="1" si="251">H899+I899+J899</f>
        <v>26956</v>
      </c>
      <c r="Z899" s="3" t="str">
        <f t="shared" ref="Z899:Z962" ca="1" si="252">TEXT(B899,"mmm")</f>
        <v>Nov</v>
      </c>
      <c r="AA899" s="3" t="str">
        <f t="shared" ref="AA899:AA962" ca="1" si="253">"Q"&amp;ROUNDUP(MONTH(B899)/3,0)</f>
        <v>Q4</v>
      </c>
      <c r="AB899" s="4" t="str">
        <f t="shared" ref="AB899:AB962" ca="1" si="254">IF(S899&lt;300,"Short Haul",IF(S899&lt;800,"Medium Haul","Long Haul"))</f>
        <v>Medium Haul</v>
      </c>
    </row>
    <row r="900" spans="1:28" x14ac:dyDescent="0.3">
      <c r="A900" s="8" t="str">
        <f t="shared" si="249"/>
        <v>S0899</v>
      </c>
      <c r="B900" s="3">
        <f t="shared" ca="1" si="238"/>
        <v>45977</v>
      </c>
      <c r="C900" s="3" t="str">
        <f ca="1">INDEX(Customers!$A$2:$A$21,RANDBETWEEN(1,20))</f>
        <v>C018</v>
      </c>
      <c r="D900" s="3" t="str">
        <f ca="1">INDEX(Routes!$A$2:$A$31,RANDBETWEEN(1,30))</f>
        <v>R008</v>
      </c>
      <c r="E900" s="3" t="str">
        <f ca="1">INDEX(Vehicles!$A$2:$A$21,RANDBETWEEN(1,20))</f>
        <v>V019</v>
      </c>
      <c r="F900" s="3" t="str">
        <f ca="1">INDEX(Drivers!$A$2:$A$31,RANDBETWEEN(1,30))</f>
        <v>D019</v>
      </c>
      <c r="G900" s="3">
        <f t="shared" ca="1" si="239"/>
        <v>18</v>
      </c>
      <c r="H900" s="3">
        <f t="shared" ca="1" si="240"/>
        <v>44787</v>
      </c>
      <c r="I900" s="3">
        <f t="shared" ca="1" si="241"/>
        <v>12540</v>
      </c>
      <c r="J900" s="3">
        <f t="shared" ca="1" si="242"/>
        <v>1555</v>
      </c>
      <c r="K900" s="3">
        <f t="shared" ca="1" si="243"/>
        <v>43</v>
      </c>
      <c r="L900" s="3">
        <f t="shared" ca="1" si="244"/>
        <v>43</v>
      </c>
      <c r="M900" s="3">
        <f t="shared" ca="1" si="245"/>
        <v>0</v>
      </c>
      <c r="N900" s="3" t="str">
        <f t="shared" ca="1" si="246"/>
        <v>On Time</v>
      </c>
      <c r="O900" s="3" t="str">
        <f t="shared" ca="1" si="247"/>
        <v>Medium</v>
      </c>
      <c r="P900" s="3">
        <f t="shared" ca="1" si="248"/>
        <v>60</v>
      </c>
      <c r="Q900" s="1" t="str">
        <f ca="1">VLOOKUP(D900,Routes!$A$2:$D$31,2,FALSE)</f>
        <v>Delhi</v>
      </c>
      <c r="R900" s="1" t="str">
        <f ca="1">VLOOKUP(D900,Routes!$A$2:$D$31,3,FALSE)</f>
        <v>Kolkata</v>
      </c>
      <c r="S900" s="3">
        <f ca="1">VLOOKUP(D900,Routes!$A$2:$D$31,4,FALSE)</f>
        <v>1500</v>
      </c>
      <c r="T900" s="3" t="str">
        <f ca="1">VLOOKUP(E900,Vehicles!$A$2:$D$21,2,FALSE)</f>
        <v>Trailer</v>
      </c>
      <c r="U900" s="3">
        <f ca="1">VLOOKUP(E900,Vehicles!$A$2:$D$21,3,FALSE)</f>
        <v>35</v>
      </c>
      <c r="V900" s="3" t="str">
        <f ca="1">VLOOKUP(E900,Vehicles!$A$2:$D$21,4,FALSE)</f>
        <v>Diesel</v>
      </c>
      <c r="W900" s="3">
        <f ca="1">VLOOKUP(V900,Fuel_Rates!$A$2:$B$3,2,FALSE)</f>
        <v>95</v>
      </c>
      <c r="X900" s="3">
        <f t="shared" ca="1" si="250"/>
        <v>29.86</v>
      </c>
      <c r="Y900" s="3">
        <f t="shared" ca="1" si="251"/>
        <v>58882</v>
      </c>
      <c r="Z900" s="3" t="str">
        <f t="shared" ca="1" si="252"/>
        <v>Nov</v>
      </c>
      <c r="AA900" s="3" t="str">
        <f t="shared" ca="1" si="253"/>
        <v>Q4</v>
      </c>
      <c r="AB900" s="4" t="str">
        <f t="shared" ca="1" si="254"/>
        <v>Long Haul</v>
      </c>
    </row>
    <row r="901" spans="1:28" x14ac:dyDescent="0.3">
      <c r="A901" s="8" t="str">
        <f t="shared" si="249"/>
        <v>S0900</v>
      </c>
      <c r="B901" s="3">
        <f t="shared" ca="1" si="238"/>
        <v>45679</v>
      </c>
      <c r="C901" s="3" t="str">
        <f ca="1">INDEX(Customers!$A$2:$A$21,RANDBETWEEN(1,20))</f>
        <v>C018</v>
      </c>
      <c r="D901" s="3" t="str">
        <f ca="1">INDEX(Routes!$A$2:$A$31,RANDBETWEEN(1,30))</f>
        <v>R025</v>
      </c>
      <c r="E901" s="3" t="str">
        <f ca="1">INDEX(Vehicles!$A$2:$A$21,RANDBETWEEN(1,20))</f>
        <v>V004</v>
      </c>
      <c r="F901" s="3" t="str">
        <f ca="1">INDEX(Drivers!$A$2:$A$31,RANDBETWEEN(1,30))</f>
        <v>D011</v>
      </c>
      <c r="G901" s="3">
        <f t="shared" ca="1" si="239"/>
        <v>22.1</v>
      </c>
      <c r="H901" s="3">
        <f t="shared" ca="1" si="240"/>
        <v>47562</v>
      </c>
      <c r="I901" s="3">
        <f t="shared" ca="1" si="241"/>
        <v>13317</v>
      </c>
      <c r="J901" s="3">
        <f t="shared" ca="1" si="242"/>
        <v>594</v>
      </c>
      <c r="K901" s="3">
        <f t="shared" ca="1" si="243"/>
        <v>45</v>
      </c>
      <c r="L901" s="3">
        <f t="shared" ca="1" si="244"/>
        <v>48</v>
      </c>
      <c r="M901" s="3">
        <f t="shared" ca="1" si="245"/>
        <v>3</v>
      </c>
      <c r="N901" s="3" t="str">
        <f t="shared" ca="1" si="246"/>
        <v>Delayed</v>
      </c>
      <c r="O901" s="3" t="str">
        <f t="shared" ca="1" si="247"/>
        <v>High</v>
      </c>
      <c r="P901" s="3">
        <f t="shared" ca="1" si="248"/>
        <v>73.7</v>
      </c>
      <c r="Q901" s="1" t="str">
        <f ca="1">VLOOKUP(D901,Routes!$A$2:$D$31,2,FALSE)</f>
        <v>Visakhapatnam</v>
      </c>
      <c r="R901" s="1" t="str">
        <f ca="1">VLOOKUP(D901,Routes!$A$2:$D$31,3,FALSE)</f>
        <v>Hyderabad</v>
      </c>
      <c r="S901" s="3">
        <f ca="1">VLOOKUP(D901,Routes!$A$2:$D$31,4,FALSE)</f>
        <v>620</v>
      </c>
      <c r="T901" s="3" t="str">
        <f ca="1">VLOOKUP(E901,Vehicles!$A$2:$D$21,2,FALSE)</f>
        <v>Trailer</v>
      </c>
      <c r="U901" s="3">
        <f ca="1">VLOOKUP(E901,Vehicles!$A$2:$D$21,3,FALSE)</f>
        <v>28</v>
      </c>
      <c r="V901" s="3" t="str">
        <f ca="1">VLOOKUP(E901,Vehicles!$A$2:$D$21,4,FALSE)</f>
        <v>Diesel</v>
      </c>
      <c r="W901" s="3">
        <f ca="1">VLOOKUP(V901,Fuel_Rates!$A$2:$B$3,2,FALSE)</f>
        <v>95</v>
      </c>
      <c r="X901" s="3">
        <f t="shared" ca="1" si="250"/>
        <v>76.709999999999994</v>
      </c>
      <c r="Y901" s="3">
        <f t="shared" ca="1" si="251"/>
        <v>61473</v>
      </c>
      <c r="Z901" s="3" t="str">
        <f t="shared" ca="1" si="252"/>
        <v>Jan</v>
      </c>
      <c r="AA901" s="3" t="str">
        <f t="shared" ca="1" si="253"/>
        <v>Q1</v>
      </c>
      <c r="AB901" s="4" t="str">
        <f t="shared" ca="1" si="254"/>
        <v>Medium Haul</v>
      </c>
    </row>
    <row r="902" spans="1:28" x14ac:dyDescent="0.3">
      <c r="A902" s="8" t="str">
        <f t="shared" si="249"/>
        <v>S0901</v>
      </c>
      <c r="B902" s="3">
        <f t="shared" ca="1" si="238"/>
        <v>45928</v>
      </c>
      <c r="C902" s="3" t="str">
        <f ca="1">INDEX(Customers!$A$2:$A$21,RANDBETWEEN(1,20))</f>
        <v>C009</v>
      </c>
      <c r="D902" s="3" t="str">
        <f ca="1">INDEX(Routes!$A$2:$A$31,RANDBETWEEN(1,30))</f>
        <v>R028</v>
      </c>
      <c r="E902" s="3" t="str">
        <f ca="1">INDEX(Vehicles!$A$2:$A$21,RANDBETWEEN(1,20))</f>
        <v>V015</v>
      </c>
      <c r="F902" s="3" t="str">
        <f ca="1">INDEX(Drivers!$A$2:$A$31,RANDBETWEEN(1,30))</f>
        <v>D013</v>
      </c>
      <c r="G902" s="3">
        <f t="shared" ca="1" si="239"/>
        <v>20.2</v>
      </c>
      <c r="H902" s="3">
        <f t="shared" ca="1" si="240"/>
        <v>47508</v>
      </c>
      <c r="I902" s="3">
        <f t="shared" ca="1" si="241"/>
        <v>13302</v>
      </c>
      <c r="J902" s="3">
        <f t="shared" ca="1" si="242"/>
        <v>2152</v>
      </c>
      <c r="K902" s="3">
        <f t="shared" ca="1" si="243"/>
        <v>10</v>
      </c>
      <c r="L902" s="3">
        <f t="shared" ca="1" si="244"/>
        <v>14</v>
      </c>
      <c r="M902" s="3">
        <f t="shared" ca="1" si="245"/>
        <v>4</v>
      </c>
      <c r="N902" s="3" t="str">
        <f t="shared" ca="1" si="246"/>
        <v>Delayed</v>
      </c>
      <c r="O902" s="3" t="str">
        <f t="shared" ca="1" si="247"/>
        <v>Low</v>
      </c>
      <c r="P902" s="3">
        <f t="shared" ca="1" si="248"/>
        <v>67.3</v>
      </c>
      <c r="Q902" s="1" t="str">
        <f ca="1">VLOOKUP(D902,Routes!$A$2:$D$31,2,FALSE)</f>
        <v>Indore</v>
      </c>
      <c r="R902" s="1" t="str">
        <f ca="1">VLOOKUP(D902,Routes!$A$2:$D$31,3,FALSE)</f>
        <v>Mumbai</v>
      </c>
      <c r="S902" s="3">
        <f ca="1">VLOOKUP(D902,Routes!$A$2:$D$31,4,FALSE)</f>
        <v>590</v>
      </c>
      <c r="T902" s="3" t="str">
        <f ca="1">VLOOKUP(E902,Vehicles!$A$2:$D$21,2,FALSE)</f>
        <v>Trailer</v>
      </c>
      <c r="U902" s="3">
        <f ca="1">VLOOKUP(E902,Vehicles!$A$2:$D$21,3,FALSE)</f>
        <v>30</v>
      </c>
      <c r="V902" s="3" t="str">
        <f ca="1">VLOOKUP(E902,Vehicles!$A$2:$D$21,4,FALSE)</f>
        <v>Diesel</v>
      </c>
      <c r="W902" s="3">
        <f ca="1">VLOOKUP(V902,Fuel_Rates!$A$2:$B$3,2,FALSE)</f>
        <v>95</v>
      </c>
      <c r="X902" s="3">
        <f t="shared" ca="1" si="250"/>
        <v>80.52</v>
      </c>
      <c r="Y902" s="3">
        <f t="shared" ca="1" si="251"/>
        <v>62962</v>
      </c>
      <c r="Z902" s="3" t="str">
        <f t="shared" ca="1" si="252"/>
        <v>Sep</v>
      </c>
      <c r="AA902" s="3" t="str">
        <f t="shared" ca="1" si="253"/>
        <v>Q3</v>
      </c>
      <c r="AB902" s="4" t="str">
        <f t="shared" ca="1" si="254"/>
        <v>Medium Haul</v>
      </c>
    </row>
    <row r="903" spans="1:28" x14ac:dyDescent="0.3">
      <c r="A903" s="8" t="str">
        <f t="shared" si="249"/>
        <v>S0902</v>
      </c>
      <c r="B903" s="3">
        <f t="shared" ca="1" si="238"/>
        <v>45839</v>
      </c>
      <c r="C903" s="3" t="str">
        <f ca="1">INDEX(Customers!$A$2:$A$21,RANDBETWEEN(1,20))</f>
        <v>C019</v>
      </c>
      <c r="D903" s="3" t="str">
        <f ca="1">INDEX(Routes!$A$2:$A$31,RANDBETWEEN(1,30))</f>
        <v>R020</v>
      </c>
      <c r="E903" s="3" t="str">
        <f ca="1">INDEX(Vehicles!$A$2:$A$21,RANDBETWEEN(1,20))</f>
        <v>V017</v>
      </c>
      <c r="F903" s="3" t="str">
        <f ca="1">INDEX(Drivers!$A$2:$A$31,RANDBETWEEN(1,30))</f>
        <v>D017</v>
      </c>
      <c r="G903" s="3">
        <f t="shared" ca="1" si="239"/>
        <v>6.4</v>
      </c>
      <c r="H903" s="3">
        <f t="shared" ca="1" si="240"/>
        <v>23202</v>
      </c>
      <c r="I903" s="3">
        <f t="shared" ca="1" si="241"/>
        <v>6497</v>
      </c>
      <c r="J903" s="3">
        <f t="shared" ca="1" si="242"/>
        <v>846</v>
      </c>
      <c r="K903" s="3">
        <f t="shared" ca="1" si="243"/>
        <v>19</v>
      </c>
      <c r="L903" s="3">
        <f t="shared" ca="1" si="244"/>
        <v>21</v>
      </c>
      <c r="M903" s="3">
        <f t="shared" ca="1" si="245"/>
        <v>2</v>
      </c>
      <c r="N903" s="3" t="str">
        <f t="shared" ca="1" si="246"/>
        <v>On Time</v>
      </c>
      <c r="O903" s="3" t="str">
        <f t="shared" ca="1" si="247"/>
        <v>Medium</v>
      </c>
      <c r="P903" s="3">
        <f t="shared" ca="1" si="248"/>
        <v>21.3</v>
      </c>
      <c r="Q903" s="1" t="str">
        <f ca="1">VLOOKUP(D903,Routes!$A$2:$D$31,2,FALSE)</f>
        <v>Pune</v>
      </c>
      <c r="R903" s="1" t="str">
        <f ca="1">VLOOKUP(D903,Routes!$A$2:$D$31,3,FALSE)</f>
        <v>Nagpur</v>
      </c>
      <c r="S903" s="3">
        <f ca="1">VLOOKUP(D903,Routes!$A$2:$D$31,4,FALSE)</f>
        <v>720</v>
      </c>
      <c r="T903" s="3" t="str">
        <f ca="1">VLOOKUP(E903,Vehicles!$A$2:$D$21,2,FALSE)</f>
        <v>Truck</v>
      </c>
      <c r="U903" s="3">
        <f ca="1">VLOOKUP(E903,Vehicles!$A$2:$D$21,3,FALSE)</f>
        <v>24</v>
      </c>
      <c r="V903" s="3" t="str">
        <f ca="1">VLOOKUP(E903,Vehicles!$A$2:$D$21,4,FALSE)</f>
        <v>Diesel</v>
      </c>
      <c r="W903" s="3">
        <f ca="1">VLOOKUP(V903,Fuel_Rates!$A$2:$B$3,2,FALSE)</f>
        <v>95</v>
      </c>
      <c r="X903" s="3">
        <f t="shared" ca="1" si="250"/>
        <v>32.229999999999997</v>
      </c>
      <c r="Y903" s="3">
        <f t="shared" ca="1" si="251"/>
        <v>30545</v>
      </c>
      <c r="Z903" s="3" t="str">
        <f t="shared" ca="1" si="252"/>
        <v>Jul</v>
      </c>
      <c r="AA903" s="3" t="str">
        <f t="shared" ca="1" si="253"/>
        <v>Q3</v>
      </c>
      <c r="AB903" s="4" t="str">
        <f t="shared" ca="1" si="254"/>
        <v>Medium Haul</v>
      </c>
    </row>
    <row r="904" spans="1:28" x14ac:dyDescent="0.3">
      <c r="A904" s="8" t="str">
        <f t="shared" si="249"/>
        <v>S0903</v>
      </c>
      <c r="B904" s="3">
        <f t="shared" ca="1" si="238"/>
        <v>45779</v>
      </c>
      <c r="C904" s="3" t="str">
        <f ca="1">INDEX(Customers!$A$2:$A$21,RANDBETWEEN(1,20))</f>
        <v>C006</v>
      </c>
      <c r="D904" s="3" t="str">
        <f ca="1">INDEX(Routes!$A$2:$A$31,RANDBETWEEN(1,30))</f>
        <v>R017</v>
      </c>
      <c r="E904" s="3" t="str">
        <f ca="1">INDEX(Vehicles!$A$2:$A$21,RANDBETWEEN(1,20))</f>
        <v>V019</v>
      </c>
      <c r="F904" s="3" t="str">
        <f ca="1">INDEX(Drivers!$A$2:$A$31,RANDBETWEEN(1,30))</f>
        <v>D022</v>
      </c>
      <c r="G904" s="3">
        <f t="shared" ca="1" si="239"/>
        <v>4.3</v>
      </c>
      <c r="H904" s="3">
        <f t="shared" ca="1" si="240"/>
        <v>15447</v>
      </c>
      <c r="I904" s="3">
        <f t="shared" ca="1" si="241"/>
        <v>4325</v>
      </c>
      <c r="J904" s="3">
        <f t="shared" ca="1" si="242"/>
        <v>2444</v>
      </c>
      <c r="K904" s="3">
        <f t="shared" ca="1" si="243"/>
        <v>10</v>
      </c>
      <c r="L904" s="3">
        <f t="shared" ca="1" si="244"/>
        <v>10</v>
      </c>
      <c r="M904" s="3">
        <f t="shared" ca="1" si="245"/>
        <v>0</v>
      </c>
      <c r="N904" s="3" t="str">
        <f t="shared" ca="1" si="246"/>
        <v>On Time</v>
      </c>
      <c r="O904" s="3" t="str">
        <f t="shared" ca="1" si="247"/>
        <v>Low</v>
      </c>
      <c r="P904" s="3">
        <f t="shared" ca="1" si="248"/>
        <v>14.3</v>
      </c>
      <c r="Q904" s="1" t="str">
        <f ca="1">VLOOKUP(D904,Routes!$A$2:$D$31,2,FALSE)</f>
        <v>Kolkata</v>
      </c>
      <c r="R904" s="1" t="str">
        <f ca="1">VLOOKUP(D904,Routes!$A$2:$D$31,3,FALSE)</f>
        <v>Patna</v>
      </c>
      <c r="S904" s="3">
        <f ca="1">VLOOKUP(D904,Routes!$A$2:$D$31,4,FALSE)</f>
        <v>620</v>
      </c>
      <c r="T904" s="3" t="str">
        <f ca="1">VLOOKUP(E904,Vehicles!$A$2:$D$21,2,FALSE)</f>
        <v>Trailer</v>
      </c>
      <c r="U904" s="3">
        <f ca="1">VLOOKUP(E904,Vehicles!$A$2:$D$21,3,FALSE)</f>
        <v>35</v>
      </c>
      <c r="V904" s="3" t="str">
        <f ca="1">VLOOKUP(E904,Vehicles!$A$2:$D$21,4,FALSE)</f>
        <v>Diesel</v>
      </c>
      <c r="W904" s="3">
        <f ca="1">VLOOKUP(V904,Fuel_Rates!$A$2:$B$3,2,FALSE)</f>
        <v>95</v>
      </c>
      <c r="X904" s="3">
        <f t="shared" ca="1" si="250"/>
        <v>24.91</v>
      </c>
      <c r="Y904" s="3">
        <f t="shared" ca="1" si="251"/>
        <v>22216</v>
      </c>
      <c r="Z904" s="3" t="str">
        <f t="shared" ca="1" si="252"/>
        <v>May</v>
      </c>
      <c r="AA904" s="3" t="str">
        <f t="shared" ca="1" si="253"/>
        <v>Q2</v>
      </c>
      <c r="AB904" s="4" t="str">
        <f t="shared" ca="1" si="254"/>
        <v>Medium Haul</v>
      </c>
    </row>
    <row r="905" spans="1:28" x14ac:dyDescent="0.3">
      <c r="A905" s="8" t="str">
        <f t="shared" si="249"/>
        <v>S0904</v>
      </c>
      <c r="B905" s="3">
        <f t="shared" ca="1" si="238"/>
        <v>45834</v>
      </c>
      <c r="C905" s="3" t="str">
        <f ca="1">INDEX(Customers!$A$2:$A$21,RANDBETWEEN(1,20))</f>
        <v>C001</v>
      </c>
      <c r="D905" s="3" t="str">
        <f ca="1">INDEX(Routes!$A$2:$A$31,RANDBETWEEN(1,30))</f>
        <v>R023</v>
      </c>
      <c r="E905" s="3" t="str">
        <f ca="1">INDEX(Vehicles!$A$2:$A$21,RANDBETWEEN(1,20))</f>
        <v>V004</v>
      </c>
      <c r="F905" s="3" t="str">
        <f ca="1">INDEX(Drivers!$A$2:$A$31,RANDBETWEEN(1,30))</f>
        <v>D004</v>
      </c>
      <c r="G905" s="3">
        <f t="shared" ca="1" si="239"/>
        <v>27.6</v>
      </c>
      <c r="H905" s="3">
        <f t="shared" ca="1" si="240"/>
        <v>59672</v>
      </c>
      <c r="I905" s="3">
        <f t="shared" ca="1" si="241"/>
        <v>16708</v>
      </c>
      <c r="J905" s="3">
        <f t="shared" ca="1" si="242"/>
        <v>984</v>
      </c>
      <c r="K905" s="3">
        <f t="shared" ca="1" si="243"/>
        <v>21</v>
      </c>
      <c r="L905" s="3">
        <f t="shared" ca="1" si="244"/>
        <v>29</v>
      </c>
      <c r="M905" s="3">
        <f t="shared" ca="1" si="245"/>
        <v>8</v>
      </c>
      <c r="N905" s="3" t="str">
        <f t="shared" ca="1" si="246"/>
        <v>Delayed</v>
      </c>
      <c r="O905" s="3" t="str">
        <f t="shared" ca="1" si="247"/>
        <v>Medium</v>
      </c>
      <c r="P905" s="3">
        <f t="shared" ca="1" si="248"/>
        <v>92</v>
      </c>
      <c r="Q905" s="1" t="str">
        <f ca="1">VLOOKUP(D905,Routes!$A$2:$D$31,2,FALSE)</f>
        <v>Kochi</v>
      </c>
      <c r="R905" s="1" t="str">
        <f ca="1">VLOOKUP(D905,Routes!$A$2:$D$31,3,FALSE)</f>
        <v>Bengaluru</v>
      </c>
      <c r="S905" s="3">
        <f ca="1">VLOOKUP(D905,Routes!$A$2:$D$31,4,FALSE)</f>
        <v>550</v>
      </c>
      <c r="T905" s="3" t="str">
        <f ca="1">VLOOKUP(E905,Vehicles!$A$2:$D$21,2,FALSE)</f>
        <v>Trailer</v>
      </c>
      <c r="U905" s="3">
        <f ca="1">VLOOKUP(E905,Vehicles!$A$2:$D$21,3,FALSE)</f>
        <v>28</v>
      </c>
      <c r="V905" s="3" t="str">
        <f ca="1">VLOOKUP(E905,Vehicles!$A$2:$D$21,4,FALSE)</f>
        <v>Diesel</v>
      </c>
      <c r="W905" s="3">
        <f ca="1">VLOOKUP(V905,Fuel_Rates!$A$2:$B$3,2,FALSE)</f>
        <v>95</v>
      </c>
      <c r="X905" s="3">
        <f t="shared" ca="1" si="250"/>
        <v>108.49</v>
      </c>
      <c r="Y905" s="3">
        <f t="shared" ca="1" si="251"/>
        <v>77364</v>
      </c>
      <c r="Z905" s="3" t="str">
        <f t="shared" ca="1" si="252"/>
        <v>Jun</v>
      </c>
      <c r="AA905" s="3" t="str">
        <f t="shared" ca="1" si="253"/>
        <v>Q2</v>
      </c>
      <c r="AB905" s="4" t="str">
        <f t="shared" ca="1" si="254"/>
        <v>Medium Haul</v>
      </c>
    </row>
    <row r="906" spans="1:28" x14ac:dyDescent="0.3">
      <c r="A906" s="8" t="str">
        <f t="shared" si="249"/>
        <v>S0905</v>
      </c>
      <c r="B906" s="3">
        <f t="shared" ca="1" si="238"/>
        <v>45972</v>
      </c>
      <c r="C906" s="3" t="str">
        <f ca="1">INDEX(Customers!$A$2:$A$21,RANDBETWEEN(1,20))</f>
        <v>C001</v>
      </c>
      <c r="D906" s="3" t="str">
        <f ca="1">INDEX(Routes!$A$2:$A$31,RANDBETWEEN(1,30))</f>
        <v>R019</v>
      </c>
      <c r="E906" s="3" t="str">
        <f ca="1">INDEX(Vehicles!$A$2:$A$21,RANDBETWEEN(1,20))</f>
        <v>V012</v>
      </c>
      <c r="F906" s="3" t="str">
        <f ca="1">INDEX(Drivers!$A$2:$A$31,RANDBETWEEN(1,30))</f>
        <v>D001</v>
      </c>
      <c r="G906" s="3">
        <f t="shared" ca="1" si="239"/>
        <v>25.2</v>
      </c>
      <c r="H906" s="3">
        <f t="shared" ca="1" si="240"/>
        <v>50537</v>
      </c>
      <c r="I906" s="3">
        <f t="shared" ca="1" si="241"/>
        <v>14150</v>
      </c>
      <c r="J906" s="3">
        <f t="shared" ca="1" si="242"/>
        <v>1084</v>
      </c>
      <c r="K906" s="3">
        <f t="shared" ca="1" si="243"/>
        <v>20</v>
      </c>
      <c r="L906" s="3">
        <f t="shared" ca="1" si="244"/>
        <v>25</v>
      </c>
      <c r="M906" s="3">
        <f t="shared" ca="1" si="245"/>
        <v>5</v>
      </c>
      <c r="N906" s="3" t="str">
        <f t="shared" ca="1" si="246"/>
        <v>Delayed</v>
      </c>
      <c r="O906" s="3" t="str">
        <f t="shared" ca="1" si="247"/>
        <v>High</v>
      </c>
      <c r="P906" s="3">
        <f t="shared" ca="1" si="248"/>
        <v>84</v>
      </c>
      <c r="Q906" s="1" t="str">
        <f ca="1">VLOOKUP(D906,Routes!$A$2:$D$31,2,FALSE)</f>
        <v>Ahmedabad</v>
      </c>
      <c r="R906" s="1" t="str">
        <f ca="1">VLOOKUP(D906,Routes!$A$2:$D$31,3,FALSE)</f>
        <v>Indore</v>
      </c>
      <c r="S906" s="3">
        <f ca="1">VLOOKUP(D906,Routes!$A$2:$D$31,4,FALSE)</f>
        <v>390</v>
      </c>
      <c r="T906" s="3" t="str">
        <f ca="1">VLOOKUP(E906,Vehicles!$A$2:$D$21,2,FALSE)</f>
        <v>Truck</v>
      </c>
      <c r="U906" s="3">
        <f ca="1">VLOOKUP(E906,Vehicles!$A$2:$D$21,3,FALSE)</f>
        <v>20</v>
      </c>
      <c r="V906" s="3" t="str">
        <f ca="1">VLOOKUP(E906,Vehicles!$A$2:$D$21,4,FALSE)</f>
        <v>CNG</v>
      </c>
      <c r="W906" s="3">
        <f ca="1">VLOOKUP(V906,Fuel_Rates!$A$2:$B$3,2,FALSE)</f>
        <v>78</v>
      </c>
      <c r="X906" s="3">
        <f t="shared" ca="1" si="250"/>
        <v>129.58000000000001</v>
      </c>
      <c r="Y906" s="3">
        <f t="shared" ca="1" si="251"/>
        <v>65771</v>
      </c>
      <c r="Z906" s="3" t="str">
        <f t="shared" ca="1" si="252"/>
        <v>Nov</v>
      </c>
      <c r="AA906" s="3" t="str">
        <f t="shared" ca="1" si="253"/>
        <v>Q4</v>
      </c>
      <c r="AB906" s="4" t="str">
        <f t="shared" ca="1" si="254"/>
        <v>Medium Haul</v>
      </c>
    </row>
    <row r="907" spans="1:28" x14ac:dyDescent="0.3">
      <c r="A907" s="8" t="str">
        <f t="shared" si="249"/>
        <v>S0906</v>
      </c>
      <c r="B907" s="3">
        <f t="shared" ca="1" si="238"/>
        <v>45779</v>
      </c>
      <c r="C907" s="3" t="str">
        <f ca="1">INDEX(Customers!$A$2:$A$21,RANDBETWEEN(1,20))</f>
        <v>C012</v>
      </c>
      <c r="D907" s="3" t="str">
        <f ca="1">INDEX(Routes!$A$2:$A$31,RANDBETWEEN(1,30))</f>
        <v>R008</v>
      </c>
      <c r="E907" s="3" t="str">
        <f ca="1">INDEX(Vehicles!$A$2:$A$21,RANDBETWEEN(1,20))</f>
        <v>V005</v>
      </c>
      <c r="F907" s="3" t="str">
        <f ca="1">INDEX(Drivers!$A$2:$A$31,RANDBETWEEN(1,30))</f>
        <v>D005</v>
      </c>
      <c r="G907" s="3">
        <f t="shared" ca="1" si="239"/>
        <v>5.7</v>
      </c>
      <c r="H907" s="3">
        <f t="shared" ca="1" si="240"/>
        <v>25160</v>
      </c>
      <c r="I907" s="3">
        <f t="shared" ca="1" si="241"/>
        <v>7045</v>
      </c>
      <c r="J907" s="3">
        <f t="shared" ca="1" si="242"/>
        <v>572</v>
      </c>
      <c r="K907" s="3">
        <f t="shared" ca="1" si="243"/>
        <v>43</v>
      </c>
      <c r="L907" s="3">
        <f t="shared" ca="1" si="244"/>
        <v>48</v>
      </c>
      <c r="M907" s="3">
        <f t="shared" ca="1" si="245"/>
        <v>5</v>
      </c>
      <c r="N907" s="3" t="str">
        <f t="shared" ca="1" si="246"/>
        <v>Delayed</v>
      </c>
      <c r="O907" s="3" t="str">
        <f t="shared" ca="1" si="247"/>
        <v>Medium</v>
      </c>
      <c r="P907" s="3">
        <f t="shared" ca="1" si="248"/>
        <v>19</v>
      </c>
      <c r="Q907" s="1" t="str">
        <f ca="1">VLOOKUP(D907,Routes!$A$2:$D$31,2,FALSE)</f>
        <v>Delhi</v>
      </c>
      <c r="R907" s="1" t="str">
        <f ca="1">VLOOKUP(D907,Routes!$A$2:$D$31,3,FALSE)</f>
        <v>Kolkata</v>
      </c>
      <c r="S907" s="3">
        <f ca="1">VLOOKUP(D907,Routes!$A$2:$D$31,4,FALSE)</f>
        <v>1500</v>
      </c>
      <c r="T907" s="3" t="str">
        <f ca="1">VLOOKUP(E907,Vehicles!$A$2:$D$21,2,FALSE)</f>
        <v>Trailer</v>
      </c>
      <c r="U907" s="3">
        <f ca="1">VLOOKUP(E907,Vehicles!$A$2:$D$21,3,FALSE)</f>
        <v>32</v>
      </c>
      <c r="V907" s="3" t="str">
        <f ca="1">VLOOKUP(E907,Vehicles!$A$2:$D$21,4,FALSE)</f>
        <v>Diesel</v>
      </c>
      <c r="W907" s="3">
        <f ca="1">VLOOKUP(V907,Fuel_Rates!$A$2:$B$3,2,FALSE)</f>
        <v>95</v>
      </c>
      <c r="X907" s="3">
        <f t="shared" ca="1" si="250"/>
        <v>16.77</v>
      </c>
      <c r="Y907" s="3">
        <f t="shared" ca="1" si="251"/>
        <v>32777</v>
      </c>
      <c r="Z907" s="3" t="str">
        <f t="shared" ca="1" si="252"/>
        <v>May</v>
      </c>
      <c r="AA907" s="3" t="str">
        <f t="shared" ca="1" si="253"/>
        <v>Q2</v>
      </c>
      <c r="AB907" s="4" t="str">
        <f t="shared" ca="1" si="254"/>
        <v>Long Haul</v>
      </c>
    </row>
    <row r="908" spans="1:28" x14ac:dyDescent="0.3">
      <c r="A908" s="8" t="str">
        <f t="shared" si="249"/>
        <v>S0907</v>
      </c>
      <c r="B908" s="3">
        <f t="shared" ca="1" si="238"/>
        <v>45956</v>
      </c>
      <c r="C908" s="3" t="str">
        <f ca="1">INDEX(Customers!$A$2:$A$21,RANDBETWEEN(1,20))</f>
        <v>C013</v>
      </c>
      <c r="D908" s="3" t="str">
        <f ca="1">INDEX(Routes!$A$2:$A$31,RANDBETWEEN(1,30))</f>
        <v>R024</v>
      </c>
      <c r="E908" s="3" t="str">
        <f ca="1">INDEX(Vehicles!$A$2:$A$21,RANDBETWEEN(1,20))</f>
        <v>V008</v>
      </c>
      <c r="F908" s="3" t="str">
        <f ca="1">INDEX(Drivers!$A$2:$A$31,RANDBETWEEN(1,30))</f>
        <v>D028</v>
      </c>
      <c r="G908" s="3">
        <f t="shared" ca="1" si="239"/>
        <v>21.5</v>
      </c>
      <c r="H908" s="3">
        <f t="shared" ca="1" si="240"/>
        <v>50494</v>
      </c>
      <c r="I908" s="3">
        <f t="shared" ca="1" si="241"/>
        <v>14138</v>
      </c>
      <c r="J908" s="3">
        <f t="shared" ca="1" si="242"/>
        <v>2692</v>
      </c>
      <c r="K908" s="3">
        <f t="shared" ca="1" si="243"/>
        <v>5</v>
      </c>
      <c r="L908" s="3">
        <f t="shared" ca="1" si="244"/>
        <v>8</v>
      </c>
      <c r="M908" s="3">
        <f t="shared" ca="1" si="245"/>
        <v>3</v>
      </c>
      <c r="N908" s="3" t="str">
        <f t="shared" ca="1" si="246"/>
        <v>Delayed</v>
      </c>
      <c r="O908" s="3" t="str">
        <f t="shared" ca="1" si="247"/>
        <v>Medium</v>
      </c>
      <c r="P908" s="3">
        <f t="shared" ca="1" si="248"/>
        <v>71.7</v>
      </c>
      <c r="Q908" s="1" t="str">
        <f ca="1">VLOOKUP(D908,Routes!$A$2:$D$31,2,FALSE)</f>
        <v>Surat</v>
      </c>
      <c r="R908" s="1" t="str">
        <f ca="1">VLOOKUP(D908,Routes!$A$2:$D$31,3,FALSE)</f>
        <v>Mumbai</v>
      </c>
      <c r="S908" s="3">
        <f ca="1">VLOOKUP(D908,Routes!$A$2:$D$31,4,FALSE)</f>
        <v>280</v>
      </c>
      <c r="T908" s="3" t="str">
        <f ca="1">VLOOKUP(E908,Vehicles!$A$2:$D$21,2,FALSE)</f>
        <v>Container</v>
      </c>
      <c r="U908" s="3">
        <f ca="1">VLOOKUP(E908,Vehicles!$A$2:$D$21,3,FALSE)</f>
        <v>25</v>
      </c>
      <c r="V908" s="3" t="str">
        <f ca="1">VLOOKUP(E908,Vehicles!$A$2:$D$21,4,FALSE)</f>
        <v>Diesel</v>
      </c>
      <c r="W908" s="3">
        <f ca="1">VLOOKUP(V908,Fuel_Rates!$A$2:$B$3,2,FALSE)</f>
        <v>95</v>
      </c>
      <c r="X908" s="3">
        <f t="shared" ca="1" si="250"/>
        <v>180.34</v>
      </c>
      <c r="Y908" s="3">
        <f t="shared" ca="1" si="251"/>
        <v>67324</v>
      </c>
      <c r="Z908" s="3" t="str">
        <f t="shared" ca="1" si="252"/>
        <v>Oct</v>
      </c>
      <c r="AA908" s="3" t="str">
        <f t="shared" ca="1" si="253"/>
        <v>Q4</v>
      </c>
      <c r="AB908" s="4" t="str">
        <f t="shared" ca="1" si="254"/>
        <v>Short Haul</v>
      </c>
    </row>
    <row r="909" spans="1:28" x14ac:dyDescent="0.3">
      <c r="A909" s="8" t="str">
        <f t="shared" si="249"/>
        <v>S0908</v>
      </c>
      <c r="B909" s="3">
        <f t="shared" ca="1" si="238"/>
        <v>45928</v>
      </c>
      <c r="C909" s="3" t="str">
        <f ca="1">INDEX(Customers!$A$2:$A$21,RANDBETWEEN(1,20))</f>
        <v>C003</v>
      </c>
      <c r="D909" s="3" t="str">
        <f ca="1">INDEX(Routes!$A$2:$A$31,RANDBETWEEN(1,30))</f>
        <v>R016</v>
      </c>
      <c r="E909" s="3" t="str">
        <f ca="1">INDEX(Vehicles!$A$2:$A$21,RANDBETWEEN(1,20))</f>
        <v>V002</v>
      </c>
      <c r="F909" s="3" t="str">
        <f ca="1">INDEX(Drivers!$A$2:$A$31,RANDBETWEEN(1,30))</f>
        <v>D030</v>
      </c>
      <c r="G909" s="3">
        <f t="shared" ca="1" si="239"/>
        <v>22.2</v>
      </c>
      <c r="H909" s="3">
        <f t="shared" ca="1" si="240"/>
        <v>52002</v>
      </c>
      <c r="I909" s="3">
        <f t="shared" ca="1" si="241"/>
        <v>14561</v>
      </c>
      <c r="J909" s="3">
        <f t="shared" ca="1" si="242"/>
        <v>3264</v>
      </c>
      <c r="K909" s="3">
        <f t="shared" ca="1" si="243"/>
        <v>22</v>
      </c>
      <c r="L909" s="3">
        <f t="shared" ca="1" si="244"/>
        <v>29</v>
      </c>
      <c r="M909" s="3">
        <f t="shared" ca="1" si="245"/>
        <v>7</v>
      </c>
      <c r="N909" s="3" t="str">
        <f t="shared" ca="1" si="246"/>
        <v>Delayed</v>
      </c>
      <c r="O909" s="3" t="str">
        <f t="shared" ca="1" si="247"/>
        <v>High</v>
      </c>
      <c r="P909" s="3">
        <f t="shared" ca="1" si="248"/>
        <v>74</v>
      </c>
      <c r="Q909" s="1" t="str">
        <f ca="1">VLOOKUP(D909,Routes!$A$2:$D$31,2,FALSE)</f>
        <v>Kolkata</v>
      </c>
      <c r="R909" s="1" t="str">
        <f ca="1">VLOOKUP(D909,Routes!$A$2:$D$31,3,FALSE)</f>
        <v>Bhubaneswar</v>
      </c>
      <c r="S909" s="3">
        <f ca="1">VLOOKUP(D909,Routes!$A$2:$D$31,4,FALSE)</f>
        <v>440</v>
      </c>
      <c r="T909" s="3" t="str">
        <f ca="1">VLOOKUP(E909,Vehicles!$A$2:$D$21,2,FALSE)</f>
        <v>Truck</v>
      </c>
      <c r="U909" s="3">
        <f ca="1">VLOOKUP(E909,Vehicles!$A$2:$D$21,3,FALSE)</f>
        <v>20</v>
      </c>
      <c r="V909" s="3" t="str">
        <f ca="1">VLOOKUP(E909,Vehicles!$A$2:$D$21,4,FALSE)</f>
        <v>Diesel</v>
      </c>
      <c r="W909" s="3">
        <f ca="1">VLOOKUP(V909,Fuel_Rates!$A$2:$B$3,2,FALSE)</f>
        <v>95</v>
      </c>
      <c r="X909" s="3">
        <f t="shared" ca="1" si="250"/>
        <v>118.19</v>
      </c>
      <c r="Y909" s="3">
        <f t="shared" ca="1" si="251"/>
        <v>69827</v>
      </c>
      <c r="Z909" s="3" t="str">
        <f t="shared" ca="1" si="252"/>
        <v>Sep</v>
      </c>
      <c r="AA909" s="3" t="str">
        <f t="shared" ca="1" si="253"/>
        <v>Q3</v>
      </c>
      <c r="AB909" s="4" t="str">
        <f t="shared" ca="1" si="254"/>
        <v>Medium Haul</v>
      </c>
    </row>
    <row r="910" spans="1:28" x14ac:dyDescent="0.3">
      <c r="A910" s="8" t="str">
        <f t="shared" si="249"/>
        <v>S0909</v>
      </c>
      <c r="B910" s="3">
        <f t="shared" ca="1" si="238"/>
        <v>45906</v>
      </c>
      <c r="C910" s="3" t="str">
        <f ca="1">INDEX(Customers!$A$2:$A$21,RANDBETWEEN(1,20))</f>
        <v>C017</v>
      </c>
      <c r="D910" s="3" t="str">
        <f ca="1">INDEX(Routes!$A$2:$A$31,RANDBETWEEN(1,30))</f>
        <v>R006</v>
      </c>
      <c r="E910" s="3" t="str">
        <f ca="1">INDEX(Vehicles!$A$2:$A$21,RANDBETWEEN(1,20))</f>
        <v>V018</v>
      </c>
      <c r="F910" s="3" t="str">
        <f ca="1">INDEX(Drivers!$A$2:$A$31,RANDBETWEEN(1,30))</f>
        <v>D013</v>
      </c>
      <c r="G910" s="3">
        <f t="shared" ca="1" si="239"/>
        <v>16.899999999999999</v>
      </c>
      <c r="H910" s="3">
        <f t="shared" ca="1" si="240"/>
        <v>37550</v>
      </c>
      <c r="I910" s="3">
        <f t="shared" ca="1" si="241"/>
        <v>10514</v>
      </c>
      <c r="J910" s="3">
        <f t="shared" ca="1" si="242"/>
        <v>1053</v>
      </c>
      <c r="K910" s="3">
        <f t="shared" ca="1" si="243"/>
        <v>5</v>
      </c>
      <c r="L910" s="3">
        <f t="shared" ca="1" si="244"/>
        <v>11</v>
      </c>
      <c r="M910" s="3">
        <f t="shared" ca="1" si="245"/>
        <v>6</v>
      </c>
      <c r="N910" s="3" t="str">
        <f t="shared" ca="1" si="246"/>
        <v>Delayed</v>
      </c>
      <c r="O910" s="3" t="str">
        <f t="shared" ca="1" si="247"/>
        <v>High</v>
      </c>
      <c r="P910" s="3">
        <f t="shared" ca="1" si="248"/>
        <v>56.3</v>
      </c>
      <c r="Q910" s="1" t="str">
        <f ca="1">VLOOKUP(D910,Routes!$A$2:$D$31,2,FALSE)</f>
        <v>Delhi</v>
      </c>
      <c r="R910" s="1" t="str">
        <f ca="1">VLOOKUP(D910,Routes!$A$2:$D$31,3,FALSE)</f>
        <v>Lucknow</v>
      </c>
      <c r="S910" s="3">
        <f ca="1">VLOOKUP(D910,Routes!$A$2:$D$31,4,FALSE)</f>
        <v>550</v>
      </c>
      <c r="T910" s="3" t="str">
        <f ca="1">VLOOKUP(E910,Vehicles!$A$2:$D$21,2,FALSE)</f>
        <v>Truck</v>
      </c>
      <c r="U910" s="3">
        <f ca="1">VLOOKUP(E910,Vehicles!$A$2:$D$21,3,FALSE)</f>
        <v>26</v>
      </c>
      <c r="V910" s="3" t="str">
        <f ca="1">VLOOKUP(E910,Vehicles!$A$2:$D$21,4,FALSE)</f>
        <v>Diesel</v>
      </c>
      <c r="W910" s="3">
        <f ca="1">VLOOKUP(V910,Fuel_Rates!$A$2:$B$3,2,FALSE)</f>
        <v>95</v>
      </c>
      <c r="X910" s="3">
        <f t="shared" ca="1" si="250"/>
        <v>68.27</v>
      </c>
      <c r="Y910" s="3">
        <f t="shared" ca="1" si="251"/>
        <v>49117</v>
      </c>
      <c r="Z910" s="3" t="str">
        <f t="shared" ca="1" si="252"/>
        <v>Sep</v>
      </c>
      <c r="AA910" s="3" t="str">
        <f t="shared" ca="1" si="253"/>
        <v>Q3</v>
      </c>
      <c r="AB910" s="4" t="str">
        <f t="shared" ca="1" si="254"/>
        <v>Medium Haul</v>
      </c>
    </row>
    <row r="911" spans="1:28" x14ac:dyDescent="0.3">
      <c r="A911" s="8" t="str">
        <f t="shared" si="249"/>
        <v>S0910</v>
      </c>
      <c r="B911" s="3">
        <f t="shared" ca="1" si="238"/>
        <v>45935</v>
      </c>
      <c r="C911" s="3" t="str">
        <f ca="1">INDEX(Customers!$A$2:$A$21,RANDBETWEEN(1,20))</f>
        <v>C016</v>
      </c>
      <c r="D911" s="3" t="str">
        <f ca="1">INDEX(Routes!$A$2:$A$31,RANDBETWEEN(1,30))</f>
        <v>R024</v>
      </c>
      <c r="E911" s="3" t="str">
        <f ca="1">INDEX(Vehicles!$A$2:$A$21,RANDBETWEEN(1,20))</f>
        <v>V006</v>
      </c>
      <c r="F911" s="3" t="str">
        <f ca="1">INDEX(Drivers!$A$2:$A$31,RANDBETWEEN(1,30))</f>
        <v>D029</v>
      </c>
      <c r="G911" s="3">
        <f t="shared" ca="1" si="239"/>
        <v>5.4</v>
      </c>
      <c r="H911" s="3">
        <f t="shared" ca="1" si="240"/>
        <v>13725</v>
      </c>
      <c r="I911" s="3">
        <f t="shared" ca="1" si="241"/>
        <v>3843</v>
      </c>
      <c r="J911" s="3">
        <f t="shared" ca="1" si="242"/>
        <v>1000</v>
      </c>
      <c r="K911" s="3">
        <f t="shared" ca="1" si="243"/>
        <v>29</v>
      </c>
      <c r="L911" s="3">
        <f t="shared" ca="1" si="244"/>
        <v>29</v>
      </c>
      <c r="M911" s="3">
        <f t="shared" ca="1" si="245"/>
        <v>0</v>
      </c>
      <c r="N911" s="3" t="str">
        <f t="shared" ca="1" si="246"/>
        <v>On Time</v>
      </c>
      <c r="O911" s="3" t="str">
        <f t="shared" ca="1" si="247"/>
        <v>Low</v>
      </c>
      <c r="P911" s="3">
        <f t="shared" ca="1" si="248"/>
        <v>18</v>
      </c>
      <c r="Q911" s="1" t="str">
        <f ca="1">VLOOKUP(D911,Routes!$A$2:$D$31,2,FALSE)</f>
        <v>Surat</v>
      </c>
      <c r="R911" s="1" t="str">
        <f ca="1">VLOOKUP(D911,Routes!$A$2:$D$31,3,FALSE)</f>
        <v>Mumbai</v>
      </c>
      <c r="S911" s="3">
        <f ca="1">VLOOKUP(D911,Routes!$A$2:$D$31,4,FALSE)</f>
        <v>280</v>
      </c>
      <c r="T911" s="3" t="str">
        <f ca="1">VLOOKUP(E911,Vehicles!$A$2:$D$21,2,FALSE)</f>
        <v>Container</v>
      </c>
      <c r="U911" s="3">
        <f ca="1">VLOOKUP(E911,Vehicles!$A$2:$D$21,3,FALSE)</f>
        <v>18</v>
      </c>
      <c r="V911" s="3" t="str">
        <f ca="1">VLOOKUP(E911,Vehicles!$A$2:$D$21,4,FALSE)</f>
        <v>Diesel</v>
      </c>
      <c r="W911" s="3">
        <f ca="1">VLOOKUP(V911,Fuel_Rates!$A$2:$B$3,2,FALSE)</f>
        <v>95</v>
      </c>
      <c r="X911" s="3">
        <f t="shared" ca="1" si="250"/>
        <v>49.02</v>
      </c>
      <c r="Y911" s="3">
        <f t="shared" ca="1" si="251"/>
        <v>18568</v>
      </c>
      <c r="Z911" s="3" t="str">
        <f t="shared" ca="1" si="252"/>
        <v>Oct</v>
      </c>
      <c r="AA911" s="3" t="str">
        <f t="shared" ca="1" si="253"/>
        <v>Q4</v>
      </c>
      <c r="AB911" s="4" t="str">
        <f t="shared" ca="1" si="254"/>
        <v>Short Haul</v>
      </c>
    </row>
    <row r="912" spans="1:28" x14ac:dyDescent="0.3">
      <c r="A912" s="8" t="str">
        <f t="shared" si="249"/>
        <v>S0911</v>
      </c>
      <c r="B912" s="3">
        <f t="shared" ca="1" si="238"/>
        <v>45876</v>
      </c>
      <c r="C912" s="3" t="str">
        <f ca="1">INDEX(Customers!$A$2:$A$21,RANDBETWEEN(1,20))</f>
        <v>C016</v>
      </c>
      <c r="D912" s="3" t="str">
        <f ca="1">INDEX(Routes!$A$2:$A$31,RANDBETWEEN(1,30))</f>
        <v>R028</v>
      </c>
      <c r="E912" s="3" t="str">
        <f ca="1">INDEX(Vehicles!$A$2:$A$21,RANDBETWEEN(1,20))</f>
        <v>V020</v>
      </c>
      <c r="F912" s="3" t="str">
        <f ca="1">INDEX(Drivers!$A$2:$A$31,RANDBETWEEN(1,30))</f>
        <v>D030</v>
      </c>
      <c r="G912" s="3">
        <f t="shared" ca="1" si="239"/>
        <v>6.1</v>
      </c>
      <c r="H912" s="3">
        <f t="shared" ca="1" si="240"/>
        <v>21808</v>
      </c>
      <c r="I912" s="3">
        <f t="shared" ca="1" si="241"/>
        <v>6106</v>
      </c>
      <c r="J912" s="3">
        <f t="shared" ca="1" si="242"/>
        <v>2526</v>
      </c>
      <c r="K912" s="3">
        <f t="shared" ca="1" si="243"/>
        <v>24</v>
      </c>
      <c r="L912" s="3">
        <f t="shared" ca="1" si="244"/>
        <v>26</v>
      </c>
      <c r="M912" s="3">
        <f t="shared" ca="1" si="245"/>
        <v>2</v>
      </c>
      <c r="N912" s="3" t="str">
        <f t="shared" ca="1" si="246"/>
        <v>On Time</v>
      </c>
      <c r="O912" s="3" t="str">
        <f t="shared" ca="1" si="247"/>
        <v>High</v>
      </c>
      <c r="P912" s="3">
        <f t="shared" ca="1" si="248"/>
        <v>20.3</v>
      </c>
      <c r="Q912" s="1" t="str">
        <f ca="1">VLOOKUP(D912,Routes!$A$2:$D$31,2,FALSE)</f>
        <v>Indore</v>
      </c>
      <c r="R912" s="1" t="str">
        <f ca="1">VLOOKUP(D912,Routes!$A$2:$D$31,3,FALSE)</f>
        <v>Mumbai</v>
      </c>
      <c r="S912" s="3">
        <f ca="1">VLOOKUP(D912,Routes!$A$2:$D$31,4,FALSE)</f>
        <v>590</v>
      </c>
      <c r="T912" s="3" t="str">
        <f ca="1">VLOOKUP(E912,Vehicles!$A$2:$D$21,2,FALSE)</f>
        <v>Container</v>
      </c>
      <c r="U912" s="3">
        <f ca="1">VLOOKUP(E912,Vehicles!$A$2:$D$21,3,FALSE)</f>
        <v>28</v>
      </c>
      <c r="V912" s="3" t="str">
        <f ca="1">VLOOKUP(E912,Vehicles!$A$2:$D$21,4,FALSE)</f>
        <v>Diesel</v>
      </c>
      <c r="W912" s="3">
        <f ca="1">VLOOKUP(V912,Fuel_Rates!$A$2:$B$3,2,FALSE)</f>
        <v>95</v>
      </c>
      <c r="X912" s="3">
        <f t="shared" ca="1" si="250"/>
        <v>36.96</v>
      </c>
      <c r="Y912" s="3">
        <f t="shared" ca="1" si="251"/>
        <v>30440</v>
      </c>
      <c r="Z912" s="3" t="str">
        <f t="shared" ca="1" si="252"/>
        <v>Aug</v>
      </c>
      <c r="AA912" s="3" t="str">
        <f t="shared" ca="1" si="253"/>
        <v>Q3</v>
      </c>
      <c r="AB912" s="4" t="str">
        <f t="shared" ca="1" si="254"/>
        <v>Medium Haul</v>
      </c>
    </row>
    <row r="913" spans="1:28" x14ac:dyDescent="0.3">
      <c r="A913" s="8" t="str">
        <f t="shared" si="249"/>
        <v>S0912</v>
      </c>
      <c r="B913" s="3">
        <f t="shared" ca="1" si="238"/>
        <v>45965</v>
      </c>
      <c r="C913" s="3" t="str">
        <f ca="1">INDEX(Customers!$A$2:$A$21,RANDBETWEEN(1,20))</f>
        <v>C018</v>
      </c>
      <c r="D913" s="3" t="str">
        <f ca="1">INDEX(Routes!$A$2:$A$31,RANDBETWEEN(1,30))</f>
        <v>R018</v>
      </c>
      <c r="E913" s="3" t="str">
        <f ca="1">INDEX(Vehicles!$A$2:$A$21,RANDBETWEEN(1,20))</f>
        <v>V005</v>
      </c>
      <c r="F913" s="3" t="str">
        <f ca="1">INDEX(Drivers!$A$2:$A$31,RANDBETWEEN(1,30))</f>
        <v>D016</v>
      </c>
      <c r="G913" s="3">
        <f t="shared" ca="1" si="239"/>
        <v>25.3</v>
      </c>
      <c r="H913" s="3">
        <f t="shared" ca="1" si="240"/>
        <v>50772</v>
      </c>
      <c r="I913" s="3">
        <f t="shared" ca="1" si="241"/>
        <v>14216</v>
      </c>
      <c r="J913" s="3">
        <f t="shared" ca="1" si="242"/>
        <v>2953</v>
      </c>
      <c r="K913" s="3">
        <f t="shared" ca="1" si="243"/>
        <v>46</v>
      </c>
      <c r="L913" s="3">
        <f t="shared" ca="1" si="244"/>
        <v>50</v>
      </c>
      <c r="M913" s="3">
        <f t="shared" ca="1" si="245"/>
        <v>4</v>
      </c>
      <c r="N913" s="3" t="str">
        <f t="shared" ca="1" si="246"/>
        <v>Delayed</v>
      </c>
      <c r="O913" s="3" t="str">
        <f t="shared" ca="1" si="247"/>
        <v>High</v>
      </c>
      <c r="P913" s="3">
        <f t="shared" ca="1" si="248"/>
        <v>84.3</v>
      </c>
      <c r="Q913" s="1" t="str">
        <f ca="1">VLOOKUP(D913,Routes!$A$2:$D$31,2,FALSE)</f>
        <v>Ahmedabad</v>
      </c>
      <c r="R913" s="1" t="str">
        <f ca="1">VLOOKUP(D913,Routes!$A$2:$D$31,3,FALSE)</f>
        <v>Jaipur</v>
      </c>
      <c r="S913" s="3">
        <f ca="1">VLOOKUP(D913,Routes!$A$2:$D$31,4,FALSE)</f>
        <v>670</v>
      </c>
      <c r="T913" s="3" t="str">
        <f ca="1">VLOOKUP(E913,Vehicles!$A$2:$D$21,2,FALSE)</f>
        <v>Trailer</v>
      </c>
      <c r="U913" s="3">
        <f ca="1">VLOOKUP(E913,Vehicles!$A$2:$D$21,3,FALSE)</f>
        <v>32</v>
      </c>
      <c r="V913" s="3" t="str">
        <f ca="1">VLOOKUP(E913,Vehicles!$A$2:$D$21,4,FALSE)</f>
        <v>Diesel</v>
      </c>
      <c r="W913" s="3">
        <f ca="1">VLOOKUP(V913,Fuel_Rates!$A$2:$B$3,2,FALSE)</f>
        <v>95</v>
      </c>
      <c r="X913" s="3">
        <f t="shared" ca="1" si="250"/>
        <v>75.78</v>
      </c>
      <c r="Y913" s="3">
        <f t="shared" ca="1" si="251"/>
        <v>67941</v>
      </c>
      <c r="Z913" s="3" t="str">
        <f t="shared" ca="1" si="252"/>
        <v>Nov</v>
      </c>
      <c r="AA913" s="3" t="str">
        <f t="shared" ca="1" si="253"/>
        <v>Q4</v>
      </c>
      <c r="AB913" s="4" t="str">
        <f t="shared" ca="1" si="254"/>
        <v>Medium Haul</v>
      </c>
    </row>
    <row r="914" spans="1:28" x14ac:dyDescent="0.3">
      <c r="A914" s="8" t="str">
        <f t="shared" si="249"/>
        <v>S0913</v>
      </c>
      <c r="B914" s="3">
        <f t="shared" ca="1" si="238"/>
        <v>45719</v>
      </c>
      <c r="C914" s="3" t="str">
        <f ca="1">INDEX(Customers!$A$2:$A$21,RANDBETWEEN(1,20))</f>
        <v>C015</v>
      </c>
      <c r="D914" s="3" t="str">
        <f ca="1">INDEX(Routes!$A$2:$A$31,RANDBETWEEN(1,30))</f>
        <v>R027</v>
      </c>
      <c r="E914" s="3" t="str">
        <f ca="1">INDEX(Vehicles!$A$2:$A$21,RANDBETWEEN(1,20))</f>
        <v>V008</v>
      </c>
      <c r="F914" s="3" t="str">
        <f ca="1">INDEX(Drivers!$A$2:$A$31,RANDBETWEEN(1,30))</f>
        <v>D011</v>
      </c>
      <c r="G914" s="3">
        <f t="shared" ca="1" si="239"/>
        <v>29.8</v>
      </c>
      <c r="H914" s="3">
        <f t="shared" ca="1" si="240"/>
        <v>59323</v>
      </c>
      <c r="I914" s="3">
        <f t="shared" ca="1" si="241"/>
        <v>16610</v>
      </c>
      <c r="J914" s="3">
        <f t="shared" ca="1" si="242"/>
        <v>605</v>
      </c>
      <c r="K914" s="3">
        <f t="shared" ca="1" si="243"/>
        <v>47</v>
      </c>
      <c r="L914" s="3">
        <f t="shared" ca="1" si="244"/>
        <v>48</v>
      </c>
      <c r="M914" s="3">
        <f t="shared" ca="1" si="245"/>
        <v>1</v>
      </c>
      <c r="N914" s="3" t="str">
        <f t="shared" ca="1" si="246"/>
        <v>On Time</v>
      </c>
      <c r="O914" s="3" t="str">
        <f t="shared" ca="1" si="247"/>
        <v>Low</v>
      </c>
      <c r="P914" s="3">
        <f t="shared" ca="1" si="248"/>
        <v>99.3</v>
      </c>
      <c r="Q914" s="1" t="str">
        <f ca="1">VLOOKUP(D914,Routes!$A$2:$D$31,2,FALSE)</f>
        <v>Patna</v>
      </c>
      <c r="R914" s="1" t="str">
        <f ca="1">VLOOKUP(D914,Routes!$A$2:$D$31,3,FALSE)</f>
        <v>Ranchi</v>
      </c>
      <c r="S914" s="3">
        <f ca="1">VLOOKUP(D914,Routes!$A$2:$D$31,4,FALSE)</f>
        <v>330</v>
      </c>
      <c r="T914" s="3" t="str">
        <f ca="1">VLOOKUP(E914,Vehicles!$A$2:$D$21,2,FALSE)</f>
        <v>Container</v>
      </c>
      <c r="U914" s="3">
        <f ca="1">VLOOKUP(E914,Vehicles!$A$2:$D$21,3,FALSE)</f>
        <v>25</v>
      </c>
      <c r="V914" s="3" t="str">
        <f ca="1">VLOOKUP(E914,Vehicles!$A$2:$D$21,4,FALSE)</f>
        <v>Diesel</v>
      </c>
      <c r="W914" s="3">
        <f ca="1">VLOOKUP(V914,Fuel_Rates!$A$2:$B$3,2,FALSE)</f>
        <v>95</v>
      </c>
      <c r="X914" s="3">
        <f t="shared" ca="1" si="250"/>
        <v>179.77</v>
      </c>
      <c r="Y914" s="3">
        <f t="shared" ca="1" si="251"/>
        <v>76538</v>
      </c>
      <c r="Z914" s="3" t="str">
        <f t="shared" ca="1" si="252"/>
        <v>Mar</v>
      </c>
      <c r="AA914" s="3" t="str">
        <f t="shared" ca="1" si="253"/>
        <v>Q1</v>
      </c>
      <c r="AB914" s="4" t="str">
        <f t="shared" ca="1" si="254"/>
        <v>Medium Haul</v>
      </c>
    </row>
    <row r="915" spans="1:28" x14ac:dyDescent="0.3">
      <c r="A915" s="8" t="str">
        <f t="shared" si="249"/>
        <v>S0914</v>
      </c>
      <c r="B915" s="3">
        <f t="shared" ca="1" si="238"/>
        <v>45943</v>
      </c>
      <c r="C915" s="3" t="str">
        <f ca="1">INDEX(Customers!$A$2:$A$21,RANDBETWEEN(1,20))</f>
        <v>C016</v>
      </c>
      <c r="D915" s="3" t="str">
        <f ca="1">INDEX(Routes!$A$2:$A$31,RANDBETWEEN(1,30))</f>
        <v>R005</v>
      </c>
      <c r="E915" s="3" t="str">
        <f ca="1">INDEX(Vehicles!$A$2:$A$21,RANDBETWEEN(1,20))</f>
        <v>V013</v>
      </c>
      <c r="F915" s="3" t="str">
        <f ca="1">INDEX(Drivers!$A$2:$A$31,RANDBETWEEN(1,30))</f>
        <v>D008</v>
      </c>
      <c r="G915" s="3">
        <f t="shared" ca="1" si="239"/>
        <v>30</v>
      </c>
      <c r="H915" s="3">
        <f t="shared" ca="1" si="240"/>
        <v>58580</v>
      </c>
      <c r="I915" s="3">
        <f t="shared" ca="1" si="241"/>
        <v>16402</v>
      </c>
      <c r="J915" s="3">
        <f t="shared" ca="1" si="242"/>
        <v>3741</v>
      </c>
      <c r="K915" s="3">
        <f t="shared" ca="1" si="243"/>
        <v>43</v>
      </c>
      <c r="L915" s="3">
        <f t="shared" ca="1" si="244"/>
        <v>45</v>
      </c>
      <c r="M915" s="3">
        <f t="shared" ca="1" si="245"/>
        <v>2</v>
      </c>
      <c r="N915" s="3" t="str">
        <f t="shared" ca="1" si="246"/>
        <v>On Time</v>
      </c>
      <c r="O915" s="3" t="str">
        <f t="shared" ca="1" si="247"/>
        <v>Low</v>
      </c>
      <c r="P915" s="3">
        <f t="shared" ca="1" si="248"/>
        <v>100</v>
      </c>
      <c r="Q915" s="1" t="str">
        <f ca="1">VLOOKUP(D915,Routes!$A$2:$D$31,2,FALSE)</f>
        <v>Delhi</v>
      </c>
      <c r="R915" s="1" t="str">
        <f ca="1">VLOOKUP(D915,Routes!$A$2:$D$31,3,FALSE)</f>
        <v>Jaipur</v>
      </c>
      <c r="S915" s="3">
        <f ca="1">VLOOKUP(D915,Routes!$A$2:$D$31,4,FALSE)</f>
        <v>280</v>
      </c>
      <c r="T915" s="3" t="str">
        <f ca="1">VLOOKUP(E915,Vehicles!$A$2:$D$21,2,FALSE)</f>
        <v>LCV</v>
      </c>
      <c r="U915" s="3">
        <f ca="1">VLOOKUP(E915,Vehicles!$A$2:$D$21,3,FALSE)</f>
        <v>4</v>
      </c>
      <c r="V915" s="3" t="str">
        <f ca="1">VLOOKUP(E915,Vehicles!$A$2:$D$21,4,FALSE)</f>
        <v>CNG</v>
      </c>
      <c r="W915" s="3">
        <f ca="1">VLOOKUP(V915,Fuel_Rates!$A$2:$B$3,2,FALSE)</f>
        <v>78</v>
      </c>
      <c r="X915" s="3">
        <f t="shared" ca="1" si="250"/>
        <v>209.21</v>
      </c>
      <c r="Y915" s="3">
        <f t="shared" ca="1" si="251"/>
        <v>78723</v>
      </c>
      <c r="Z915" s="3" t="str">
        <f t="shared" ca="1" si="252"/>
        <v>Oct</v>
      </c>
      <c r="AA915" s="3" t="str">
        <f t="shared" ca="1" si="253"/>
        <v>Q4</v>
      </c>
      <c r="AB915" s="4" t="str">
        <f t="shared" ca="1" si="254"/>
        <v>Short Haul</v>
      </c>
    </row>
    <row r="916" spans="1:28" x14ac:dyDescent="0.3">
      <c r="A916" s="8" t="str">
        <f t="shared" si="249"/>
        <v>S0915</v>
      </c>
      <c r="B916" s="3">
        <f t="shared" ca="1" si="238"/>
        <v>45833</v>
      </c>
      <c r="C916" s="3" t="str">
        <f ca="1">INDEX(Customers!$A$2:$A$21,RANDBETWEEN(1,20))</f>
        <v>C019</v>
      </c>
      <c r="D916" s="3" t="str">
        <f ca="1">INDEX(Routes!$A$2:$A$31,RANDBETWEEN(1,30))</f>
        <v>R004</v>
      </c>
      <c r="E916" s="3" t="str">
        <f ca="1">INDEX(Vehicles!$A$2:$A$21,RANDBETWEEN(1,20))</f>
        <v>V013</v>
      </c>
      <c r="F916" s="3" t="str">
        <f ca="1">INDEX(Drivers!$A$2:$A$31,RANDBETWEEN(1,30))</f>
        <v>D008</v>
      </c>
      <c r="G916" s="3">
        <f t="shared" ca="1" si="239"/>
        <v>20.399999999999999</v>
      </c>
      <c r="H916" s="3">
        <f t="shared" ca="1" si="240"/>
        <v>45922</v>
      </c>
      <c r="I916" s="3">
        <f t="shared" ca="1" si="241"/>
        <v>12858</v>
      </c>
      <c r="J916" s="3">
        <f t="shared" ca="1" si="242"/>
        <v>2035</v>
      </c>
      <c r="K916" s="3">
        <f t="shared" ca="1" si="243"/>
        <v>21</v>
      </c>
      <c r="L916" s="3">
        <f t="shared" ca="1" si="244"/>
        <v>22</v>
      </c>
      <c r="M916" s="3">
        <f t="shared" ca="1" si="245"/>
        <v>1</v>
      </c>
      <c r="N916" s="3" t="str">
        <f t="shared" ca="1" si="246"/>
        <v>On Time</v>
      </c>
      <c r="O916" s="3" t="str">
        <f t="shared" ca="1" si="247"/>
        <v>Medium</v>
      </c>
      <c r="P916" s="3">
        <f t="shared" ca="1" si="248"/>
        <v>68</v>
      </c>
      <c r="Q916" s="1" t="str">
        <f ca="1">VLOOKUP(D916,Routes!$A$2:$D$31,2,FALSE)</f>
        <v>Mumbai</v>
      </c>
      <c r="R916" s="1" t="str">
        <f ca="1">VLOOKUP(D916,Routes!$A$2:$D$31,3,FALSE)</f>
        <v>Bengaluru</v>
      </c>
      <c r="S916" s="3">
        <f ca="1">VLOOKUP(D916,Routes!$A$2:$D$31,4,FALSE)</f>
        <v>980</v>
      </c>
      <c r="T916" s="3" t="str">
        <f ca="1">VLOOKUP(E916,Vehicles!$A$2:$D$21,2,FALSE)</f>
        <v>LCV</v>
      </c>
      <c r="U916" s="3">
        <f ca="1">VLOOKUP(E916,Vehicles!$A$2:$D$21,3,FALSE)</f>
        <v>4</v>
      </c>
      <c r="V916" s="3" t="str">
        <f ca="1">VLOOKUP(E916,Vehicles!$A$2:$D$21,4,FALSE)</f>
        <v>CNG</v>
      </c>
      <c r="W916" s="3">
        <f ca="1">VLOOKUP(V916,Fuel_Rates!$A$2:$B$3,2,FALSE)</f>
        <v>78</v>
      </c>
      <c r="X916" s="3">
        <f t="shared" ca="1" si="250"/>
        <v>46.86</v>
      </c>
      <c r="Y916" s="3">
        <f t="shared" ca="1" si="251"/>
        <v>60815</v>
      </c>
      <c r="Z916" s="3" t="str">
        <f t="shared" ca="1" si="252"/>
        <v>Jun</v>
      </c>
      <c r="AA916" s="3" t="str">
        <f t="shared" ca="1" si="253"/>
        <v>Q2</v>
      </c>
      <c r="AB916" s="4" t="str">
        <f t="shared" ca="1" si="254"/>
        <v>Long Haul</v>
      </c>
    </row>
    <row r="917" spans="1:28" x14ac:dyDescent="0.3">
      <c r="A917" s="8" t="str">
        <f t="shared" si="249"/>
        <v>S0916</v>
      </c>
      <c r="B917" s="3">
        <f t="shared" ca="1" si="238"/>
        <v>45976</v>
      </c>
      <c r="C917" s="3" t="str">
        <f ca="1">INDEX(Customers!$A$2:$A$21,RANDBETWEEN(1,20))</f>
        <v>C003</v>
      </c>
      <c r="D917" s="3" t="str">
        <f ca="1">INDEX(Routes!$A$2:$A$31,RANDBETWEEN(1,30))</f>
        <v>R027</v>
      </c>
      <c r="E917" s="3" t="str">
        <f ca="1">INDEX(Vehicles!$A$2:$A$21,RANDBETWEEN(1,20))</f>
        <v>V014</v>
      </c>
      <c r="F917" s="3" t="str">
        <f ca="1">INDEX(Drivers!$A$2:$A$31,RANDBETWEEN(1,30))</f>
        <v>D024</v>
      </c>
      <c r="G917" s="3">
        <f t="shared" ca="1" si="239"/>
        <v>19.5</v>
      </c>
      <c r="H917" s="3">
        <f t="shared" ca="1" si="240"/>
        <v>49236</v>
      </c>
      <c r="I917" s="3">
        <f t="shared" ca="1" si="241"/>
        <v>13786</v>
      </c>
      <c r="J917" s="3">
        <f t="shared" ca="1" si="242"/>
        <v>2779</v>
      </c>
      <c r="K917" s="3">
        <f t="shared" ca="1" si="243"/>
        <v>36</v>
      </c>
      <c r="L917" s="3">
        <f t="shared" ca="1" si="244"/>
        <v>43</v>
      </c>
      <c r="M917" s="3">
        <f t="shared" ca="1" si="245"/>
        <v>7</v>
      </c>
      <c r="N917" s="3" t="str">
        <f t="shared" ca="1" si="246"/>
        <v>Delayed</v>
      </c>
      <c r="O917" s="3" t="str">
        <f t="shared" ca="1" si="247"/>
        <v>Medium</v>
      </c>
      <c r="P917" s="3">
        <f t="shared" ca="1" si="248"/>
        <v>65</v>
      </c>
      <c r="Q917" s="1" t="str">
        <f ca="1">VLOOKUP(D917,Routes!$A$2:$D$31,2,FALSE)</f>
        <v>Patna</v>
      </c>
      <c r="R917" s="1" t="str">
        <f ca="1">VLOOKUP(D917,Routes!$A$2:$D$31,3,FALSE)</f>
        <v>Ranchi</v>
      </c>
      <c r="S917" s="3">
        <f ca="1">VLOOKUP(D917,Routes!$A$2:$D$31,4,FALSE)</f>
        <v>330</v>
      </c>
      <c r="T917" s="3" t="str">
        <f ca="1">VLOOKUP(E917,Vehicles!$A$2:$D$21,2,FALSE)</f>
        <v>LCV</v>
      </c>
      <c r="U917" s="3">
        <f ca="1">VLOOKUP(E917,Vehicles!$A$2:$D$21,3,FALSE)</f>
        <v>6</v>
      </c>
      <c r="V917" s="3" t="str">
        <f ca="1">VLOOKUP(E917,Vehicles!$A$2:$D$21,4,FALSE)</f>
        <v>CNG</v>
      </c>
      <c r="W917" s="3">
        <f ca="1">VLOOKUP(V917,Fuel_Rates!$A$2:$B$3,2,FALSE)</f>
        <v>78</v>
      </c>
      <c r="X917" s="3">
        <f t="shared" ca="1" si="250"/>
        <v>149.19999999999999</v>
      </c>
      <c r="Y917" s="3">
        <f t="shared" ca="1" si="251"/>
        <v>65801</v>
      </c>
      <c r="Z917" s="3" t="str">
        <f t="shared" ca="1" si="252"/>
        <v>Nov</v>
      </c>
      <c r="AA917" s="3" t="str">
        <f t="shared" ca="1" si="253"/>
        <v>Q4</v>
      </c>
      <c r="AB917" s="4" t="str">
        <f t="shared" ca="1" si="254"/>
        <v>Medium Haul</v>
      </c>
    </row>
    <row r="918" spans="1:28" x14ac:dyDescent="0.3">
      <c r="A918" s="8" t="str">
        <f t="shared" si="249"/>
        <v>S0917</v>
      </c>
      <c r="B918" s="3">
        <f t="shared" ca="1" si="238"/>
        <v>45984</v>
      </c>
      <c r="C918" s="3" t="str">
        <f ca="1">INDEX(Customers!$A$2:$A$21,RANDBETWEEN(1,20))</f>
        <v>C014</v>
      </c>
      <c r="D918" s="3" t="str">
        <f ca="1">INDEX(Routes!$A$2:$A$31,RANDBETWEEN(1,30))</f>
        <v>R003</v>
      </c>
      <c r="E918" s="3" t="str">
        <f ca="1">INDEX(Vehicles!$A$2:$A$21,RANDBETWEEN(1,20))</f>
        <v>V009</v>
      </c>
      <c r="F918" s="3" t="str">
        <f ca="1">INDEX(Drivers!$A$2:$A$31,RANDBETWEEN(1,30))</f>
        <v>D023</v>
      </c>
      <c r="G918" s="3">
        <f t="shared" ca="1" si="239"/>
        <v>29.1</v>
      </c>
      <c r="H918" s="3">
        <f t="shared" ca="1" si="240"/>
        <v>62227</v>
      </c>
      <c r="I918" s="3">
        <f t="shared" ca="1" si="241"/>
        <v>17424</v>
      </c>
      <c r="J918" s="3">
        <f t="shared" ca="1" si="242"/>
        <v>3461</v>
      </c>
      <c r="K918" s="3">
        <f t="shared" ca="1" si="243"/>
        <v>41</v>
      </c>
      <c r="L918" s="3">
        <f t="shared" ca="1" si="244"/>
        <v>49</v>
      </c>
      <c r="M918" s="3">
        <f t="shared" ca="1" si="245"/>
        <v>8</v>
      </c>
      <c r="N918" s="3" t="str">
        <f t="shared" ca="1" si="246"/>
        <v>Delayed</v>
      </c>
      <c r="O918" s="3" t="str">
        <f t="shared" ca="1" si="247"/>
        <v>Medium</v>
      </c>
      <c r="P918" s="3">
        <f t="shared" ca="1" si="248"/>
        <v>97</v>
      </c>
      <c r="Q918" s="1" t="str">
        <f ca="1">VLOOKUP(D918,Routes!$A$2:$D$31,2,FALSE)</f>
        <v>Mumbai</v>
      </c>
      <c r="R918" s="1" t="str">
        <f ca="1">VLOOKUP(D918,Routes!$A$2:$D$31,3,FALSE)</f>
        <v>Delhi</v>
      </c>
      <c r="S918" s="3">
        <f ca="1">VLOOKUP(D918,Routes!$A$2:$D$31,4,FALSE)</f>
        <v>1450</v>
      </c>
      <c r="T918" s="3" t="str">
        <f ca="1">VLOOKUP(E918,Vehicles!$A$2:$D$21,2,FALSE)</f>
        <v>LCV</v>
      </c>
      <c r="U918" s="3">
        <f ca="1">VLOOKUP(E918,Vehicles!$A$2:$D$21,3,FALSE)</f>
        <v>5</v>
      </c>
      <c r="V918" s="3" t="str">
        <f ca="1">VLOOKUP(E918,Vehicles!$A$2:$D$21,4,FALSE)</f>
        <v>Diesel</v>
      </c>
      <c r="W918" s="3">
        <f ca="1">VLOOKUP(V918,Fuel_Rates!$A$2:$B$3,2,FALSE)</f>
        <v>95</v>
      </c>
      <c r="X918" s="3">
        <f t="shared" ca="1" si="250"/>
        <v>42.92</v>
      </c>
      <c r="Y918" s="3">
        <f t="shared" ca="1" si="251"/>
        <v>83112</v>
      </c>
      <c r="Z918" s="3" t="str">
        <f t="shared" ca="1" si="252"/>
        <v>Nov</v>
      </c>
      <c r="AA918" s="3" t="str">
        <f t="shared" ca="1" si="253"/>
        <v>Q4</v>
      </c>
      <c r="AB918" s="4" t="str">
        <f t="shared" ca="1" si="254"/>
        <v>Long Haul</v>
      </c>
    </row>
    <row r="919" spans="1:28" x14ac:dyDescent="0.3">
      <c r="A919" s="8" t="str">
        <f t="shared" si="249"/>
        <v>S0918</v>
      </c>
      <c r="B919" s="3">
        <f t="shared" ca="1" si="238"/>
        <v>45906</v>
      </c>
      <c r="C919" s="3" t="str">
        <f ca="1">INDEX(Customers!$A$2:$A$21,RANDBETWEEN(1,20))</f>
        <v>C002</v>
      </c>
      <c r="D919" s="3" t="str">
        <f ca="1">INDEX(Routes!$A$2:$A$31,RANDBETWEEN(1,30))</f>
        <v>R001</v>
      </c>
      <c r="E919" s="3" t="str">
        <f ca="1">INDEX(Vehicles!$A$2:$A$21,RANDBETWEEN(1,20))</f>
        <v>V017</v>
      </c>
      <c r="F919" s="3" t="str">
        <f ca="1">INDEX(Drivers!$A$2:$A$31,RANDBETWEEN(1,30))</f>
        <v>D023</v>
      </c>
      <c r="G919" s="3">
        <f t="shared" ca="1" si="239"/>
        <v>8.3000000000000007</v>
      </c>
      <c r="H919" s="3">
        <f t="shared" ca="1" si="240"/>
        <v>22003</v>
      </c>
      <c r="I919" s="3">
        <f t="shared" ca="1" si="241"/>
        <v>6161</v>
      </c>
      <c r="J919" s="3">
        <f t="shared" ca="1" si="242"/>
        <v>2098</v>
      </c>
      <c r="K919" s="3">
        <f t="shared" ca="1" si="243"/>
        <v>21</v>
      </c>
      <c r="L919" s="3">
        <f t="shared" ca="1" si="244"/>
        <v>28</v>
      </c>
      <c r="M919" s="3">
        <f t="shared" ca="1" si="245"/>
        <v>7</v>
      </c>
      <c r="N919" s="3" t="str">
        <f t="shared" ca="1" si="246"/>
        <v>Delayed</v>
      </c>
      <c r="O919" s="3" t="str">
        <f t="shared" ca="1" si="247"/>
        <v>Medium</v>
      </c>
      <c r="P919" s="3">
        <f t="shared" ca="1" si="248"/>
        <v>27.7</v>
      </c>
      <c r="Q919" s="1" t="str">
        <f ca="1">VLOOKUP(D919,Routes!$A$2:$D$31,2,FALSE)</f>
        <v>Mumbai</v>
      </c>
      <c r="R919" s="1" t="str">
        <f ca="1">VLOOKUP(D919,Routes!$A$2:$D$31,3,FALSE)</f>
        <v>Pune</v>
      </c>
      <c r="S919" s="3">
        <f ca="1">VLOOKUP(D919,Routes!$A$2:$D$31,4,FALSE)</f>
        <v>150</v>
      </c>
      <c r="T919" s="3" t="str">
        <f ca="1">VLOOKUP(E919,Vehicles!$A$2:$D$21,2,FALSE)</f>
        <v>Truck</v>
      </c>
      <c r="U919" s="3">
        <f ca="1">VLOOKUP(E919,Vehicles!$A$2:$D$21,3,FALSE)</f>
        <v>24</v>
      </c>
      <c r="V919" s="3" t="str">
        <f ca="1">VLOOKUP(E919,Vehicles!$A$2:$D$21,4,FALSE)</f>
        <v>Diesel</v>
      </c>
      <c r="W919" s="3">
        <f ca="1">VLOOKUP(V919,Fuel_Rates!$A$2:$B$3,2,FALSE)</f>
        <v>95</v>
      </c>
      <c r="X919" s="3">
        <f t="shared" ca="1" si="250"/>
        <v>146.69</v>
      </c>
      <c r="Y919" s="3">
        <f t="shared" ca="1" si="251"/>
        <v>30262</v>
      </c>
      <c r="Z919" s="3" t="str">
        <f t="shared" ca="1" si="252"/>
        <v>Sep</v>
      </c>
      <c r="AA919" s="3" t="str">
        <f t="shared" ca="1" si="253"/>
        <v>Q3</v>
      </c>
      <c r="AB919" s="4" t="str">
        <f t="shared" ca="1" si="254"/>
        <v>Short Haul</v>
      </c>
    </row>
    <row r="920" spans="1:28" x14ac:dyDescent="0.3">
      <c r="A920" s="8" t="str">
        <f t="shared" si="249"/>
        <v>S0919</v>
      </c>
      <c r="B920" s="3">
        <f t="shared" ca="1" si="238"/>
        <v>45825</v>
      </c>
      <c r="C920" s="3" t="str">
        <f ca="1">INDEX(Customers!$A$2:$A$21,RANDBETWEEN(1,20))</f>
        <v>C010</v>
      </c>
      <c r="D920" s="3" t="str">
        <f ca="1">INDEX(Routes!$A$2:$A$31,RANDBETWEEN(1,30))</f>
        <v>R002</v>
      </c>
      <c r="E920" s="3" t="str">
        <f ca="1">INDEX(Vehicles!$A$2:$A$21,RANDBETWEEN(1,20))</f>
        <v>V012</v>
      </c>
      <c r="F920" s="3" t="str">
        <f ca="1">INDEX(Drivers!$A$2:$A$31,RANDBETWEEN(1,30))</f>
        <v>D009</v>
      </c>
      <c r="G920" s="3">
        <f t="shared" ca="1" si="239"/>
        <v>9.1999999999999993</v>
      </c>
      <c r="H920" s="3">
        <f t="shared" ca="1" si="240"/>
        <v>27780</v>
      </c>
      <c r="I920" s="3">
        <f t="shared" ca="1" si="241"/>
        <v>7778</v>
      </c>
      <c r="J920" s="3">
        <f t="shared" ca="1" si="242"/>
        <v>1013</v>
      </c>
      <c r="K920" s="3">
        <f t="shared" ca="1" si="243"/>
        <v>15</v>
      </c>
      <c r="L920" s="3">
        <f t="shared" ca="1" si="244"/>
        <v>15</v>
      </c>
      <c r="M920" s="3">
        <f t="shared" ca="1" si="245"/>
        <v>0</v>
      </c>
      <c r="N920" s="3" t="str">
        <f t="shared" ca="1" si="246"/>
        <v>On Time</v>
      </c>
      <c r="O920" s="3" t="str">
        <f t="shared" ca="1" si="247"/>
        <v>Low</v>
      </c>
      <c r="P920" s="3">
        <f t="shared" ca="1" si="248"/>
        <v>30.7</v>
      </c>
      <c r="Q920" s="1" t="str">
        <f ca="1">VLOOKUP(D920,Routes!$A$2:$D$31,2,FALSE)</f>
        <v>Mumbai</v>
      </c>
      <c r="R920" s="1" t="str">
        <f ca="1">VLOOKUP(D920,Routes!$A$2:$D$31,3,FALSE)</f>
        <v>Ahmedabad</v>
      </c>
      <c r="S920" s="3">
        <f ca="1">VLOOKUP(D920,Routes!$A$2:$D$31,4,FALSE)</f>
        <v>530</v>
      </c>
      <c r="T920" s="3" t="str">
        <f ca="1">VLOOKUP(E920,Vehicles!$A$2:$D$21,2,FALSE)</f>
        <v>Truck</v>
      </c>
      <c r="U920" s="3">
        <f ca="1">VLOOKUP(E920,Vehicles!$A$2:$D$21,3,FALSE)</f>
        <v>20</v>
      </c>
      <c r="V920" s="3" t="str">
        <f ca="1">VLOOKUP(E920,Vehicles!$A$2:$D$21,4,FALSE)</f>
        <v>CNG</v>
      </c>
      <c r="W920" s="3">
        <f ca="1">VLOOKUP(V920,Fuel_Rates!$A$2:$B$3,2,FALSE)</f>
        <v>78</v>
      </c>
      <c r="X920" s="3">
        <f t="shared" ca="1" si="250"/>
        <v>52.42</v>
      </c>
      <c r="Y920" s="3">
        <f t="shared" ca="1" si="251"/>
        <v>36571</v>
      </c>
      <c r="Z920" s="3" t="str">
        <f t="shared" ca="1" si="252"/>
        <v>Jun</v>
      </c>
      <c r="AA920" s="3" t="str">
        <f t="shared" ca="1" si="253"/>
        <v>Q2</v>
      </c>
      <c r="AB920" s="4" t="str">
        <f t="shared" ca="1" si="254"/>
        <v>Medium Haul</v>
      </c>
    </row>
    <row r="921" spans="1:28" x14ac:dyDescent="0.3">
      <c r="A921" s="8" t="str">
        <f t="shared" si="249"/>
        <v>S0920</v>
      </c>
      <c r="B921" s="3">
        <f t="shared" ca="1" si="238"/>
        <v>45936</v>
      </c>
      <c r="C921" s="3" t="str">
        <f ca="1">INDEX(Customers!$A$2:$A$21,RANDBETWEEN(1,20))</f>
        <v>C004</v>
      </c>
      <c r="D921" s="3" t="str">
        <f ca="1">INDEX(Routes!$A$2:$A$31,RANDBETWEEN(1,30))</f>
        <v>R009</v>
      </c>
      <c r="E921" s="3" t="str">
        <f ca="1">INDEX(Vehicles!$A$2:$A$21,RANDBETWEEN(1,20))</f>
        <v>V009</v>
      </c>
      <c r="F921" s="3" t="str">
        <f ca="1">INDEX(Drivers!$A$2:$A$31,RANDBETWEEN(1,30))</f>
        <v>D017</v>
      </c>
      <c r="G921" s="3">
        <f t="shared" ca="1" si="239"/>
        <v>16.899999999999999</v>
      </c>
      <c r="H921" s="3">
        <f t="shared" ca="1" si="240"/>
        <v>41514</v>
      </c>
      <c r="I921" s="3">
        <f t="shared" ca="1" si="241"/>
        <v>11624</v>
      </c>
      <c r="J921" s="3">
        <f t="shared" ca="1" si="242"/>
        <v>1266</v>
      </c>
      <c r="K921" s="3">
        <f t="shared" ca="1" si="243"/>
        <v>29</v>
      </c>
      <c r="L921" s="3">
        <f t="shared" ca="1" si="244"/>
        <v>37</v>
      </c>
      <c r="M921" s="3">
        <f t="shared" ca="1" si="245"/>
        <v>8</v>
      </c>
      <c r="N921" s="3" t="str">
        <f t="shared" ca="1" si="246"/>
        <v>Delayed</v>
      </c>
      <c r="O921" s="3" t="str">
        <f t="shared" ca="1" si="247"/>
        <v>High</v>
      </c>
      <c r="P921" s="3">
        <f t="shared" ca="1" si="248"/>
        <v>56.3</v>
      </c>
      <c r="Q921" s="1" t="str">
        <f ca="1">VLOOKUP(D921,Routes!$A$2:$D$31,2,FALSE)</f>
        <v>Bengaluru</v>
      </c>
      <c r="R921" s="1" t="str">
        <f ca="1">VLOOKUP(D921,Routes!$A$2:$D$31,3,FALSE)</f>
        <v>Chennai</v>
      </c>
      <c r="S921" s="3">
        <f ca="1">VLOOKUP(D921,Routes!$A$2:$D$31,4,FALSE)</f>
        <v>350</v>
      </c>
      <c r="T921" s="3" t="str">
        <f ca="1">VLOOKUP(E921,Vehicles!$A$2:$D$21,2,FALSE)</f>
        <v>LCV</v>
      </c>
      <c r="U921" s="3">
        <f ca="1">VLOOKUP(E921,Vehicles!$A$2:$D$21,3,FALSE)</f>
        <v>5</v>
      </c>
      <c r="V921" s="3" t="str">
        <f ca="1">VLOOKUP(E921,Vehicles!$A$2:$D$21,4,FALSE)</f>
        <v>Diesel</v>
      </c>
      <c r="W921" s="3">
        <f ca="1">VLOOKUP(V921,Fuel_Rates!$A$2:$B$3,2,FALSE)</f>
        <v>95</v>
      </c>
      <c r="X921" s="3">
        <f t="shared" ca="1" si="250"/>
        <v>118.61</v>
      </c>
      <c r="Y921" s="3">
        <f t="shared" ca="1" si="251"/>
        <v>54404</v>
      </c>
      <c r="Z921" s="3" t="str">
        <f t="shared" ca="1" si="252"/>
        <v>Oct</v>
      </c>
      <c r="AA921" s="3" t="str">
        <f t="shared" ca="1" si="253"/>
        <v>Q4</v>
      </c>
      <c r="AB921" s="4" t="str">
        <f t="shared" ca="1" si="254"/>
        <v>Medium Haul</v>
      </c>
    </row>
    <row r="922" spans="1:28" x14ac:dyDescent="0.3">
      <c r="A922" s="8" t="str">
        <f t="shared" si="249"/>
        <v>S0921</v>
      </c>
      <c r="B922" s="3">
        <f t="shared" ca="1" si="238"/>
        <v>45993</v>
      </c>
      <c r="C922" s="3" t="str">
        <f ca="1">INDEX(Customers!$A$2:$A$21,RANDBETWEEN(1,20))</f>
        <v>C014</v>
      </c>
      <c r="D922" s="3" t="str">
        <f ca="1">INDEX(Routes!$A$2:$A$31,RANDBETWEEN(1,30))</f>
        <v>R018</v>
      </c>
      <c r="E922" s="3" t="str">
        <f ca="1">INDEX(Vehicles!$A$2:$A$21,RANDBETWEEN(1,20))</f>
        <v>V017</v>
      </c>
      <c r="F922" s="3" t="str">
        <f ca="1">INDEX(Drivers!$A$2:$A$31,RANDBETWEEN(1,30))</f>
        <v>D011</v>
      </c>
      <c r="G922" s="3">
        <f t="shared" ca="1" si="239"/>
        <v>22.9</v>
      </c>
      <c r="H922" s="3">
        <f t="shared" ca="1" si="240"/>
        <v>48278</v>
      </c>
      <c r="I922" s="3">
        <f t="shared" ca="1" si="241"/>
        <v>13518</v>
      </c>
      <c r="J922" s="3">
        <f t="shared" ca="1" si="242"/>
        <v>1120</v>
      </c>
      <c r="K922" s="3">
        <f t="shared" ca="1" si="243"/>
        <v>28</v>
      </c>
      <c r="L922" s="3">
        <f t="shared" ca="1" si="244"/>
        <v>36</v>
      </c>
      <c r="M922" s="3">
        <f t="shared" ca="1" si="245"/>
        <v>8</v>
      </c>
      <c r="N922" s="3" t="str">
        <f t="shared" ca="1" si="246"/>
        <v>Delayed</v>
      </c>
      <c r="O922" s="3" t="str">
        <f t="shared" ca="1" si="247"/>
        <v>Medium</v>
      </c>
      <c r="P922" s="3">
        <f t="shared" ca="1" si="248"/>
        <v>76.3</v>
      </c>
      <c r="Q922" s="1" t="str">
        <f ca="1">VLOOKUP(D922,Routes!$A$2:$D$31,2,FALSE)</f>
        <v>Ahmedabad</v>
      </c>
      <c r="R922" s="1" t="str">
        <f ca="1">VLOOKUP(D922,Routes!$A$2:$D$31,3,FALSE)</f>
        <v>Jaipur</v>
      </c>
      <c r="S922" s="3">
        <f ca="1">VLOOKUP(D922,Routes!$A$2:$D$31,4,FALSE)</f>
        <v>670</v>
      </c>
      <c r="T922" s="3" t="str">
        <f ca="1">VLOOKUP(E922,Vehicles!$A$2:$D$21,2,FALSE)</f>
        <v>Truck</v>
      </c>
      <c r="U922" s="3">
        <f ca="1">VLOOKUP(E922,Vehicles!$A$2:$D$21,3,FALSE)</f>
        <v>24</v>
      </c>
      <c r="V922" s="3" t="str">
        <f ca="1">VLOOKUP(E922,Vehicles!$A$2:$D$21,4,FALSE)</f>
        <v>Diesel</v>
      </c>
      <c r="W922" s="3">
        <f ca="1">VLOOKUP(V922,Fuel_Rates!$A$2:$B$3,2,FALSE)</f>
        <v>95</v>
      </c>
      <c r="X922" s="3">
        <f t="shared" ca="1" si="250"/>
        <v>72.06</v>
      </c>
      <c r="Y922" s="3">
        <f t="shared" ca="1" si="251"/>
        <v>62916</v>
      </c>
      <c r="Z922" s="3" t="str">
        <f t="shared" ca="1" si="252"/>
        <v>Dec</v>
      </c>
      <c r="AA922" s="3" t="str">
        <f t="shared" ca="1" si="253"/>
        <v>Q4</v>
      </c>
      <c r="AB922" s="4" t="str">
        <f t="shared" ca="1" si="254"/>
        <v>Medium Haul</v>
      </c>
    </row>
    <row r="923" spans="1:28" x14ac:dyDescent="0.3">
      <c r="A923" s="8" t="str">
        <f t="shared" si="249"/>
        <v>S0922</v>
      </c>
      <c r="B923" s="3">
        <f t="shared" ca="1" si="238"/>
        <v>45757</v>
      </c>
      <c r="C923" s="3" t="str">
        <f ca="1">INDEX(Customers!$A$2:$A$21,RANDBETWEEN(1,20))</f>
        <v>C016</v>
      </c>
      <c r="D923" s="3" t="str">
        <f ca="1">INDEX(Routes!$A$2:$A$31,RANDBETWEEN(1,30))</f>
        <v>R020</v>
      </c>
      <c r="E923" s="3" t="str">
        <f ca="1">INDEX(Vehicles!$A$2:$A$21,RANDBETWEEN(1,20))</f>
        <v>V002</v>
      </c>
      <c r="F923" s="3" t="str">
        <f ca="1">INDEX(Drivers!$A$2:$A$31,RANDBETWEEN(1,30))</f>
        <v>D005</v>
      </c>
      <c r="G923" s="3">
        <f t="shared" ca="1" si="239"/>
        <v>19.8</v>
      </c>
      <c r="H923" s="3">
        <f t="shared" ca="1" si="240"/>
        <v>40469</v>
      </c>
      <c r="I923" s="3">
        <f t="shared" ca="1" si="241"/>
        <v>11331</v>
      </c>
      <c r="J923" s="3">
        <f t="shared" ca="1" si="242"/>
        <v>747</v>
      </c>
      <c r="K923" s="3">
        <f t="shared" ca="1" si="243"/>
        <v>47</v>
      </c>
      <c r="L923" s="3">
        <f t="shared" ca="1" si="244"/>
        <v>49</v>
      </c>
      <c r="M923" s="3">
        <f t="shared" ca="1" si="245"/>
        <v>2</v>
      </c>
      <c r="N923" s="3" t="str">
        <f t="shared" ca="1" si="246"/>
        <v>On Time</v>
      </c>
      <c r="O923" s="3" t="str">
        <f t="shared" ca="1" si="247"/>
        <v>Medium</v>
      </c>
      <c r="P923" s="3">
        <f t="shared" ca="1" si="248"/>
        <v>66</v>
      </c>
      <c r="Q923" s="1" t="str">
        <f ca="1">VLOOKUP(D923,Routes!$A$2:$D$31,2,FALSE)</f>
        <v>Pune</v>
      </c>
      <c r="R923" s="1" t="str">
        <f ca="1">VLOOKUP(D923,Routes!$A$2:$D$31,3,FALSE)</f>
        <v>Nagpur</v>
      </c>
      <c r="S923" s="3">
        <f ca="1">VLOOKUP(D923,Routes!$A$2:$D$31,4,FALSE)</f>
        <v>720</v>
      </c>
      <c r="T923" s="3" t="str">
        <f ca="1">VLOOKUP(E923,Vehicles!$A$2:$D$21,2,FALSE)</f>
        <v>Truck</v>
      </c>
      <c r="U923" s="3">
        <f ca="1">VLOOKUP(E923,Vehicles!$A$2:$D$21,3,FALSE)</f>
        <v>20</v>
      </c>
      <c r="V923" s="3" t="str">
        <f ca="1">VLOOKUP(E923,Vehicles!$A$2:$D$21,4,FALSE)</f>
        <v>Diesel</v>
      </c>
      <c r="W923" s="3">
        <f ca="1">VLOOKUP(V923,Fuel_Rates!$A$2:$B$3,2,FALSE)</f>
        <v>95</v>
      </c>
      <c r="X923" s="3">
        <f t="shared" ca="1" si="250"/>
        <v>56.21</v>
      </c>
      <c r="Y923" s="3">
        <f t="shared" ca="1" si="251"/>
        <v>52547</v>
      </c>
      <c r="Z923" s="3" t="str">
        <f t="shared" ca="1" si="252"/>
        <v>Apr</v>
      </c>
      <c r="AA923" s="3" t="str">
        <f t="shared" ca="1" si="253"/>
        <v>Q2</v>
      </c>
      <c r="AB923" s="4" t="str">
        <f t="shared" ca="1" si="254"/>
        <v>Medium Haul</v>
      </c>
    </row>
    <row r="924" spans="1:28" x14ac:dyDescent="0.3">
      <c r="A924" s="8" t="str">
        <f t="shared" si="249"/>
        <v>S0923</v>
      </c>
      <c r="B924" s="3">
        <f t="shared" ca="1" si="238"/>
        <v>45995</v>
      </c>
      <c r="C924" s="3" t="str">
        <f ca="1">INDEX(Customers!$A$2:$A$21,RANDBETWEEN(1,20))</f>
        <v>C014</v>
      </c>
      <c r="D924" s="3" t="str">
        <f ca="1">INDEX(Routes!$A$2:$A$31,RANDBETWEEN(1,30))</f>
        <v>R009</v>
      </c>
      <c r="E924" s="3" t="str">
        <f ca="1">INDEX(Vehicles!$A$2:$A$21,RANDBETWEEN(1,20))</f>
        <v>V001</v>
      </c>
      <c r="F924" s="3" t="str">
        <f ca="1">INDEX(Drivers!$A$2:$A$31,RANDBETWEEN(1,30))</f>
        <v>D021</v>
      </c>
      <c r="G924" s="3">
        <f t="shared" ca="1" si="239"/>
        <v>7.5</v>
      </c>
      <c r="H924" s="3">
        <f t="shared" ca="1" si="240"/>
        <v>17927</v>
      </c>
      <c r="I924" s="3">
        <f t="shared" ca="1" si="241"/>
        <v>5020</v>
      </c>
      <c r="J924" s="3">
        <f t="shared" ca="1" si="242"/>
        <v>2744</v>
      </c>
      <c r="K924" s="3">
        <f t="shared" ca="1" si="243"/>
        <v>26</v>
      </c>
      <c r="L924" s="3">
        <f t="shared" ca="1" si="244"/>
        <v>27</v>
      </c>
      <c r="M924" s="3">
        <f t="shared" ca="1" si="245"/>
        <v>1</v>
      </c>
      <c r="N924" s="3" t="str">
        <f t="shared" ca="1" si="246"/>
        <v>On Time</v>
      </c>
      <c r="O924" s="3" t="str">
        <f t="shared" ca="1" si="247"/>
        <v>Medium</v>
      </c>
      <c r="P924" s="3">
        <f t="shared" ca="1" si="248"/>
        <v>25</v>
      </c>
      <c r="Q924" s="1" t="str">
        <f ca="1">VLOOKUP(D924,Routes!$A$2:$D$31,2,FALSE)</f>
        <v>Bengaluru</v>
      </c>
      <c r="R924" s="1" t="str">
        <f ca="1">VLOOKUP(D924,Routes!$A$2:$D$31,3,FALSE)</f>
        <v>Chennai</v>
      </c>
      <c r="S924" s="3">
        <f ca="1">VLOOKUP(D924,Routes!$A$2:$D$31,4,FALSE)</f>
        <v>350</v>
      </c>
      <c r="T924" s="3" t="str">
        <f ca="1">VLOOKUP(E924,Vehicles!$A$2:$D$21,2,FALSE)</f>
        <v>Truck</v>
      </c>
      <c r="U924" s="3">
        <f ca="1">VLOOKUP(E924,Vehicles!$A$2:$D$21,3,FALSE)</f>
        <v>16</v>
      </c>
      <c r="V924" s="3" t="str">
        <f ca="1">VLOOKUP(E924,Vehicles!$A$2:$D$21,4,FALSE)</f>
        <v>Diesel</v>
      </c>
      <c r="W924" s="3">
        <f ca="1">VLOOKUP(V924,Fuel_Rates!$A$2:$B$3,2,FALSE)</f>
        <v>95</v>
      </c>
      <c r="X924" s="3">
        <f t="shared" ca="1" si="250"/>
        <v>51.22</v>
      </c>
      <c r="Y924" s="3">
        <f t="shared" ca="1" si="251"/>
        <v>25691</v>
      </c>
      <c r="Z924" s="3" t="str">
        <f t="shared" ca="1" si="252"/>
        <v>Dec</v>
      </c>
      <c r="AA924" s="3" t="str">
        <f t="shared" ca="1" si="253"/>
        <v>Q4</v>
      </c>
      <c r="AB924" s="4" t="str">
        <f t="shared" ca="1" si="254"/>
        <v>Medium Haul</v>
      </c>
    </row>
    <row r="925" spans="1:28" x14ac:dyDescent="0.3">
      <c r="A925" s="8" t="str">
        <f t="shared" si="249"/>
        <v>S0924</v>
      </c>
      <c r="B925" s="3">
        <f t="shared" ca="1" si="238"/>
        <v>45671</v>
      </c>
      <c r="C925" s="3" t="str">
        <f ca="1">INDEX(Customers!$A$2:$A$21,RANDBETWEEN(1,20))</f>
        <v>C008</v>
      </c>
      <c r="D925" s="3" t="str">
        <f ca="1">INDEX(Routes!$A$2:$A$31,RANDBETWEEN(1,30))</f>
        <v>R023</v>
      </c>
      <c r="E925" s="3" t="str">
        <f ca="1">INDEX(Vehicles!$A$2:$A$21,RANDBETWEEN(1,20))</f>
        <v>V018</v>
      </c>
      <c r="F925" s="3" t="str">
        <f ca="1">INDEX(Drivers!$A$2:$A$31,RANDBETWEEN(1,30))</f>
        <v>D023</v>
      </c>
      <c r="G925" s="3">
        <f t="shared" ca="1" si="239"/>
        <v>28.2</v>
      </c>
      <c r="H925" s="3">
        <f t="shared" ca="1" si="240"/>
        <v>60013</v>
      </c>
      <c r="I925" s="3">
        <f t="shared" ca="1" si="241"/>
        <v>16804</v>
      </c>
      <c r="J925" s="3">
        <f t="shared" ca="1" si="242"/>
        <v>2481</v>
      </c>
      <c r="K925" s="3">
        <f t="shared" ca="1" si="243"/>
        <v>33</v>
      </c>
      <c r="L925" s="3">
        <f t="shared" ca="1" si="244"/>
        <v>34</v>
      </c>
      <c r="M925" s="3">
        <f t="shared" ca="1" si="245"/>
        <v>1</v>
      </c>
      <c r="N925" s="3" t="str">
        <f t="shared" ca="1" si="246"/>
        <v>On Time</v>
      </c>
      <c r="O925" s="3" t="str">
        <f t="shared" ca="1" si="247"/>
        <v>Low</v>
      </c>
      <c r="P925" s="3">
        <f t="shared" ca="1" si="248"/>
        <v>94</v>
      </c>
      <c r="Q925" s="1" t="str">
        <f ca="1">VLOOKUP(D925,Routes!$A$2:$D$31,2,FALSE)</f>
        <v>Kochi</v>
      </c>
      <c r="R925" s="1" t="str">
        <f ca="1">VLOOKUP(D925,Routes!$A$2:$D$31,3,FALSE)</f>
        <v>Bengaluru</v>
      </c>
      <c r="S925" s="3">
        <f ca="1">VLOOKUP(D925,Routes!$A$2:$D$31,4,FALSE)</f>
        <v>550</v>
      </c>
      <c r="T925" s="3" t="str">
        <f ca="1">VLOOKUP(E925,Vehicles!$A$2:$D$21,2,FALSE)</f>
        <v>Truck</v>
      </c>
      <c r="U925" s="3">
        <f ca="1">VLOOKUP(E925,Vehicles!$A$2:$D$21,3,FALSE)</f>
        <v>26</v>
      </c>
      <c r="V925" s="3" t="str">
        <f ca="1">VLOOKUP(E925,Vehicles!$A$2:$D$21,4,FALSE)</f>
        <v>Diesel</v>
      </c>
      <c r="W925" s="3">
        <f ca="1">VLOOKUP(V925,Fuel_Rates!$A$2:$B$3,2,FALSE)</f>
        <v>95</v>
      </c>
      <c r="X925" s="3">
        <f t="shared" ca="1" si="250"/>
        <v>109.11</v>
      </c>
      <c r="Y925" s="3">
        <f t="shared" ca="1" si="251"/>
        <v>79298</v>
      </c>
      <c r="Z925" s="3" t="str">
        <f t="shared" ca="1" si="252"/>
        <v>Jan</v>
      </c>
      <c r="AA925" s="3" t="str">
        <f t="shared" ca="1" si="253"/>
        <v>Q1</v>
      </c>
      <c r="AB925" s="4" t="str">
        <f t="shared" ca="1" si="254"/>
        <v>Medium Haul</v>
      </c>
    </row>
    <row r="926" spans="1:28" x14ac:dyDescent="0.3">
      <c r="A926" s="8" t="str">
        <f t="shared" si="249"/>
        <v>S0925</v>
      </c>
      <c r="B926" s="3">
        <f t="shared" ca="1" si="238"/>
        <v>45708</v>
      </c>
      <c r="C926" s="3" t="str">
        <f ca="1">INDEX(Customers!$A$2:$A$21,RANDBETWEEN(1,20))</f>
        <v>C008</v>
      </c>
      <c r="D926" s="3" t="str">
        <f ca="1">INDEX(Routes!$A$2:$A$31,RANDBETWEEN(1,30))</f>
        <v>R009</v>
      </c>
      <c r="E926" s="3" t="str">
        <f ca="1">INDEX(Vehicles!$A$2:$A$21,RANDBETWEEN(1,20))</f>
        <v>V020</v>
      </c>
      <c r="F926" s="3" t="str">
        <f ca="1">INDEX(Drivers!$A$2:$A$31,RANDBETWEEN(1,30))</f>
        <v>D028</v>
      </c>
      <c r="G926" s="3">
        <f t="shared" ca="1" si="239"/>
        <v>4.0999999999999996</v>
      </c>
      <c r="H926" s="3">
        <f t="shared" ca="1" si="240"/>
        <v>15800</v>
      </c>
      <c r="I926" s="3">
        <f t="shared" ca="1" si="241"/>
        <v>4424</v>
      </c>
      <c r="J926" s="3">
        <f t="shared" ca="1" si="242"/>
        <v>3482</v>
      </c>
      <c r="K926" s="3">
        <f t="shared" ca="1" si="243"/>
        <v>19</v>
      </c>
      <c r="L926" s="3">
        <f t="shared" ca="1" si="244"/>
        <v>22</v>
      </c>
      <c r="M926" s="3">
        <f t="shared" ca="1" si="245"/>
        <v>3</v>
      </c>
      <c r="N926" s="3" t="str">
        <f t="shared" ca="1" si="246"/>
        <v>Delayed</v>
      </c>
      <c r="O926" s="3" t="str">
        <f t="shared" ca="1" si="247"/>
        <v>Medium</v>
      </c>
      <c r="P926" s="3">
        <f t="shared" ca="1" si="248"/>
        <v>13.7</v>
      </c>
      <c r="Q926" s="1" t="str">
        <f ca="1">VLOOKUP(D926,Routes!$A$2:$D$31,2,FALSE)</f>
        <v>Bengaluru</v>
      </c>
      <c r="R926" s="1" t="str">
        <f ca="1">VLOOKUP(D926,Routes!$A$2:$D$31,3,FALSE)</f>
        <v>Chennai</v>
      </c>
      <c r="S926" s="3">
        <f ca="1">VLOOKUP(D926,Routes!$A$2:$D$31,4,FALSE)</f>
        <v>350</v>
      </c>
      <c r="T926" s="3" t="str">
        <f ca="1">VLOOKUP(E926,Vehicles!$A$2:$D$21,2,FALSE)</f>
        <v>Container</v>
      </c>
      <c r="U926" s="3">
        <f ca="1">VLOOKUP(E926,Vehicles!$A$2:$D$21,3,FALSE)</f>
        <v>28</v>
      </c>
      <c r="V926" s="3" t="str">
        <f ca="1">VLOOKUP(E926,Vehicles!$A$2:$D$21,4,FALSE)</f>
        <v>Diesel</v>
      </c>
      <c r="W926" s="3">
        <f ca="1">VLOOKUP(V926,Fuel_Rates!$A$2:$B$3,2,FALSE)</f>
        <v>95</v>
      </c>
      <c r="X926" s="3">
        <f t="shared" ca="1" si="250"/>
        <v>45.14</v>
      </c>
      <c r="Y926" s="3">
        <f t="shared" ca="1" si="251"/>
        <v>23706</v>
      </c>
      <c r="Z926" s="3" t="str">
        <f t="shared" ca="1" si="252"/>
        <v>Feb</v>
      </c>
      <c r="AA926" s="3" t="str">
        <f t="shared" ca="1" si="253"/>
        <v>Q1</v>
      </c>
      <c r="AB926" s="4" t="str">
        <f t="shared" ca="1" si="254"/>
        <v>Medium Haul</v>
      </c>
    </row>
    <row r="927" spans="1:28" x14ac:dyDescent="0.3">
      <c r="A927" s="8" t="str">
        <f t="shared" si="249"/>
        <v>S0926</v>
      </c>
      <c r="B927" s="3">
        <f t="shared" ca="1" si="238"/>
        <v>45717</v>
      </c>
      <c r="C927" s="3" t="str">
        <f ca="1">INDEX(Customers!$A$2:$A$21,RANDBETWEEN(1,20))</f>
        <v>C008</v>
      </c>
      <c r="D927" s="3" t="str">
        <f ca="1">INDEX(Routes!$A$2:$A$31,RANDBETWEEN(1,30))</f>
        <v>R019</v>
      </c>
      <c r="E927" s="3" t="str">
        <f ca="1">INDEX(Vehicles!$A$2:$A$21,RANDBETWEEN(1,20))</f>
        <v>V003</v>
      </c>
      <c r="F927" s="3" t="str">
        <f ca="1">INDEX(Drivers!$A$2:$A$31,RANDBETWEEN(1,30))</f>
        <v>D021</v>
      </c>
      <c r="G927" s="3">
        <f t="shared" ca="1" si="239"/>
        <v>21.3</v>
      </c>
      <c r="H927" s="3">
        <f t="shared" ca="1" si="240"/>
        <v>48912</v>
      </c>
      <c r="I927" s="3">
        <f t="shared" ca="1" si="241"/>
        <v>13695</v>
      </c>
      <c r="J927" s="3">
        <f t="shared" ca="1" si="242"/>
        <v>1773</v>
      </c>
      <c r="K927" s="3">
        <f t="shared" ca="1" si="243"/>
        <v>7</v>
      </c>
      <c r="L927" s="3">
        <f t="shared" ca="1" si="244"/>
        <v>11</v>
      </c>
      <c r="M927" s="3">
        <f t="shared" ca="1" si="245"/>
        <v>4</v>
      </c>
      <c r="N927" s="3" t="str">
        <f t="shared" ca="1" si="246"/>
        <v>Delayed</v>
      </c>
      <c r="O927" s="3" t="str">
        <f t="shared" ca="1" si="247"/>
        <v>High</v>
      </c>
      <c r="P927" s="3">
        <f t="shared" ca="1" si="248"/>
        <v>71</v>
      </c>
      <c r="Q927" s="1" t="str">
        <f ca="1">VLOOKUP(D927,Routes!$A$2:$D$31,2,FALSE)</f>
        <v>Ahmedabad</v>
      </c>
      <c r="R927" s="1" t="str">
        <f ca="1">VLOOKUP(D927,Routes!$A$2:$D$31,3,FALSE)</f>
        <v>Indore</v>
      </c>
      <c r="S927" s="3">
        <f ca="1">VLOOKUP(D927,Routes!$A$2:$D$31,4,FALSE)</f>
        <v>390</v>
      </c>
      <c r="T927" s="3" t="str">
        <f ca="1">VLOOKUP(E927,Vehicles!$A$2:$D$21,2,FALSE)</f>
        <v>Truck</v>
      </c>
      <c r="U927" s="3">
        <f ca="1">VLOOKUP(E927,Vehicles!$A$2:$D$21,3,FALSE)</f>
        <v>25</v>
      </c>
      <c r="V927" s="3" t="str">
        <f ca="1">VLOOKUP(E927,Vehicles!$A$2:$D$21,4,FALSE)</f>
        <v>Diesel</v>
      </c>
      <c r="W927" s="3">
        <f ca="1">VLOOKUP(V927,Fuel_Rates!$A$2:$B$3,2,FALSE)</f>
        <v>95</v>
      </c>
      <c r="X927" s="3">
        <f t="shared" ca="1" si="250"/>
        <v>125.42</v>
      </c>
      <c r="Y927" s="3">
        <f t="shared" ca="1" si="251"/>
        <v>64380</v>
      </c>
      <c r="Z927" s="3" t="str">
        <f t="shared" ca="1" si="252"/>
        <v>Mar</v>
      </c>
      <c r="AA927" s="3" t="str">
        <f t="shared" ca="1" si="253"/>
        <v>Q1</v>
      </c>
      <c r="AB927" s="4" t="str">
        <f t="shared" ca="1" si="254"/>
        <v>Medium Haul</v>
      </c>
    </row>
    <row r="928" spans="1:28" x14ac:dyDescent="0.3">
      <c r="A928" s="8" t="str">
        <f t="shared" si="249"/>
        <v>S0927</v>
      </c>
      <c r="B928" s="3">
        <f t="shared" ca="1" si="238"/>
        <v>45850</v>
      </c>
      <c r="C928" s="3" t="str">
        <f ca="1">INDEX(Customers!$A$2:$A$21,RANDBETWEEN(1,20))</f>
        <v>C018</v>
      </c>
      <c r="D928" s="3" t="str">
        <f ca="1">INDEX(Routes!$A$2:$A$31,RANDBETWEEN(1,30))</f>
        <v>R002</v>
      </c>
      <c r="E928" s="3" t="str">
        <f ca="1">INDEX(Vehicles!$A$2:$A$21,RANDBETWEEN(1,20))</f>
        <v>V001</v>
      </c>
      <c r="F928" s="3" t="str">
        <f ca="1">INDEX(Drivers!$A$2:$A$31,RANDBETWEEN(1,30))</f>
        <v>D028</v>
      </c>
      <c r="G928" s="3">
        <f t="shared" ca="1" si="239"/>
        <v>2.6</v>
      </c>
      <c r="H928" s="3">
        <f t="shared" ca="1" si="240"/>
        <v>9513</v>
      </c>
      <c r="I928" s="3">
        <f t="shared" ca="1" si="241"/>
        <v>2664</v>
      </c>
      <c r="J928" s="3">
        <f t="shared" ca="1" si="242"/>
        <v>611</v>
      </c>
      <c r="K928" s="3">
        <f t="shared" ca="1" si="243"/>
        <v>23</v>
      </c>
      <c r="L928" s="3">
        <f t="shared" ca="1" si="244"/>
        <v>28</v>
      </c>
      <c r="M928" s="3">
        <f t="shared" ca="1" si="245"/>
        <v>5</v>
      </c>
      <c r="N928" s="3" t="str">
        <f t="shared" ca="1" si="246"/>
        <v>Delayed</v>
      </c>
      <c r="O928" s="3" t="str">
        <f t="shared" ca="1" si="247"/>
        <v>Medium</v>
      </c>
      <c r="P928" s="3">
        <f t="shared" ca="1" si="248"/>
        <v>8.6999999999999993</v>
      </c>
      <c r="Q928" s="1" t="str">
        <f ca="1">VLOOKUP(D928,Routes!$A$2:$D$31,2,FALSE)</f>
        <v>Mumbai</v>
      </c>
      <c r="R928" s="1" t="str">
        <f ca="1">VLOOKUP(D928,Routes!$A$2:$D$31,3,FALSE)</f>
        <v>Ahmedabad</v>
      </c>
      <c r="S928" s="3">
        <f ca="1">VLOOKUP(D928,Routes!$A$2:$D$31,4,FALSE)</f>
        <v>530</v>
      </c>
      <c r="T928" s="3" t="str">
        <f ca="1">VLOOKUP(E928,Vehicles!$A$2:$D$21,2,FALSE)</f>
        <v>Truck</v>
      </c>
      <c r="U928" s="3">
        <f ca="1">VLOOKUP(E928,Vehicles!$A$2:$D$21,3,FALSE)</f>
        <v>16</v>
      </c>
      <c r="V928" s="3" t="str">
        <f ca="1">VLOOKUP(E928,Vehicles!$A$2:$D$21,4,FALSE)</f>
        <v>Diesel</v>
      </c>
      <c r="W928" s="3">
        <f ca="1">VLOOKUP(V928,Fuel_Rates!$A$2:$B$3,2,FALSE)</f>
        <v>95</v>
      </c>
      <c r="X928" s="3">
        <f t="shared" ca="1" si="250"/>
        <v>17.95</v>
      </c>
      <c r="Y928" s="3">
        <f t="shared" ca="1" si="251"/>
        <v>12788</v>
      </c>
      <c r="Z928" s="3" t="str">
        <f t="shared" ca="1" si="252"/>
        <v>Jul</v>
      </c>
      <c r="AA928" s="3" t="str">
        <f t="shared" ca="1" si="253"/>
        <v>Q3</v>
      </c>
      <c r="AB928" s="4" t="str">
        <f t="shared" ca="1" si="254"/>
        <v>Medium Haul</v>
      </c>
    </row>
    <row r="929" spans="1:28" x14ac:dyDescent="0.3">
      <c r="A929" s="8" t="str">
        <f t="shared" si="249"/>
        <v>S0928</v>
      </c>
      <c r="B929" s="3">
        <f t="shared" ca="1" si="238"/>
        <v>46016</v>
      </c>
      <c r="C929" s="3" t="str">
        <f ca="1">INDEX(Customers!$A$2:$A$21,RANDBETWEEN(1,20))</f>
        <v>C003</v>
      </c>
      <c r="D929" s="3" t="str">
        <f ca="1">INDEX(Routes!$A$2:$A$31,RANDBETWEEN(1,30))</f>
        <v>R023</v>
      </c>
      <c r="E929" s="3" t="str">
        <f ca="1">INDEX(Vehicles!$A$2:$A$21,RANDBETWEEN(1,20))</f>
        <v>V007</v>
      </c>
      <c r="F929" s="3" t="str">
        <f ca="1">INDEX(Drivers!$A$2:$A$31,RANDBETWEEN(1,30))</f>
        <v>D026</v>
      </c>
      <c r="G929" s="3">
        <f t="shared" ca="1" si="239"/>
        <v>27.3</v>
      </c>
      <c r="H929" s="3">
        <f t="shared" ca="1" si="240"/>
        <v>59611</v>
      </c>
      <c r="I929" s="3">
        <f t="shared" ca="1" si="241"/>
        <v>16691</v>
      </c>
      <c r="J929" s="3">
        <f t="shared" ca="1" si="242"/>
        <v>520</v>
      </c>
      <c r="K929" s="3">
        <f t="shared" ca="1" si="243"/>
        <v>44</v>
      </c>
      <c r="L929" s="3">
        <f t="shared" ca="1" si="244"/>
        <v>52</v>
      </c>
      <c r="M929" s="3">
        <f t="shared" ca="1" si="245"/>
        <v>8</v>
      </c>
      <c r="N929" s="3" t="str">
        <f t="shared" ca="1" si="246"/>
        <v>Delayed</v>
      </c>
      <c r="O929" s="3" t="str">
        <f t="shared" ca="1" si="247"/>
        <v>Medium</v>
      </c>
      <c r="P929" s="3">
        <f t="shared" ca="1" si="248"/>
        <v>91</v>
      </c>
      <c r="Q929" s="1" t="str">
        <f ca="1">VLOOKUP(D929,Routes!$A$2:$D$31,2,FALSE)</f>
        <v>Kochi</v>
      </c>
      <c r="R929" s="1" t="str">
        <f ca="1">VLOOKUP(D929,Routes!$A$2:$D$31,3,FALSE)</f>
        <v>Bengaluru</v>
      </c>
      <c r="S929" s="3">
        <f ca="1">VLOOKUP(D929,Routes!$A$2:$D$31,4,FALSE)</f>
        <v>550</v>
      </c>
      <c r="T929" s="3" t="str">
        <f ca="1">VLOOKUP(E929,Vehicles!$A$2:$D$21,2,FALSE)</f>
        <v>Container</v>
      </c>
      <c r="U929" s="3">
        <f ca="1">VLOOKUP(E929,Vehicles!$A$2:$D$21,3,FALSE)</f>
        <v>20</v>
      </c>
      <c r="V929" s="3" t="str">
        <f ca="1">VLOOKUP(E929,Vehicles!$A$2:$D$21,4,FALSE)</f>
        <v>Diesel</v>
      </c>
      <c r="W929" s="3">
        <f ca="1">VLOOKUP(V929,Fuel_Rates!$A$2:$B$3,2,FALSE)</f>
        <v>95</v>
      </c>
      <c r="X929" s="3">
        <f t="shared" ca="1" si="250"/>
        <v>108.38</v>
      </c>
      <c r="Y929" s="3">
        <f t="shared" ca="1" si="251"/>
        <v>76822</v>
      </c>
      <c r="Z929" s="3" t="str">
        <f t="shared" ca="1" si="252"/>
        <v>Dec</v>
      </c>
      <c r="AA929" s="3" t="str">
        <f t="shared" ca="1" si="253"/>
        <v>Q4</v>
      </c>
      <c r="AB929" s="4" t="str">
        <f t="shared" ca="1" si="254"/>
        <v>Medium Haul</v>
      </c>
    </row>
    <row r="930" spans="1:28" x14ac:dyDescent="0.3">
      <c r="A930" s="8" t="str">
        <f t="shared" si="249"/>
        <v>S0929</v>
      </c>
      <c r="B930" s="3">
        <f t="shared" ca="1" si="238"/>
        <v>45753</v>
      </c>
      <c r="C930" s="3" t="str">
        <f ca="1">INDEX(Customers!$A$2:$A$21,RANDBETWEEN(1,20))</f>
        <v>C014</v>
      </c>
      <c r="D930" s="3" t="str">
        <f ca="1">INDEX(Routes!$A$2:$A$31,RANDBETWEEN(1,30))</f>
        <v>R010</v>
      </c>
      <c r="E930" s="3" t="str">
        <f ca="1">INDEX(Vehicles!$A$2:$A$21,RANDBETWEEN(1,20))</f>
        <v>V019</v>
      </c>
      <c r="F930" s="3" t="str">
        <f ca="1">INDEX(Drivers!$A$2:$A$31,RANDBETWEEN(1,30))</f>
        <v>D001</v>
      </c>
      <c r="G930" s="3">
        <f t="shared" ca="1" si="239"/>
        <v>28.8</v>
      </c>
      <c r="H930" s="3">
        <f t="shared" ca="1" si="240"/>
        <v>56180</v>
      </c>
      <c r="I930" s="3">
        <f t="shared" ca="1" si="241"/>
        <v>15730</v>
      </c>
      <c r="J930" s="3">
        <f t="shared" ca="1" si="242"/>
        <v>1760</v>
      </c>
      <c r="K930" s="3">
        <f t="shared" ca="1" si="243"/>
        <v>34</v>
      </c>
      <c r="L930" s="3">
        <f t="shared" ca="1" si="244"/>
        <v>39</v>
      </c>
      <c r="M930" s="3">
        <f t="shared" ca="1" si="245"/>
        <v>5</v>
      </c>
      <c r="N930" s="3" t="str">
        <f t="shared" ca="1" si="246"/>
        <v>Delayed</v>
      </c>
      <c r="O930" s="3" t="str">
        <f t="shared" ca="1" si="247"/>
        <v>High</v>
      </c>
      <c r="P930" s="3">
        <f t="shared" ca="1" si="248"/>
        <v>96</v>
      </c>
      <c r="Q930" s="1" t="str">
        <f ca="1">VLOOKUP(D930,Routes!$A$2:$D$31,2,FALSE)</f>
        <v>Bengaluru</v>
      </c>
      <c r="R930" s="1" t="str">
        <f ca="1">VLOOKUP(D930,Routes!$A$2:$D$31,3,FALSE)</f>
        <v>Hyderabad</v>
      </c>
      <c r="S930" s="3">
        <f ca="1">VLOOKUP(D930,Routes!$A$2:$D$31,4,FALSE)</f>
        <v>570</v>
      </c>
      <c r="T930" s="3" t="str">
        <f ca="1">VLOOKUP(E930,Vehicles!$A$2:$D$21,2,FALSE)</f>
        <v>Trailer</v>
      </c>
      <c r="U930" s="3">
        <f ca="1">VLOOKUP(E930,Vehicles!$A$2:$D$21,3,FALSE)</f>
        <v>35</v>
      </c>
      <c r="V930" s="3" t="str">
        <f ca="1">VLOOKUP(E930,Vehicles!$A$2:$D$21,4,FALSE)</f>
        <v>Diesel</v>
      </c>
      <c r="W930" s="3">
        <f ca="1">VLOOKUP(V930,Fuel_Rates!$A$2:$B$3,2,FALSE)</f>
        <v>95</v>
      </c>
      <c r="X930" s="3">
        <f t="shared" ca="1" si="250"/>
        <v>98.56</v>
      </c>
      <c r="Y930" s="3">
        <f t="shared" ca="1" si="251"/>
        <v>73670</v>
      </c>
      <c r="Z930" s="3" t="str">
        <f t="shared" ca="1" si="252"/>
        <v>Apr</v>
      </c>
      <c r="AA930" s="3" t="str">
        <f t="shared" ca="1" si="253"/>
        <v>Q2</v>
      </c>
      <c r="AB930" s="4" t="str">
        <f t="shared" ca="1" si="254"/>
        <v>Medium Haul</v>
      </c>
    </row>
    <row r="931" spans="1:28" x14ac:dyDescent="0.3">
      <c r="A931" s="8" t="str">
        <f t="shared" si="249"/>
        <v>S0930</v>
      </c>
      <c r="B931" s="3">
        <f t="shared" ca="1" si="238"/>
        <v>45901</v>
      </c>
      <c r="C931" s="3" t="str">
        <f ca="1">INDEX(Customers!$A$2:$A$21,RANDBETWEEN(1,20))</f>
        <v>C006</v>
      </c>
      <c r="D931" s="3" t="str">
        <f ca="1">INDEX(Routes!$A$2:$A$31,RANDBETWEEN(1,30))</f>
        <v>R006</v>
      </c>
      <c r="E931" s="3" t="str">
        <f ca="1">INDEX(Vehicles!$A$2:$A$21,RANDBETWEEN(1,20))</f>
        <v>V002</v>
      </c>
      <c r="F931" s="3" t="str">
        <f ca="1">INDEX(Drivers!$A$2:$A$31,RANDBETWEEN(1,30))</f>
        <v>D023</v>
      </c>
      <c r="G931" s="3">
        <f t="shared" ca="1" si="239"/>
        <v>24.6</v>
      </c>
      <c r="H931" s="3">
        <f t="shared" ca="1" si="240"/>
        <v>55127</v>
      </c>
      <c r="I931" s="3">
        <f t="shared" ca="1" si="241"/>
        <v>15436</v>
      </c>
      <c r="J931" s="3">
        <f t="shared" ca="1" si="242"/>
        <v>1197</v>
      </c>
      <c r="K931" s="3">
        <f t="shared" ca="1" si="243"/>
        <v>6</v>
      </c>
      <c r="L931" s="3">
        <f t="shared" ca="1" si="244"/>
        <v>10</v>
      </c>
      <c r="M931" s="3">
        <f t="shared" ca="1" si="245"/>
        <v>4</v>
      </c>
      <c r="N931" s="3" t="str">
        <f t="shared" ca="1" si="246"/>
        <v>Delayed</v>
      </c>
      <c r="O931" s="3" t="str">
        <f t="shared" ca="1" si="247"/>
        <v>Medium</v>
      </c>
      <c r="P931" s="3">
        <f t="shared" ca="1" si="248"/>
        <v>82</v>
      </c>
      <c r="Q931" s="1" t="str">
        <f ca="1">VLOOKUP(D931,Routes!$A$2:$D$31,2,FALSE)</f>
        <v>Delhi</v>
      </c>
      <c r="R931" s="1" t="str">
        <f ca="1">VLOOKUP(D931,Routes!$A$2:$D$31,3,FALSE)</f>
        <v>Lucknow</v>
      </c>
      <c r="S931" s="3">
        <f ca="1">VLOOKUP(D931,Routes!$A$2:$D$31,4,FALSE)</f>
        <v>550</v>
      </c>
      <c r="T931" s="3" t="str">
        <f ca="1">VLOOKUP(E931,Vehicles!$A$2:$D$21,2,FALSE)</f>
        <v>Truck</v>
      </c>
      <c r="U931" s="3">
        <f ca="1">VLOOKUP(E931,Vehicles!$A$2:$D$21,3,FALSE)</f>
        <v>20</v>
      </c>
      <c r="V931" s="3" t="str">
        <f ca="1">VLOOKUP(E931,Vehicles!$A$2:$D$21,4,FALSE)</f>
        <v>Diesel</v>
      </c>
      <c r="W931" s="3">
        <f ca="1">VLOOKUP(V931,Fuel_Rates!$A$2:$B$3,2,FALSE)</f>
        <v>95</v>
      </c>
      <c r="X931" s="3">
        <f t="shared" ca="1" si="250"/>
        <v>100.23</v>
      </c>
      <c r="Y931" s="3">
        <f t="shared" ca="1" si="251"/>
        <v>71760</v>
      </c>
      <c r="Z931" s="3" t="str">
        <f t="shared" ca="1" si="252"/>
        <v>Sep</v>
      </c>
      <c r="AA931" s="3" t="str">
        <f t="shared" ca="1" si="253"/>
        <v>Q3</v>
      </c>
      <c r="AB931" s="4" t="str">
        <f t="shared" ca="1" si="254"/>
        <v>Medium Haul</v>
      </c>
    </row>
    <row r="932" spans="1:28" x14ac:dyDescent="0.3">
      <c r="A932" s="8" t="str">
        <f t="shared" si="249"/>
        <v>S0931</v>
      </c>
      <c r="B932" s="3">
        <f t="shared" ca="1" si="238"/>
        <v>45662</v>
      </c>
      <c r="C932" s="3" t="str">
        <f ca="1">INDEX(Customers!$A$2:$A$21,RANDBETWEEN(1,20))</f>
        <v>C003</v>
      </c>
      <c r="D932" s="3" t="str">
        <f ca="1">INDEX(Routes!$A$2:$A$31,RANDBETWEEN(1,30))</f>
        <v>R018</v>
      </c>
      <c r="E932" s="3" t="str">
        <f ca="1">INDEX(Vehicles!$A$2:$A$21,RANDBETWEEN(1,20))</f>
        <v>V010</v>
      </c>
      <c r="F932" s="3" t="str">
        <f ca="1">INDEX(Drivers!$A$2:$A$31,RANDBETWEEN(1,30))</f>
        <v>D026</v>
      </c>
      <c r="G932" s="3">
        <f t="shared" ca="1" si="239"/>
        <v>10.3</v>
      </c>
      <c r="H932" s="3">
        <f t="shared" ca="1" si="240"/>
        <v>25451</v>
      </c>
      <c r="I932" s="3">
        <f t="shared" ca="1" si="241"/>
        <v>7126</v>
      </c>
      <c r="J932" s="3">
        <f t="shared" ca="1" si="242"/>
        <v>564</v>
      </c>
      <c r="K932" s="3">
        <f t="shared" ca="1" si="243"/>
        <v>44</v>
      </c>
      <c r="L932" s="3">
        <f t="shared" ca="1" si="244"/>
        <v>51</v>
      </c>
      <c r="M932" s="3">
        <f t="shared" ca="1" si="245"/>
        <v>7</v>
      </c>
      <c r="N932" s="3" t="str">
        <f t="shared" ca="1" si="246"/>
        <v>Delayed</v>
      </c>
      <c r="O932" s="3" t="str">
        <f t="shared" ca="1" si="247"/>
        <v>Low</v>
      </c>
      <c r="P932" s="3">
        <f t="shared" ca="1" si="248"/>
        <v>34.299999999999997</v>
      </c>
      <c r="Q932" s="1" t="str">
        <f ca="1">VLOOKUP(D932,Routes!$A$2:$D$31,2,FALSE)</f>
        <v>Ahmedabad</v>
      </c>
      <c r="R932" s="1" t="str">
        <f ca="1">VLOOKUP(D932,Routes!$A$2:$D$31,3,FALSE)</f>
        <v>Jaipur</v>
      </c>
      <c r="S932" s="3">
        <f ca="1">VLOOKUP(D932,Routes!$A$2:$D$31,4,FALSE)</f>
        <v>670</v>
      </c>
      <c r="T932" s="3" t="str">
        <f ca="1">VLOOKUP(E932,Vehicles!$A$2:$D$21,2,FALSE)</f>
        <v>LCV</v>
      </c>
      <c r="U932" s="3">
        <f ca="1">VLOOKUP(E932,Vehicles!$A$2:$D$21,3,FALSE)</f>
        <v>7</v>
      </c>
      <c r="V932" s="3" t="str">
        <f ca="1">VLOOKUP(E932,Vehicles!$A$2:$D$21,4,FALSE)</f>
        <v>Diesel</v>
      </c>
      <c r="W932" s="3">
        <f ca="1">VLOOKUP(V932,Fuel_Rates!$A$2:$B$3,2,FALSE)</f>
        <v>95</v>
      </c>
      <c r="X932" s="3">
        <f t="shared" ca="1" si="250"/>
        <v>37.99</v>
      </c>
      <c r="Y932" s="3">
        <f t="shared" ca="1" si="251"/>
        <v>33141</v>
      </c>
      <c r="Z932" s="3" t="str">
        <f t="shared" ca="1" si="252"/>
        <v>Jan</v>
      </c>
      <c r="AA932" s="3" t="str">
        <f t="shared" ca="1" si="253"/>
        <v>Q1</v>
      </c>
      <c r="AB932" s="4" t="str">
        <f t="shared" ca="1" si="254"/>
        <v>Medium Haul</v>
      </c>
    </row>
    <row r="933" spans="1:28" x14ac:dyDescent="0.3">
      <c r="A933" s="8" t="str">
        <f t="shared" si="249"/>
        <v>S0932</v>
      </c>
      <c r="B933" s="3">
        <f t="shared" ca="1" si="238"/>
        <v>45792</v>
      </c>
      <c r="C933" s="3" t="str">
        <f ca="1">INDEX(Customers!$A$2:$A$21,RANDBETWEEN(1,20))</f>
        <v>C004</v>
      </c>
      <c r="D933" s="3" t="str">
        <f ca="1">INDEX(Routes!$A$2:$A$31,RANDBETWEEN(1,30))</f>
        <v>R014</v>
      </c>
      <c r="E933" s="3" t="str">
        <f ca="1">INDEX(Vehicles!$A$2:$A$21,RANDBETWEEN(1,20))</f>
        <v>V004</v>
      </c>
      <c r="F933" s="3" t="str">
        <f ca="1">INDEX(Drivers!$A$2:$A$31,RANDBETWEEN(1,30))</f>
        <v>D004</v>
      </c>
      <c r="G933" s="3">
        <f t="shared" ca="1" si="239"/>
        <v>28.3</v>
      </c>
      <c r="H933" s="3">
        <f t="shared" ca="1" si="240"/>
        <v>59234</v>
      </c>
      <c r="I933" s="3">
        <f t="shared" ca="1" si="241"/>
        <v>16586</v>
      </c>
      <c r="J933" s="3">
        <f t="shared" ca="1" si="242"/>
        <v>959</v>
      </c>
      <c r="K933" s="3">
        <f t="shared" ca="1" si="243"/>
        <v>44</v>
      </c>
      <c r="L933" s="3">
        <f t="shared" ca="1" si="244"/>
        <v>45</v>
      </c>
      <c r="M933" s="3">
        <f t="shared" ca="1" si="245"/>
        <v>1</v>
      </c>
      <c r="N933" s="3" t="str">
        <f t="shared" ca="1" si="246"/>
        <v>On Time</v>
      </c>
      <c r="O933" s="3" t="str">
        <f t="shared" ca="1" si="247"/>
        <v>Medium</v>
      </c>
      <c r="P933" s="3">
        <f t="shared" ca="1" si="248"/>
        <v>94.3</v>
      </c>
      <c r="Q933" s="1" t="str">
        <f ca="1">VLOOKUP(D933,Routes!$A$2:$D$31,2,FALSE)</f>
        <v>Hyderabad</v>
      </c>
      <c r="R933" s="1" t="str">
        <f ca="1">VLOOKUP(D933,Routes!$A$2:$D$31,3,FALSE)</f>
        <v>Nagpur</v>
      </c>
      <c r="S933" s="3">
        <f ca="1">VLOOKUP(D933,Routes!$A$2:$D$31,4,FALSE)</f>
        <v>500</v>
      </c>
      <c r="T933" s="3" t="str">
        <f ca="1">VLOOKUP(E933,Vehicles!$A$2:$D$21,2,FALSE)</f>
        <v>Trailer</v>
      </c>
      <c r="U933" s="3">
        <f ca="1">VLOOKUP(E933,Vehicles!$A$2:$D$21,3,FALSE)</f>
        <v>28</v>
      </c>
      <c r="V933" s="3" t="str">
        <f ca="1">VLOOKUP(E933,Vehicles!$A$2:$D$21,4,FALSE)</f>
        <v>Diesel</v>
      </c>
      <c r="W933" s="3">
        <f ca="1">VLOOKUP(V933,Fuel_Rates!$A$2:$B$3,2,FALSE)</f>
        <v>95</v>
      </c>
      <c r="X933" s="3">
        <f t="shared" ca="1" si="250"/>
        <v>118.47</v>
      </c>
      <c r="Y933" s="3">
        <f t="shared" ca="1" si="251"/>
        <v>76779</v>
      </c>
      <c r="Z933" s="3" t="str">
        <f t="shared" ca="1" si="252"/>
        <v>May</v>
      </c>
      <c r="AA933" s="3" t="str">
        <f t="shared" ca="1" si="253"/>
        <v>Q2</v>
      </c>
      <c r="AB933" s="4" t="str">
        <f t="shared" ca="1" si="254"/>
        <v>Medium Haul</v>
      </c>
    </row>
    <row r="934" spans="1:28" x14ac:dyDescent="0.3">
      <c r="A934" s="8" t="str">
        <f t="shared" si="249"/>
        <v>S0933</v>
      </c>
      <c r="B934" s="3">
        <f t="shared" ca="1" si="238"/>
        <v>45817</v>
      </c>
      <c r="C934" s="3" t="str">
        <f ca="1">INDEX(Customers!$A$2:$A$21,RANDBETWEEN(1,20))</f>
        <v>C009</v>
      </c>
      <c r="D934" s="3" t="str">
        <f ca="1">INDEX(Routes!$A$2:$A$31,RANDBETWEEN(1,30))</f>
        <v>R012</v>
      </c>
      <c r="E934" s="3" t="str">
        <f ca="1">INDEX(Vehicles!$A$2:$A$21,RANDBETWEEN(1,20))</f>
        <v>V009</v>
      </c>
      <c r="F934" s="3" t="str">
        <f ca="1">INDEX(Drivers!$A$2:$A$31,RANDBETWEEN(1,30))</f>
        <v>D006</v>
      </c>
      <c r="G934" s="3">
        <f t="shared" ca="1" si="239"/>
        <v>21.1</v>
      </c>
      <c r="H934" s="3">
        <f t="shared" ca="1" si="240"/>
        <v>41928</v>
      </c>
      <c r="I934" s="3">
        <f t="shared" ca="1" si="241"/>
        <v>11740</v>
      </c>
      <c r="J934" s="3">
        <f t="shared" ca="1" si="242"/>
        <v>3710</v>
      </c>
      <c r="K934" s="3">
        <f t="shared" ca="1" si="243"/>
        <v>33</v>
      </c>
      <c r="L934" s="3">
        <f t="shared" ca="1" si="244"/>
        <v>36</v>
      </c>
      <c r="M934" s="3">
        <f t="shared" ca="1" si="245"/>
        <v>3</v>
      </c>
      <c r="N934" s="3" t="str">
        <f t="shared" ca="1" si="246"/>
        <v>Delayed</v>
      </c>
      <c r="O934" s="3" t="str">
        <f t="shared" ca="1" si="247"/>
        <v>High</v>
      </c>
      <c r="P934" s="3">
        <f t="shared" ca="1" si="248"/>
        <v>70.3</v>
      </c>
      <c r="Q934" s="1" t="str">
        <f ca="1">VLOOKUP(D934,Routes!$A$2:$D$31,2,FALSE)</f>
        <v>Chennai</v>
      </c>
      <c r="R934" s="1" t="str">
        <f ca="1">VLOOKUP(D934,Routes!$A$2:$D$31,3,FALSE)</f>
        <v>Coimbatore</v>
      </c>
      <c r="S934" s="3">
        <f ca="1">VLOOKUP(D934,Routes!$A$2:$D$31,4,FALSE)</f>
        <v>500</v>
      </c>
      <c r="T934" s="3" t="str">
        <f ca="1">VLOOKUP(E934,Vehicles!$A$2:$D$21,2,FALSE)</f>
        <v>LCV</v>
      </c>
      <c r="U934" s="3">
        <f ca="1">VLOOKUP(E934,Vehicles!$A$2:$D$21,3,FALSE)</f>
        <v>5</v>
      </c>
      <c r="V934" s="3" t="str">
        <f ca="1">VLOOKUP(E934,Vehicles!$A$2:$D$21,4,FALSE)</f>
        <v>Diesel</v>
      </c>
      <c r="W934" s="3">
        <f ca="1">VLOOKUP(V934,Fuel_Rates!$A$2:$B$3,2,FALSE)</f>
        <v>95</v>
      </c>
      <c r="X934" s="3">
        <f t="shared" ca="1" si="250"/>
        <v>83.86</v>
      </c>
      <c r="Y934" s="3">
        <f t="shared" ca="1" si="251"/>
        <v>57378</v>
      </c>
      <c r="Z934" s="3" t="str">
        <f t="shared" ca="1" si="252"/>
        <v>Jun</v>
      </c>
      <c r="AA934" s="3" t="str">
        <f t="shared" ca="1" si="253"/>
        <v>Q2</v>
      </c>
      <c r="AB934" s="4" t="str">
        <f t="shared" ca="1" si="254"/>
        <v>Medium Haul</v>
      </c>
    </row>
    <row r="935" spans="1:28" x14ac:dyDescent="0.3">
      <c r="A935" s="8" t="str">
        <f t="shared" si="249"/>
        <v>S0934</v>
      </c>
      <c r="B935" s="3">
        <f t="shared" ca="1" si="238"/>
        <v>45803</v>
      </c>
      <c r="C935" s="3" t="str">
        <f ca="1">INDEX(Customers!$A$2:$A$21,RANDBETWEEN(1,20))</f>
        <v>C019</v>
      </c>
      <c r="D935" s="3" t="str">
        <f ca="1">INDEX(Routes!$A$2:$A$31,RANDBETWEEN(1,30))</f>
        <v>R013</v>
      </c>
      <c r="E935" s="3" t="str">
        <f ca="1">INDEX(Vehicles!$A$2:$A$21,RANDBETWEEN(1,20))</f>
        <v>V002</v>
      </c>
      <c r="F935" s="3" t="str">
        <f ca="1">INDEX(Drivers!$A$2:$A$31,RANDBETWEEN(1,30))</f>
        <v>D016</v>
      </c>
      <c r="G935" s="3">
        <f t="shared" ca="1" si="239"/>
        <v>2.9</v>
      </c>
      <c r="H935" s="3">
        <f t="shared" ca="1" si="240"/>
        <v>14358</v>
      </c>
      <c r="I935" s="3">
        <f t="shared" ca="1" si="241"/>
        <v>4020</v>
      </c>
      <c r="J935" s="3">
        <f t="shared" ca="1" si="242"/>
        <v>2458</v>
      </c>
      <c r="K935" s="3">
        <f t="shared" ca="1" si="243"/>
        <v>43</v>
      </c>
      <c r="L935" s="3">
        <f t="shared" ca="1" si="244"/>
        <v>47</v>
      </c>
      <c r="M935" s="3">
        <f t="shared" ca="1" si="245"/>
        <v>4</v>
      </c>
      <c r="N935" s="3" t="str">
        <f t="shared" ca="1" si="246"/>
        <v>Delayed</v>
      </c>
      <c r="O935" s="3" t="str">
        <f t="shared" ca="1" si="247"/>
        <v>Low</v>
      </c>
      <c r="P935" s="3">
        <f t="shared" ca="1" si="248"/>
        <v>9.6999999999999993</v>
      </c>
      <c r="Q935" s="1" t="str">
        <f ca="1">VLOOKUP(D935,Routes!$A$2:$D$31,2,FALSE)</f>
        <v>Chennai</v>
      </c>
      <c r="R935" s="1" t="str">
        <f ca="1">VLOOKUP(D935,Routes!$A$2:$D$31,3,FALSE)</f>
        <v>Hyderabad</v>
      </c>
      <c r="S935" s="3">
        <f ca="1">VLOOKUP(D935,Routes!$A$2:$D$31,4,FALSE)</f>
        <v>630</v>
      </c>
      <c r="T935" s="3" t="str">
        <f ca="1">VLOOKUP(E935,Vehicles!$A$2:$D$21,2,FALSE)</f>
        <v>Truck</v>
      </c>
      <c r="U935" s="3">
        <f ca="1">VLOOKUP(E935,Vehicles!$A$2:$D$21,3,FALSE)</f>
        <v>20</v>
      </c>
      <c r="V935" s="3" t="str">
        <f ca="1">VLOOKUP(E935,Vehicles!$A$2:$D$21,4,FALSE)</f>
        <v>Diesel</v>
      </c>
      <c r="W935" s="3">
        <f ca="1">VLOOKUP(V935,Fuel_Rates!$A$2:$B$3,2,FALSE)</f>
        <v>95</v>
      </c>
      <c r="X935" s="3">
        <f t="shared" ca="1" si="250"/>
        <v>22.79</v>
      </c>
      <c r="Y935" s="3">
        <f t="shared" ca="1" si="251"/>
        <v>20836</v>
      </c>
      <c r="Z935" s="3" t="str">
        <f t="shared" ca="1" si="252"/>
        <v>May</v>
      </c>
      <c r="AA935" s="3" t="str">
        <f t="shared" ca="1" si="253"/>
        <v>Q2</v>
      </c>
      <c r="AB935" s="4" t="str">
        <f t="shared" ca="1" si="254"/>
        <v>Medium Haul</v>
      </c>
    </row>
    <row r="936" spans="1:28" x14ac:dyDescent="0.3">
      <c r="A936" s="8" t="str">
        <f t="shared" si="249"/>
        <v>S0935</v>
      </c>
      <c r="B936" s="3">
        <f t="shared" ca="1" si="238"/>
        <v>45903</v>
      </c>
      <c r="C936" s="3" t="str">
        <f ca="1">INDEX(Customers!$A$2:$A$21,RANDBETWEEN(1,20))</f>
        <v>C014</v>
      </c>
      <c r="D936" s="3" t="str">
        <f ca="1">INDEX(Routes!$A$2:$A$31,RANDBETWEEN(1,30))</f>
        <v>R026</v>
      </c>
      <c r="E936" s="3" t="str">
        <f ca="1">INDEX(Vehicles!$A$2:$A$21,RANDBETWEEN(1,20))</f>
        <v>V020</v>
      </c>
      <c r="F936" s="3" t="str">
        <f ca="1">INDEX(Drivers!$A$2:$A$31,RANDBETWEEN(1,30))</f>
        <v>D030</v>
      </c>
      <c r="G936" s="3">
        <f t="shared" ca="1" si="239"/>
        <v>9.6</v>
      </c>
      <c r="H936" s="3">
        <f t="shared" ca="1" si="240"/>
        <v>21768</v>
      </c>
      <c r="I936" s="3">
        <f t="shared" ca="1" si="241"/>
        <v>6095</v>
      </c>
      <c r="J936" s="3">
        <f t="shared" ca="1" si="242"/>
        <v>2136</v>
      </c>
      <c r="K936" s="3">
        <f t="shared" ca="1" si="243"/>
        <v>45</v>
      </c>
      <c r="L936" s="3">
        <f t="shared" ca="1" si="244"/>
        <v>48</v>
      </c>
      <c r="M936" s="3">
        <f t="shared" ca="1" si="245"/>
        <v>3</v>
      </c>
      <c r="N936" s="3" t="str">
        <f t="shared" ca="1" si="246"/>
        <v>Delayed</v>
      </c>
      <c r="O936" s="3" t="str">
        <f t="shared" ca="1" si="247"/>
        <v>Low</v>
      </c>
      <c r="P936" s="3">
        <f t="shared" ca="1" si="248"/>
        <v>32</v>
      </c>
      <c r="Q936" s="1" t="str">
        <f ca="1">VLOOKUP(D936,Routes!$A$2:$D$31,2,FALSE)</f>
        <v>Nagpur</v>
      </c>
      <c r="R936" s="1" t="str">
        <f ca="1">VLOOKUP(D936,Routes!$A$2:$D$31,3,FALSE)</f>
        <v>Bhopal</v>
      </c>
      <c r="S936" s="3">
        <f ca="1">VLOOKUP(D936,Routes!$A$2:$D$31,4,FALSE)</f>
        <v>350</v>
      </c>
      <c r="T936" s="3" t="str">
        <f ca="1">VLOOKUP(E936,Vehicles!$A$2:$D$21,2,FALSE)</f>
        <v>Container</v>
      </c>
      <c r="U936" s="3">
        <f ca="1">VLOOKUP(E936,Vehicles!$A$2:$D$21,3,FALSE)</f>
        <v>28</v>
      </c>
      <c r="V936" s="3" t="str">
        <f ca="1">VLOOKUP(E936,Vehicles!$A$2:$D$21,4,FALSE)</f>
        <v>Diesel</v>
      </c>
      <c r="W936" s="3">
        <f ca="1">VLOOKUP(V936,Fuel_Rates!$A$2:$B$3,2,FALSE)</f>
        <v>95</v>
      </c>
      <c r="X936" s="3">
        <f t="shared" ca="1" si="250"/>
        <v>62.19</v>
      </c>
      <c r="Y936" s="3">
        <f t="shared" ca="1" si="251"/>
        <v>29999</v>
      </c>
      <c r="Z936" s="3" t="str">
        <f t="shared" ca="1" si="252"/>
        <v>Sep</v>
      </c>
      <c r="AA936" s="3" t="str">
        <f t="shared" ca="1" si="253"/>
        <v>Q3</v>
      </c>
      <c r="AB936" s="4" t="str">
        <f t="shared" ca="1" si="254"/>
        <v>Medium Haul</v>
      </c>
    </row>
    <row r="937" spans="1:28" x14ac:dyDescent="0.3">
      <c r="A937" s="8" t="str">
        <f t="shared" si="249"/>
        <v>S0936</v>
      </c>
      <c r="B937" s="3">
        <f t="shared" ca="1" si="238"/>
        <v>45919</v>
      </c>
      <c r="C937" s="3" t="str">
        <f ca="1">INDEX(Customers!$A$2:$A$21,RANDBETWEEN(1,20))</f>
        <v>C008</v>
      </c>
      <c r="D937" s="3" t="str">
        <f ca="1">INDEX(Routes!$A$2:$A$31,RANDBETWEEN(1,30))</f>
        <v>R029</v>
      </c>
      <c r="E937" s="3" t="str">
        <f ca="1">INDEX(Vehicles!$A$2:$A$21,RANDBETWEEN(1,20))</f>
        <v>V017</v>
      </c>
      <c r="F937" s="3" t="str">
        <f ca="1">INDEX(Drivers!$A$2:$A$31,RANDBETWEEN(1,30))</f>
        <v>D018</v>
      </c>
      <c r="G937" s="3">
        <f t="shared" ca="1" si="239"/>
        <v>13.4</v>
      </c>
      <c r="H937" s="3">
        <f t="shared" ca="1" si="240"/>
        <v>38556</v>
      </c>
      <c r="I937" s="3">
        <f t="shared" ca="1" si="241"/>
        <v>10796</v>
      </c>
      <c r="J937" s="3">
        <f t="shared" ca="1" si="242"/>
        <v>1337</v>
      </c>
      <c r="K937" s="3">
        <f t="shared" ca="1" si="243"/>
        <v>33</v>
      </c>
      <c r="L937" s="3">
        <f t="shared" ca="1" si="244"/>
        <v>40</v>
      </c>
      <c r="M937" s="3">
        <f t="shared" ca="1" si="245"/>
        <v>7</v>
      </c>
      <c r="N937" s="3" t="str">
        <f t="shared" ca="1" si="246"/>
        <v>Delayed</v>
      </c>
      <c r="O937" s="3" t="str">
        <f t="shared" ca="1" si="247"/>
        <v>Medium</v>
      </c>
      <c r="P937" s="3">
        <f t="shared" ca="1" si="248"/>
        <v>44.7</v>
      </c>
      <c r="Q937" s="1" t="str">
        <f ca="1">VLOOKUP(D937,Routes!$A$2:$D$31,2,FALSE)</f>
        <v>Chandigarh</v>
      </c>
      <c r="R937" s="1" t="str">
        <f ca="1">VLOOKUP(D937,Routes!$A$2:$D$31,3,FALSE)</f>
        <v>Delhi</v>
      </c>
      <c r="S937" s="3">
        <f ca="1">VLOOKUP(D937,Routes!$A$2:$D$31,4,FALSE)</f>
        <v>250</v>
      </c>
      <c r="T937" s="3" t="str">
        <f ca="1">VLOOKUP(E937,Vehicles!$A$2:$D$21,2,FALSE)</f>
        <v>Truck</v>
      </c>
      <c r="U937" s="3">
        <f ca="1">VLOOKUP(E937,Vehicles!$A$2:$D$21,3,FALSE)</f>
        <v>24</v>
      </c>
      <c r="V937" s="3" t="str">
        <f ca="1">VLOOKUP(E937,Vehicles!$A$2:$D$21,4,FALSE)</f>
        <v>Diesel</v>
      </c>
      <c r="W937" s="3">
        <f ca="1">VLOOKUP(V937,Fuel_Rates!$A$2:$B$3,2,FALSE)</f>
        <v>95</v>
      </c>
      <c r="X937" s="3">
        <f t="shared" ca="1" si="250"/>
        <v>154.22</v>
      </c>
      <c r="Y937" s="3">
        <f t="shared" ca="1" si="251"/>
        <v>50689</v>
      </c>
      <c r="Z937" s="3" t="str">
        <f t="shared" ca="1" si="252"/>
        <v>Sep</v>
      </c>
      <c r="AA937" s="3" t="str">
        <f t="shared" ca="1" si="253"/>
        <v>Q3</v>
      </c>
      <c r="AB937" s="4" t="str">
        <f t="shared" ca="1" si="254"/>
        <v>Short Haul</v>
      </c>
    </row>
    <row r="938" spans="1:28" x14ac:dyDescent="0.3">
      <c r="A938" s="8" t="str">
        <f t="shared" si="249"/>
        <v>S0937</v>
      </c>
      <c r="B938" s="3">
        <f t="shared" ca="1" si="238"/>
        <v>45759</v>
      </c>
      <c r="C938" s="3" t="str">
        <f ca="1">INDEX(Customers!$A$2:$A$21,RANDBETWEEN(1,20))</f>
        <v>C004</v>
      </c>
      <c r="D938" s="3" t="str">
        <f ca="1">INDEX(Routes!$A$2:$A$31,RANDBETWEEN(1,30))</f>
        <v>R016</v>
      </c>
      <c r="E938" s="3" t="str">
        <f ca="1">INDEX(Vehicles!$A$2:$A$21,RANDBETWEEN(1,20))</f>
        <v>V008</v>
      </c>
      <c r="F938" s="3" t="str">
        <f ca="1">INDEX(Drivers!$A$2:$A$31,RANDBETWEEN(1,30))</f>
        <v>D022</v>
      </c>
      <c r="G938" s="3">
        <f t="shared" ca="1" si="239"/>
        <v>17.2</v>
      </c>
      <c r="H938" s="3">
        <f t="shared" ca="1" si="240"/>
        <v>40748</v>
      </c>
      <c r="I938" s="3">
        <f t="shared" ca="1" si="241"/>
        <v>11409</v>
      </c>
      <c r="J938" s="3">
        <f t="shared" ca="1" si="242"/>
        <v>3840</v>
      </c>
      <c r="K938" s="3">
        <f t="shared" ca="1" si="243"/>
        <v>23</v>
      </c>
      <c r="L938" s="3">
        <f t="shared" ca="1" si="244"/>
        <v>26</v>
      </c>
      <c r="M938" s="3">
        <f t="shared" ca="1" si="245"/>
        <v>3</v>
      </c>
      <c r="N938" s="3" t="str">
        <f t="shared" ca="1" si="246"/>
        <v>Delayed</v>
      </c>
      <c r="O938" s="3" t="str">
        <f t="shared" ca="1" si="247"/>
        <v>Medium</v>
      </c>
      <c r="P938" s="3">
        <f t="shared" ca="1" si="248"/>
        <v>57.3</v>
      </c>
      <c r="Q938" s="1" t="str">
        <f ca="1">VLOOKUP(D938,Routes!$A$2:$D$31,2,FALSE)</f>
        <v>Kolkata</v>
      </c>
      <c r="R938" s="1" t="str">
        <f ca="1">VLOOKUP(D938,Routes!$A$2:$D$31,3,FALSE)</f>
        <v>Bhubaneswar</v>
      </c>
      <c r="S938" s="3">
        <f ca="1">VLOOKUP(D938,Routes!$A$2:$D$31,4,FALSE)</f>
        <v>440</v>
      </c>
      <c r="T938" s="3" t="str">
        <f ca="1">VLOOKUP(E938,Vehicles!$A$2:$D$21,2,FALSE)</f>
        <v>Container</v>
      </c>
      <c r="U938" s="3">
        <f ca="1">VLOOKUP(E938,Vehicles!$A$2:$D$21,3,FALSE)</f>
        <v>25</v>
      </c>
      <c r="V938" s="3" t="str">
        <f ca="1">VLOOKUP(E938,Vehicles!$A$2:$D$21,4,FALSE)</f>
        <v>Diesel</v>
      </c>
      <c r="W938" s="3">
        <f ca="1">VLOOKUP(V938,Fuel_Rates!$A$2:$B$3,2,FALSE)</f>
        <v>95</v>
      </c>
      <c r="X938" s="3">
        <f t="shared" ca="1" si="250"/>
        <v>92.61</v>
      </c>
      <c r="Y938" s="3">
        <f t="shared" ca="1" si="251"/>
        <v>55997</v>
      </c>
      <c r="Z938" s="3" t="str">
        <f t="shared" ca="1" si="252"/>
        <v>Apr</v>
      </c>
      <c r="AA938" s="3" t="str">
        <f t="shared" ca="1" si="253"/>
        <v>Q2</v>
      </c>
      <c r="AB938" s="4" t="str">
        <f t="shared" ca="1" si="254"/>
        <v>Medium Haul</v>
      </c>
    </row>
    <row r="939" spans="1:28" x14ac:dyDescent="0.3">
      <c r="A939" s="8" t="str">
        <f t="shared" si="249"/>
        <v>S0938</v>
      </c>
      <c r="B939" s="3">
        <f t="shared" ca="1" si="238"/>
        <v>45907</v>
      </c>
      <c r="C939" s="3" t="str">
        <f ca="1">INDEX(Customers!$A$2:$A$21,RANDBETWEEN(1,20))</f>
        <v>C006</v>
      </c>
      <c r="D939" s="3" t="str">
        <f ca="1">INDEX(Routes!$A$2:$A$31,RANDBETWEEN(1,30))</f>
        <v>R022</v>
      </c>
      <c r="E939" s="3" t="str">
        <f ca="1">INDEX(Vehicles!$A$2:$A$21,RANDBETWEEN(1,20))</f>
        <v>V007</v>
      </c>
      <c r="F939" s="3" t="str">
        <f ca="1">INDEX(Drivers!$A$2:$A$31,RANDBETWEEN(1,30))</f>
        <v>D006</v>
      </c>
      <c r="G939" s="3">
        <f t="shared" ca="1" si="239"/>
        <v>29.4</v>
      </c>
      <c r="H939" s="3">
        <f t="shared" ca="1" si="240"/>
        <v>64992</v>
      </c>
      <c r="I939" s="3">
        <f t="shared" ca="1" si="241"/>
        <v>18198</v>
      </c>
      <c r="J939" s="3">
        <f t="shared" ca="1" si="242"/>
        <v>3136</v>
      </c>
      <c r="K939" s="3">
        <f t="shared" ca="1" si="243"/>
        <v>12</v>
      </c>
      <c r="L939" s="3">
        <f t="shared" ca="1" si="244"/>
        <v>18</v>
      </c>
      <c r="M939" s="3">
        <f t="shared" ca="1" si="245"/>
        <v>6</v>
      </c>
      <c r="N939" s="3" t="str">
        <f t="shared" ca="1" si="246"/>
        <v>Delayed</v>
      </c>
      <c r="O939" s="3" t="str">
        <f t="shared" ca="1" si="247"/>
        <v>Low</v>
      </c>
      <c r="P939" s="3">
        <f t="shared" ca="1" si="248"/>
        <v>98</v>
      </c>
      <c r="Q939" s="1" t="str">
        <f ca="1">VLOOKUP(D939,Routes!$A$2:$D$31,2,FALSE)</f>
        <v>Jaipur</v>
      </c>
      <c r="R939" s="1" t="str">
        <f ca="1">VLOOKUP(D939,Routes!$A$2:$D$31,3,FALSE)</f>
        <v>Indore</v>
      </c>
      <c r="S939" s="3">
        <f ca="1">VLOOKUP(D939,Routes!$A$2:$D$31,4,FALSE)</f>
        <v>600</v>
      </c>
      <c r="T939" s="3" t="str">
        <f ca="1">VLOOKUP(E939,Vehicles!$A$2:$D$21,2,FALSE)</f>
        <v>Container</v>
      </c>
      <c r="U939" s="3">
        <f ca="1">VLOOKUP(E939,Vehicles!$A$2:$D$21,3,FALSE)</f>
        <v>20</v>
      </c>
      <c r="V939" s="3" t="str">
        <f ca="1">VLOOKUP(E939,Vehicles!$A$2:$D$21,4,FALSE)</f>
        <v>Diesel</v>
      </c>
      <c r="W939" s="3">
        <f ca="1">VLOOKUP(V939,Fuel_Rates!$A$2:$B$3,2,FALSE)</f>
        <v>95</v>
      </c>
      <c r="X939" s="3">
        <f t="shared" ca="1" si="250"/>
        <v>108.32</v>
      </c>
      <c r="Y939" s="3">
        <f t="shared" ca="1" si="251"/>
        <v>86326</v>
      </c>
      <c r="Z939" s="3" t="str">
        <f t="shared" ca="1" si="252"/>
        <v>Sep</v>
      </c>
      <c r="AA939" s="3" t="str">
        <f t="shared" ca="1" si="253"/>
        <v>Q3</v>
      </c>
      <c r="AB939" s="4" t="str">
        <f t="shared" ca="1" si="254"/>
        <v>Medium Haul</v>
      </c>
    </row>
    <row r="940" spans="1:28" x14ac:dyDescent="0.3">
      <c r="A940" s="8" t="str">
        <f t="shared" si="249"/>
        <v>S0939</v>
      </c>
      <c r="B940" s="3">
        <f t="shared" ca="1" si="238"/>
        <v>45932</v>
      </c>
      <c r="C940" s="3" t="str">
        <f ca="1">INDEX(Customers!$A$2:$A$21,RANDBETWEEN(1,20))</f>
        <v>C011</v>
      </c>
      <c r="D940" s="3" t="str">
        <f ca="1">INDEX(Routes!$A$2:$A$31,RANDBETWEEN(1,30))</f>
        <v>R024</v>
      </c>
      <c r="E940" s="3" t="str">
        <f ca="1">INDEX(Vehicles!$A$2:$A$21,RANDBETWEEN(1,20))</f>
        <v>V015</v>
      </c>
      <c r="F940" s="3" t="str">
        <f ca="1">INDEX(Drivers!$A$2:$A$31,RANDBETWEEN(1,30))</f>
        <v>D008</v>
      </c>
      <c r="G940" s="3">
        <f t="shared" ca="1" si="239"/>
        <v>24.4</v>
      </c>
      <c r="H940" s="3">
        <f t="shared" ca="1" si="240"/>
        <v>50583</v>
      </c>
      <c r="I940" s="3">
        <f t="shared" ca="1" si="241"/>
        <v>14163</v>
      </c>
      <c r="J940" s="3">
        <f t="shared" ca="1" si="242"/>
        <v>3895</v>
      </c>
      <c r="K940" s="3">
        <f t="shared" ca="1" si="243"/>
        <v>35</v>
      </c>
      <c r="L940" s="3">
        <f t="shared" ca="1" si="244"/>
        <v>42</v>
      </c>
      <c r="M940" s="3">
        <f t="shared" ca="1" si="245"/>
        <v>7</v>
      </c>
      <c r="N940" s="3" t="str">
        <f t="shared" ca="1" si="246"/>
        <v>Delayed</v>
      </c>
      <c r="O940" s="3" t="str">
        <f t="shared" ca="1" si="247"/>
        <v>High</v>
      </c>
      <c r="P940" s="3">
        <f t="shared" ca="1" si="248"/>
        <v>81.3</v>
      </c>
      <c r="Q940" s="1" t="str">
        <f ca="1">VLOOKUP(D940,Routes!$A$2:$D$31,2,FALSE)</f>
        <v>Surat</v>
      </c>
      <c r="R940" s="1" t="str">
        <f ca="1">VLOOKUP(D940,Routes!$A$2:$D$31,3,FALSE)</f>
        <v>Mumbai</v>
      </c>
      <c r="S940" s="3">
        <f ca="1">VLOOKUP(D940,Routes!$A$2:$D$31,4,FALSE)</f>
        <v>280</v>
      </c>
      <c r="T940" s="3" t="str">
        <f ca="1">VLOOKUP(E940,Vehicles!$A$2:$D$21,2,FALSE)</f>
        <v>Trailer</v>
      </c>
      <c r="U940" s="3">
        <f ca="1">VLOOKUP(E940,Vehicles!$A$2:$D$21,3,FALSE)</f>
        <v>30</v>
      </c>
      <c r="V940" s="3" t="str">
        <f ca="1">VLOOKUP(E940,Vehicles!$A$2:$D$21,4,FALSE)</f>
        <v>Diesel</v>
      </c>
      <c r="W940" s="3">
        <f ca="1">VLOOKUP(V940,Fuel_Rates!$A$2:$B$3,2,FALSE)</f>
        <v>95</v>
      </c>
      <c r="X940" s="3">
        <f t="shared" ca="1" si="250"/>
        <v>180.65</v>
      </c>
      <c r="Y940" s="3">
        <f t="shared" ca="1" si="251"/>
        <v>68641</v>
      </c>
      <c r="Z940" s="3" t="str">
        <f t="shared" ca="1" si="252"/>
        <v>Oct</v>
      </c>
      <c r="AA940" s="3" t="str">
        <f t="shared" ca="1" si="253"/>
        <v>Q4</v>
      </c>
      <c r="AB940" s="4" t="str">
        <f t="shared" ca="1" si="254"/>
        <v>Short Haul</v>
      </c>
    </row>
    <row r="941" spans="1:28" x14ac:dyDescent="0.3">
      <c r="A941" s="8" t="str">
        <f t="shared" si="249"/>
        <v>S0940</v>
      </c>
      <c r="B941" s="3">
        <f t="shared" ca="1" si="238"/>
        <v>45994</v>
      </c>
      <c r="C941" s="3" t="str">
        <f ca="1">INDEX(Customers!$A$2:$A$21,RANDBETWEEN(1,20))</f>
        <v>C005</v>
      </c>
      <c r="D941" s="3" t="str">
        <f ca="1">INDEX(Routes!$A$2:$A$31,RANDBETWEEN(1,30))</f>
        <v>R002</v>
      </c>
      <c r="E941" s="3" t="str">
        <f ca="1">INDEX(Vehicles!$A$2:$A$21,RANDBETWEEN(1,20))</f>
        <v>V015</v>
      </c>
      <c r="F941" s="3" t="str">
        <f ca="1">INDEX(Drivers!$A$2:$A$31,RANDBETWEEN(1,30))</f>
        <v>D027</v>
      </c>
      <c r="G941" s="3">
        <f t="shared" ca="1" si="239"/>
        <v>15.4</v>
      </c>
      <c r="H941" s="3">
        <f t="shared" ca="1" si="240"/>
        <v>35337</v>
      </c>
      <c r="I941" s="3">
        <f t="shared" ca="1" si="241"/>
        <v>9894</v>
      </c>
      <c r="J941" s="3">
        <f t="shared" ca="1" si="242"/>
        <v>1767</v>
      </c>
      <c r="K941" s="3">
        <f t="shared" ca="1" si="243"/>
        <v>16</v>
      </c>
      <c r="L941" s="3">
        <f t="shared" ca="1" si="244"/>
        <v>21</v>
      </c>
      <c r="M941" s="3">
        <f t="shared" ca="1" si="245"/>
        <v>5</v>
      </c>
      <c r="N941" s="3" t="str">
        <f t="shared" ca="1" si="246"/>
        <v>Delayed</v>
      </c>
      <c r="O941" s="3" t="str">
        <f t="shared" ca="1" si="247"/>
        <v>Medium</v>
      </c>
      <c r="P941" s="3">
        <f t="shared" ca="1" si="248"/>
        <v>51.3</v>
      </c>
      <c r="Q941" s="1" t="str">
        <f ca="1">VLOOKUP(D941,Routes!$A$2:$D$31,2,FALSE)</f>
        <v>Mumbai</v>
      </c>
      <c r="R941" s="1" t="str">
        <f ca="1">VLOOKUP(D941,Routes!$A$2:$D$31,3,FALSE)</f>
        <v>Ahmedabad</v>
      </c>
      <c r="S941" s="3">
        <f ca="1">VLOOKUP(D941,Routes!$A$2:$D$31,4,FALSE)</f>
        <v>530</v>
      </c>
      <c r="T941" s="3" t="str">
        <f ca="1">VLOOKUP(E941,Vehicles!$A$2:$D$21,2,FALSE)</f>
        <v>Trailer</v>
      </c>
      <c r="U941" s="3">
        <f ca="1">VLOOKUP(E941,Vehicles!$A$2:$D$21,3,FALSE)</f>
        <v>30</v>
      </c>
      <c r="V941" s="3" t="str">
        <f ca="1">VLOOKUP(E941,Vehicles!$A$2:$D$21,4,FALSE)</f>
        <v>Diesel</v>
      </c>
      <c r="W941" s="3">
        <f ca="1">VLOOKUP(V941,Fuel_Rates!$A$2:$B$3,2,FALSE)</f>
        <v>95</v>
      </c>
      <c r="X941" s="3">
        <f t="shared" ca="1" si="250"/>
        <v>66.67</v>
      </c>
      <c r="Y941" s="3">
        <f t="shared" ca="1" si="251"/>
        <v>46998</v>
      </c>
      <c r="Z941" s="3" t="str">
        <f t="shared" ca="1" si="252"/>
        <v>Dec</v>
      </c>
      <c r="AA941" s="3" t="str">
        <f t="shared" ca="1" si="253"/>
        <v>Q4</v>
      </c>
      <c r="AB941" s="4" t="str">
        <f t="shared" ca="1" si="254"/>
        <v>Medium Haul</v>
      </c>
    </row>
    <row r="942" spans="1:28" x14ac:dyDescent="0.3">
      <c r="A942" s="8" t="str">
        <f t="shared" si="249"/>
        <v>S0941</v>
      </c>
      <c r="B942" s="3">
        <f t="shared" ca="1" si="238"/>
        <v>45878</v>
      </c>
      <c r="C942" s="3" t="str">
        <f ca="1">INDEX(Customers!$A$2:$A$21,RANDBETWEEN(1,20))</f>
        <v>C020</v>
      </c>
      <c r="D942" s="3" t="str">
        <f ca="1">INDEX(Routes!$A$2:$A$31,RANDBETWEEN(1,30))</f>
        <v>R028</v>
      </c>
      <c r="E942" s="3" t="str">
        <f ca="1">INDEX(Vehicles!$A$2:$A$21,RANDBETWEEN(1,20))</f>
        <v>V004</v>
      </c>
      <c r="F942" s="3" t="str">
        <f ca="1">INDEX(Drivers!$A$2:$A$31,RANDBETWEEN(1,30))</f>
        <v>D028</v>
      </c>
      <c r="G942" s="3">
        <f t="shared" ca="1" si="239"/>
        <v>9.4</v>
      </c>
      <c r="H942" s="3">
        <f t="shared" ca="1" si="240"/>
        <v>26360</v>
      </c>
      <c r="I942" s="3">
        <f t="shared" ca="1" si="241"/>
        <v>7381</v>
      </c>
      <c r="J942" s="3">
        <f t="shared" ca="1" si="242"/>
        <v>2063</v>
      </c>
      <c r="K942" s="3">
        <f t="shared" ca="1" si="243"/>
        <v>7</v>
      </c>
      <c r="L942" s="3">
        <f t="shared" ca="1" si="244"/>
        <v>15</v>
      </c>
      <c r="M942" s="3">
        <f t="shared" ca="1" si="245"/>
        <v>8</v>
      </c>
      <c r="N942" s="3" t="str">
        <f t="shared" ca="1" si="246"/>
        <v>Delayed</v>
      </c>
      <c r="O942" s="3" t="str">
        <f t="shared" ca="1" si="247"/>
        <v>Medium</v>
      </c>
      <c r="P942" s="3">
        <f t="shared" ca="1" si="248"/>
        <v>31.3</v>
      </c>
      <c r="Q942" s="1" t="str">
        <f ca="1">VLOOKUP(D942,Routes!$A$2:$D$31,2,FALSE)</f>
        <v>Indore</v>
      </c>
      <c r="R942" s="1" t="str">
        <f ca="1">VLOOKUP(D942,Routes!$A$2:$D$31,3,FALSE)</f>
        <v>Mumbai</v>
      </c>
      <c r="S942" s="3">
        <f ca="1">VLOOKUP(D942,Routes!$A$2:$D$31,4,FALSE)</f>
        <v>590</v>
      </c>
      <c r="T942" s="3" t="str">
        <f ca="1">VLOOKUP(E942,Vehicles!$A$2:$D$21,2,FALSE)</f>
        <v>Trailer</v>
      </c>
      <c r="U942" s="3">
        <f ca="1">VLOOKUP(E942,Vehicles!$A$2:$D$21,3,FALSE)</f>
        <v>28</v>
      </c>
      <c r="V942" s="3" t="str">
        <f ca="1">VLOOKUP(E942,Vehicles!$A$2:$D$21,4,FALSE)</f>
        <v>Diesel</v>
      </c>
      <c r="W942" s="3">
        <f ca="1">VLOOKUP(V942,Fuel_Rates!$A$2:$B$3,2,FALSE)</f>
        <v>95</v>
      </c>
      <c r="X942" s="3">
        <f t="shared" ca="1" si="250"/>
        <v>44.68</v>
      </c>
      <c r="Y942" s="3">
        <f t="shared" ca="1" si="251"/>
        <v>35804</v>
      </c>
      <c r="Z942" s="3" t="str">
        <f t="shared" ca="1" si="252"/>
        <v>Aug</v>
      </c>
      <c r="AA942" s="3" t="str">
        <f t="shared" ca="1" si="253"/>
        <v>Q3</v>
      </c>
      <c r="AB942" s="4" t="str">
        <f t="shared" ca="1" si="254"/>
        <v>Medium Haul</v>
      </c>
    </row>
    <row r="943" spans="1:28" x14ac:dyDescent="0.3">
      <c r="A943" s="8" t="str">
        <f t="shared" si="249"/>
        <v>S0942</v>
      </c>
      <c r="B943" s="3">
        <f t="shared" ca="1" si="238"/>
        <v>45672</v>
      </c>
      <c r="C943" s="3" t="str">
        <f ca="1">INDEX(Customers!$A$2:$A$21,RANDBETWEEN(1,20))</f>
        <v>C020</v>
      </c>
      <c r="D943" s="3" t="str">
        <f ca="1">INDEX(Routes!$A$2:$A$31,RANDBETWEEN(1,30))</f>
        <v>R016</v>
      </c>
      <c r="E943" s="3" t="str">
        <f ca="1">INDEX(Vehicles!$A$2:$A$21,RANDBETWEEN(1,20))</f>
        <v>V020</v>
      </c>
      <c r="F943" s="3" t="str">
        <f ca="1">INDEX(Drivers!$A$2:$A$31,RANDBETWEEN(1,30))</f>
        <v>D006</v>
      </c>
      <c r="G943" s="3">
        <f t="shared" ca="1" si="239"/>
        <v>20.6</v>
      </c>
      <c r="H943" s="3">
        <f t="shared" ca="1" si="240"/>
        <v>46137</v>
      </c>
      <c r="I943" s="3">
        <f t="shared" ca="1" si="241"/>
        <v>12918</v>
      </c>
      <c r="J943" s="3">
        <f t="shared" ca="1" si="242"/>
        <v>1621</v>
      </c>
      <c r="K943" s="3">
        <f t="shared" ca="1" si="243"/>
        <v>30</v>
      </c>
      <c r="L943" s="3">
        <f t="shared" ca="1" si="244"/>
        <v>35</v>
      </c>
      <c r="M943" s="3">
        <f t="shared" ca="1" si="245"/>
        <v>5</v>
      </c>
      <c r="N943" s="3" t="str">
        <f t="shared" ca="1" si="246"/>
        <v>Delayed</v>
      </c>
      <c r="O943" s="3" t="str">
        <f t="shared" ca="1" si="247"/>
        <v>Medium</v>
      </c>
      <c r="P943" s="3">
        <f t="shared" ca="1" si="248"/>
        <v>68.7</v>
      </c>
      <c r="Q943" s="1" t="str">
        <f ca="1">VLOOKUP(D943,Routes!$A$2:$D$31,2,FALSE)</f>
        <v>Kolkata</v>
      </c>
      <c r="R943" s="1" t="str">
        <f ca="1">VLOOKUP(D943,Routes!$A$2:$D$31,3,FALSE)</f>
        <v>Bhubaneswar</v>
      </c>
      <c r="S943" s="3">
        <f ca="1">VLOOKUP(D943,Routes!$A$2:$D$31,4,FALSE)</f>
        <v>440</v>
      </c>
      <c r="T943" s="3" t="str">
        <f ca="1">VLOOKUP(E943,Vehicles!$A$2:$D$21,2,FALSE)</f>
        <v>Container</v>
      </c>
      <c r="U943" s="3">
        <f ca="1">VLOOKUP(E943,Vehicles!$A$2:$D$21,3,FALSE)</f>
        <v>28</v>
      </c>
      <c r="V943" s="3" t="str">
        <f ca="1">VLOOKUP(E943,Vehicles!$A$2:$D$21,4,FALSE)</f>
        <v>Diesel</v>
      </c>
      <c r="W943" s="3">
        <f ca="1">VLOOKUP(V943,Fuel_Rates!$A$2:$B$3,2,FALSE)</f>
        <v>95</v>
      </c>
      <c r="X943" s="3">
        <f t="shared" ca="1" si="250"/>
        <v>104.86</v>
      </c>
      <c r="Y943" s="3">
        <f t="shared" ca="1" si="251"/>
        <v>60676</v>
      </c>
      <c r="Z943" s="3" t="str">
        <f t="shared" ca="1" si="252"/>
        <v>Jan</v>
      </c>
      <c r="AA943" s="3" t="str">
        <f t="shared" ca="1" si="253"/>
        <v>Q1</v>
      </c>
      <c r="AB943" s="4" t="str">
        <f t="shared" ca="1" si="254"/>
        <v>Medium Haul</v>
      </c>
    </row>
    <row r="944" spans="1:28" x14ac:dyDescent="0.3">
      <c r="A944" s="8" t="str">
        <f t="shared" si="249"/>
        <v>S0943</v>
      </c>
      <c r="B944" s="3">
        <f t="shared" ca="1" si="238"/>
        <v>45864</v>
      </c>
      <c r="C944" s="3" t="str">
        <f ca="1">INDEX(Customers!$A$2:$A$21,RANDBETWEEN(1,20))</f>
        <v>C016</v>
      </c>
      <c r="D944" s="3" t="str">
        <f ca="1">INDEX(Routes!$A$2:$A$31,RANDBETWEEN(1,30))</f>
        <v>R019</v>
      </c>
      <c r="E944" s="3" t="str">
        <f ca="1">INDEX(Vehicles!$A$2:$A$21,RANDBETWEEN(1,20))</f>
        <v>V005</v>
      </c>
      <c r="F944" s="3" t="str">
        <f ca="1">INDEX(Drivers!$A$2:$A$31,RANDBETWEEN(1,30))</f>
        <v>D008</v>
      </c>
      <c r="G944" s="3">
        <f t="shared" ca="1" si="239"/>
        <v>22.8</v>
      </c>
      <c r="H944" s="3">
        <f t="shared" ca="1" si="240"/>
        <v>52473</v>
      </c>
      <c r="I944" s="3">
        <f t="shared" ca="1" si="241"/>
        <v>14692</v>
      </c>
      <c r="J944" s="3">
        <f t="shared" ca="1" si="242"/>
        <v>2616</v>
      </c>
      <c r="K944" s="3">
        <f t="shared" ca="1" si="243"/>
        <v>27</v>
      </c>
      <c r="L944" s="3">
        <f t="shared" ca="1" si="244"/>
        <v>30</v>
      </c>
      <c r="M944" s="3">
        <f t="shared" ca="1" si="245"/>
        <v>3</v>
      </c>
      <c r="N944" s="3" t="str">
        <f t="shared" ca="1" si="246"/>
        <v>Delayed</v>
      </c>
      <c r="O944" s="3" t="str">
        <f t="shared" ca="1" si="247"/>
        <v>Low</v>
      </c>
      <c r="P944" s="3">
        <f t="shared" ca="1" si="248"/>
        <v>76</v>
      </c>
      <c r="Q944" s="1" t="str">
        <f ca="1">VLOOKUP(D944,Routes!$A$2:$D$31,2,FALSE)</f>
        <v>Ahmedabad</v>
      </c>
      <c r="R944" s="1" t="str">
        <f ca="1">VLOOKUP(D944,Routes!$A$2:$D$31,3,FALSE)</f>
        <v>Indore</v>
      </c>
      <c r="S944" s="3">
        <f ca="1">VLOOKUP(D944,Routes!$A$2:$D$31,4,FALSE)</f>
        <v>390</v>
      </c>
      <c r="T944" s="3" t="str">
        <f ca="1">VLOOKUP(E944,Vehicles!$A$2:$D$21,2,FALSE)</f>
        <v>Trailer</v>
      </c>
      <c r="U944" s="3">
        <f ca="1">VLOOKUP(E944,Vehicles!$A$2:$D$21,3,FALSE)</f>
        <v>32</v>
      </c>
      <c r="V944" s="3" t="str">
        <f ca="1">VLOOKUP(E944,Vehicles!$A$2:$D$21,4,FALSE)</f>
        <v>Diesel</v>
      </c>
      <c r="W944" s="3">
        <f ca="1">VLOOKUP(V944,Fuel_Rates!$A$2:$B$3,2,FALSE)</f>
        <v>95</v>
      </c>
      <c r="X944" s="3">
        <f t="shared" ca="1" si="250"/>
        <v>134.55000000000001</v>
      </c>
      <c r="Y944" s="3">
        <f t="shared" ca="1" si="251"/>
        <v>69781</v>
      </c>
      <c r="Z944" s="3" t="str">
        <f t="shared" ca="1" si="252"/>
        <v>Jul</v>
      </c>
      <c r="AA944" s="3" t="str">
        <f t="shared" ca="1" si="253"/>
        <v>Q3</v>
      </c>
      <c r="AB944" s="4" t="str">
        <f t="shared" ca="1" si="254"/>
        <v>Medium Haul</v>
      </c>
    </row>
    <row r="945" spans="1:28" x14ac:dyDescent="0.3">
      <c r="A945" s="8" t="str">
        <f t="shared" si="249"/>
        <v>S0944</v>
      </c>
      <c r="B945" s="3">
        <f t="shared" ca="1" si="238"/>
        <v>45834</v>
      </c>
      <c r="C945" s="3" t="str">
        <f ca="1">INDEX(Customers!$A$2:$A$21,RANDBETWEEN(1,20))</f>
        <v>C018</v>
      </c>
      <c r="D945" s="3" t="str">
        <f ca="1">INDEX(Routes!$A$2:$A$31,RANDBETWEEN(1,30))</f>
        <v>R008</v>
      </c>
      <c r="E945" s="3" t="str">
        <f ca="1">INDEX(Vehicles!$A$2:$A$21,RANDBETWEEN(1,20))</f>
        <v>V008</v>
      </c>
      <c r="F945" s="3" t="str">
        <f ca="1">INDEX(Drivers!$A$2:$A$31,RANDBETWEEN(1,30))</f>
        <v>D021</v>
      </c>
      <c r="G945" s="3">
        <f t="shared" ca="1" si="239"/>
        <v>24.5</v>
      </c>
      <c r="H945" s="3">
        <f t="shared" ca="1" si="240"/>
        <v>55047</v>
      </c>
      <c r="I945" s="3">
        <f t="shared" ca="1" si="241"/>
        <v>15413</v>
      </c>
      <c r="J945" s="3">
        <f t="shared" ca="1" si="242"/>
        <v>801</v>
      </c>
      <c r="K945" s="3">
        <f t="shared" ca="1" si="243"/>
        <v>33</v>
      </c>
      <c r="L945" s="3">
        <f t="shared" ca="1" si="244"/>
        <v>36</v>
      </c>
      <c r="M945" s="3">
        <f t="shared" ca="1" si="245"/>
        <v>3</v>
      </c>
      <c r="N945" s="3" t="str">
        <f t="shared" ca="1" si="246"/>
        <v>Delayed</v>
      </c>
      <c r="O945" s="3" t="str">
        <f t="shared" ca="1" si="247"/>
        <v>Low</v>
      </c>
      <c r="P945" s="3">
        <f t="shared" ca="1" si="248"/>
        <v>81.7</v>
      </c>
      <c r="Q945" s="1" t="str">
        <f ca="1">VLOOKUP(D945,Routes!$A$2:$D$31,2,FALSE)</f>
        <v>Delhi</v>
      </c>
      <c r="R945" s="1" t="str">
        <f ca="1">VLOOKUP(D945,Routes!$A$2:$D$31,3,FALSE)</f>
        <v>Kolkata</v>
      </c>
      <c r="S945" s="3">
        <f ca="1">VLOOKUP(D945,Routes!$A$2:$D$31,4,FALSE)</f>
        <v>1500</v>
      </c>
      <c r="T945" s="3" t="str">
        <f ca="1">VLOOKUP(E945,Vehicles!$A$2:$D$21,2,FALSE)</f>
        <v>Container</v>
      </c>
      <c r="U945" s="3">
        <f ca="1">VLOOKUP(E945,Vehicles!$A$2:$D$21,3,FALSE)</f>
        <v>25</v>
      </c>
      <c r="V945" s="3" t="str">
        <f ca="1">VLOOKUP(E945,Vehicles!$A$2:$D$21,4,FALSE)</f>
        <v>Diesel</v>
      </c>
      <c r="W945" s="3">
        <f ca="1">VLOOKUP(V945,Fuel_Rates!$A$2:$B$3,2,FALSE)</f>
        <v>95</v>
      </c>
      <c r="X945" s="3">
        <f t="shared" ca="1" si="250"/>
        <v>36.700000000000003</v>
      </c>
      <c r="Y945" s="3">
        <f t="shared" ca="1" si="251"/>
        <v>71261</v>
      </c>
      <c r="Z945" s="3" t="str">
        <f t="shared" ca="1" si="252"/>
        <v>Jun</v>
      </c>
      <c r="AA945" s="3" t="str">
        <f t="shared" ca="1" si="253"/>
        <v>Q2</v>
      </c>
      <c r="AB945" s="4" t="str">
        <f t="shared" ca="1" si="254"/>
        <v>Long Haul</v>
      </c>
    </row>
    <row r="946" spans="1:28" x14ac:dyDescent="0.3">
      <c r="A946" s="8" t="str">
        <f t="shared" si="249"/>
        <v>S0945</v>
      </c>
      <c r="B946" s="3">
        <f t="shared" ca="1" si="238"/>
        <v>45743</v>
      </c>
      <c r="C946" s="3" t="str">
        <f ca="1">INDEX(Customers!$A$2:$A$21,RANDBETWEEN(1,20))</f>
        <v>C014</v>
      </c>
      <c r="D946" s="3" t="str">
        <f ca="1">INDEX(Routes!$A$2:$A$31,RANDBETWEEN(1,30))</f>
        <v>R024</v>
      </c>
      <c r="E946" s="3" t="str">
        <f ca="1">INDEX(Vehicles!$A$2:$A$21,RANDBETWEEN(1,20))</f>
        <v>V003</v>
      </c>
      <c r="F946" s="3" t="str">
        <f ca="1">INDEX(Drivers!$A$2:$A$31,RANDBETWEEN(1,30))</f>
        <v>D029</v>
      </c>
      <c r="G946" s="3">
        <f t="shared" ca="1" si="239"/>
        <v>21.7</v>
      </c>
      <c r="H946" s="3">
        <f t="shared" ca="1" si="240"/>
        <v>53490</v>
      </c>
      <c r="I946" s="3">
        <f t="shared" ca="1" si="241"/>
        <v>14977</v>
      </c>
      <c r="J946" s="3">
        <f t="shared" ca="1" si="242"/>
        <v>1373</v>
      </c>
      <c r="K946" s="3">
        <f t="shared" ca="1" si="243"/>
        <v>13</v>
      </c>
      <c r="L946" s="3">
        <f t="shared" ca="1" si="244"/>
        <v>14</v>
      </c>
      <c r="M946" s="3">
        <f t="shared" ca="1" si="245"/>
        <v>1</v>
      </c>
      <c r="N946" s="3" t="str">
        <f t="shared" ca="1" si="246"/>
        <v>On Time</v>
      </c>
      <c r="O946" s="3" t="str">
        <f t="shared" ca="1" si="247"/>
        <v>Medium</v>
      </c>
      <c r="P946" s="3">
        <f t="shared" ca="1" si="248"/>
        <v>72.3</v>
      </c>
      <c r="Q946" s="1" t="str">
        <f ca="1">VLOOKUP(D946,Routes!$A$2:$D$31,2,FALSE)</f>
        <v>Surat</v>
      </c>
      <c r="R946" s="1" t="str">
        <f ca="1">VLOOKUP(D946,Routes!$A$2:$D$31,3,FALSE)</f>
        <v>Mumbai</v>
      </c>
      <c r="S946" s="3">
        <f ca="1">VLOOKUP(D946,Routes!$A$2:$D$31,4,FALSE)</f>
        <v>280</v>
      </c>
      <c r="T946" s="3" t="str">
        <f ca="1">VLOOKUP(E946,Vehicles!$A$2:$D$21,2,FALSE)</f>
        <v>Truck</v>
      </c>
      <c r="U946" s="3">
        <f ca="1">VLOOKUP(E946,Vehicles!$A$2:$D$21,3,FALSE)</f>
        <v>25</v>
      </c>
      <c r="V946" s="3" t="str">
        <f ca="1">VLOOKUP(E946,Vehicles!$A$2:$D$21,4,FALSE)</f>
        <v>Diesel</v>
      </c>
      <c r="W946" s="3">
        <f ca="1">VLOOKUP(V946,Fuel_Rates!$A$2:$B$3,2,FALSE)</f>
        <v>95</v>
      </c>
      <c r="X946" s="3">
        <f t="shared" ca="1" si="250"/>
        <v>191.04</v>
      </c>
      <c r="Y946" s="3">
        <f t="shared" ca="1" si="251"/>
        <v>69840</v>
      </c>
      <c r="Z946" s="3" t="str">
        <f t="shared" ca="1" si="252"/>
        <v>Mar</v>
      </c>
      <c r="AA946" s="3" t="str">
        <f t="shared" ca="1" si="253"/>
        <v>Q1</v>
      </c>
      <c r="AB946" s="4" t="str">
        <f t="shared" ca="1" si="254"/>
        <v>Short Haul</v>
      </c>
    </row>
    <row r="947" spans="1:28" x14ac:dyDescent="0.3">
      <c r="A947" s="8" t="str">
        <f t="shared" si="249"/>
        <v>S0946</v>
      </c>
      <c r="B947" s="3">
        <f t="shared" ca="1" si="238"/>
        <v>45783</v>
      </c>
      <c r="C947" s="3" t="str">
        <f ca="1">INDEX(Customers!$A$2:$A$21,RANDBETWEEN(1,20))</f>
        <v>C006</v>
      </c>
      <c r="D947" s="3" t="str">
        <f ca="1">INDEX(Routes!$A$2:$A$31,RANDBETWEEN(1,30))</f>
        <v>R023</v>
      </c>
      <c r="E947" s="3" t="str">
        <f ca="1">INDEX(Vehicles!$A$2:$A$21,RANDBETWEEN(1,20))</f>
        <v>V001</v>
      </c>
      <c r="F947" s="3" t="str">
        <f ca="1">INDEX(Drivers!$A$2:$A$31,RANDBETWEEN(1,30))</f>
        <v>D004</v>
      </c>
      <c r="G947" s="3">
        <f t="shared" ca="1" si="239"/>
        <v>27.9</v>
      </c>
      <c r="H947" s="3">
        <f t="shared" ca="1" si="240"/>
        <v>56108</v>
      </c>
      <c r="I947" s="3">
        <f t="shared" ca="1" si="241"/>
        <v>15710</v>
      </c>
      <c r="J947" s="3">
        <f t="shared" ca="1" si="242"/>
        <v>1192</v>
      </c>
      <c r="K947" s="3">
        <f t="shared" ca="1" si="243"/>
        <v>24</v>
      </c>
      <c r="L947" s="3">
        <f t="shared" ca="1" si="244"/>
        <v>26</v>
      </c>
      <c r="M947" s="3">
        <f t="shared" ca="1" si="245"/>
        <v>2</v>
      </c>
      <c r="N947" s="3" t="str">
        <f t="shared" ca="1" si="246"/>
        <v>On Time</v>
      </c>
      <c r="O947" s="3" t="str">
        <f t="shared" ca="1" si="247"/>
        <v>High</v>
      </c>
      <c r="P947" s="3">
        <f t="shared" ca="1" si="248"/>
        <v>93</v>
      </c>
      <c r="Q947" s="1" t="str">
        <f ca="1">VLOOKUP(D947,Routes!$A$2:$D$31,2,FALSE)</f>
        <v>Kochi</v>
      </c>
      <c r="R947" s="1" t="str">
        <f ca="1">VLOOKUP(D947,Routes!$A$2:$D$31,3,FALSE)</f>
        <v>Bengaluru</v>
      </c>
      <c r="S947" s="3">
        <f ca="1">VLOOKUP(D947,Routes!$A$2:$D$31,4,FALSE)</f>
        <v>550</v>
      </c>
      <c r="T947" s="3" t="str">
        <f ca="1">VLOOKUP(E947,Vehicles!$A$2:$D$21,2,FALSE)</f>
        <v>Truck</v>
      </c>
      <c r="U947" s="3">
        <f ca="1">VLOOKUP(E947,Vehicles!$A$2:$D$21,3,FALSE)</f>
        <v>16</v>
      </c>
      <c r="V947" s="3" t="str">
        <f ca="1">VLOOKUP(E947,Vehicles!$A$2:$D$21,4,FALSE)</f>
        <v>Diesel</v>
      </c>
      <c r="W947" s="3">
        <f ca="1">VLOOKUP(V947,Fuel_Rates!$A$2:$B$3,2,FALSE)</f>
        <v>95</v>
      </c>
      <c r="X947" s="3">
        <f t="shared" ca="1" si="250"/>
        <v>102.01</v>
      </c>
      <c r="Y947" s="3">
        <f t="shared" ca="1" si="251"/>
        <v>73010</v>
      </c>
      <c r="Z947" s="3" t="str">
        <f t="shared" ca="1" si="252"/>
        <v>May</v>
      </c>
      <c r="AA947" s="3" t="str">
        <f t="shared" ca="1" si="253"/>
        <v>Q2</v>
      </c>
      <c r="AB947" s="4" t="str">
        <f t="shared" ca="1" si="254"/>
        <v>Medium Haul</v>
      </c>
    </row>
    <row r="948" spans="1:28" x14ac:dyDescent="0.3">
      <c r="A948" s="8" t="str">
        <f t="shared" si="249"/>
        <v>S0947</v>
      </c>
      <c r="B948" s="3">
        <f t="shared" ca="1" si="238"/>
        <v>45701</v>
      </c>
      <c r="C948" s="3" t="str">
        <f ca="1">INDEX(Customers!$A$2:$A$21,RANDBETWEEN(1,20))</f>
        <v>C012</v>
      </c>
      <c r="D948" s="3" t="str">
        <f ca="1">INDEX(Routes!$A$2:$A$31,RANDBETWEEN(1,30))</f>
        <v>R025</v>
      </c>
      <c r="E948" s="3" t="str">
        <f ca="1">INDEX(Vehicles!$A$2:$A$21,RANDBETWEEN(1,20))</f>
        <v>V019</v>
      </c>
      <c r="F948" s="3" t="str">
        <f ca="1">INDEX(Drivers!$A$2:$A$31,RANDBETWEEN(1,30))</f>
        <v>D020</v>
      </c>
      <c r="G948" s="3">
        <f t="shared" ca="1" si="239"/>
        <v>27.5</v>
      </c>
      <c r="H948" s="3">
        <f t="shared" ca="1" si="240"/>
        <v>62211</v>
      </c>
      <c r="I948" s="3">
        <f t="shared" ca="1" si="241"/>
        <v>17419</v>
      </c>
      <c r="J948" s="3">
        <f t="shared" ca="1" si="242"/>
        <v>1089</v>
      </c>
      <c r="K948" s="3">
        <f t="shared" ca="1" si="243"/>
        <v>16</v>
      </c>
      <c r="L948" s="3">
        <f t="shared" ca="1" si="244"/>
        <v>24</v>
      </c>
      <c r="M948" s="3">
        <f t="shared" ca="1" si="245"/>
        <v>8</v>
      </c>
      <c r="N948" s="3" t="str">
        <f t="shared" ca="1" si="246"/>
        <v>Delayed</v>
      </c>
      <c r="O948" s="3" t="str">
        <f t="shared" ca="1" si="247"/>
        <v>Medium</v>
      </c>
      <c r="P948" s="3">
        <f t="shared" ca="1" si="248"/>
        <v>91.7</v>
      </c>
      <c r="Q948" s="1" t="str">
        <f ca="1">VLOOKUP(D948,Routes!$A$2:$D$31,2,FALSE)</f>
        <v>Visakhapatnam</v>
      </c>
      <c r="R948" s="1" t="str">
        <f ca="1">VLOOKUP(D948,Routes!$A$2:$D$31,3,FALSE)</f>
        <v>Hyderabad</v>
      </c>
      <c r="S948" s="3">
        <f ca="1">VLOOKUP(D948,Routes!$A$2:$D$31,4,FALSE)</f>
        <v>620</v>
      </c>
      <c r="T948" s="3" t="str">
        <f ca="1">VLOOKUP(E948,Vehicles!$A$2:$D$21,2,FALSE)</f>
        <v>Trailer</v>
      </c>
      <c r="U948" s="3">
        <f ca="1">VLOOKUP(E948,Vehicles!$A$2:$D$21,3,FALSE)</f>
        <v>35</v>
      </c>
      <c r="V948" s="3" t="str">
        <f ca="1">VLOOKUP(E948,Vehicles!$A$2:$D$21,4,FALSE)</f>
        <v>Diesel</v>
      </c>
      <c r="W948" s="3">
        <f ca="1">VLOOKUP(V948,Fuel_Rates!$A$2:$B$3,2,FALSE)</f>
        <v>95</v>
      </c>
      <c r="X948" s="3">
        <f t="shared" ca="1" si="250"/>
        <v>100.34</v>
      </c>
      <c r="Y948" s="3">
        <f t="shared" ca="1" si="251"/>
        <v>80719</v>
      </c>
      <c r="Z948" s="3" t="str">
        <f t="shared" ca="1" si="252"/>
        <v>Feb</v>
      </c>
      <c r="AA948" s="3" t="str">
        <f t="shared" ca="1" si="253"/>
        <v>Q1</v>
      </c>
      <c r="AB948" s="4" t="str">
        <f t="shared" ca="1" si="254"/>
        <v>Medium Haul</v>
      </c>
    </row>
    <row r="949" spans="1:28" x14ac:dyDescent="0.3">
      <c r="A949" s="8" t="str">
        <f t="shared" si="249"/>
        <v>S0948</v>
      </c>
      <c r="B949" s="3">
        <f t="shared" ca="1" si="238"/>
        <v>45796</v>
      </c>
      <c r="C949" s="3" t="str">
        <f ca="1">INDEX(Customers!$A$2:$A$21,RANDBETWEEN(1,20))</f>
        <v>C010</v>
      </c>
      <c r="D949" s="3" t="str">
        <f ca="1">INDEX(Routes!$A$2:$A$31,RANDBETWEEN(1,30))</f>
        <v>R026</v>
      </c>
      <c r="E949" s="3" t="str">
        <f ca="1">INDEX(Vehicles!$A$2:$A$21,RANDBETWEEN(1,20))</f>
        <v>V011</v>
      </c>
      <c r="F949" s="3" t="str">
        <f ca="1">INDEX(Drivers!$A$2:$A$31,RANDBETWEEN(1,30))</f>
        <v>D028</v>
      </c>
      <c r="G949" s="3">
        <f t="shared" ca="1" si="239"/>
        <v>29.6</v>
      </c>
      <c r="H949" s="3">
        <f t="shared" ca="1" si="240"/>
        <v>60305</v>
      </c>
      <c r="I949" s="3">
        <f t="shared" ca="1" si="241"/>
        <v>16885</v>
      </c>
      <c r="J949" s="3">
        <f t="shared" ca="1" si="242"/>
        <v>3246</v>
      </c>
      <c r="K949" s="3">
        <f t="shared" ca="1" si="243"/>
        <v>8</v>
      </c>
      <c r="L949" s="3">
        <f t="shared" ca="1" si="244"/>
        <v>15</v>
      </c>
      <c r="M949" s="3">
        <f t="shared" ca="1" si="245"/>
        <v>7</v>
      </c>
      <c r="N949" s="3" t="str">
        <f t="shared" ca="1" si="246"/>
        <v>Delayed</v>
      </c>
      <c r="O949" s="3" t="str">
        <f t="shared" ca="1" si="247"/>
        <v>High</v>
      </c>
      <c r="P949" s="3">
        <f t="shared" ca="1" si="248"/>
        <v>98.7</v>
      </c>
      <c r="Q949" s="1" t="str">
        <f ca="1">VLOOKUP(D949,Routes!$A$2:$D$31,2,FALSE)</f>
        <v>Nagpur</v>
      </c>
      <c r="R949" s="1" t="str">
        <f ca="1">VLOOKUP(D949,Routes!$A$2:$D$31,3,FALSE)</f>
        <v>Bhopal</v>
      </c>
      <c r="S949" s="3">
        <f ca="1">VLOOKUP(D949,Routes!$A$2:$D$31,4,FALSE)</f>
        <v>350</v>
      </c>
      <c r="T949" s="3" t="str">
        <f ca="1">VLOOKUP(E949,Vehicles!$A$2:$D$21,2,FALSE)</f>
        <v>Truck</v>
      </c>
      <c r="U949" s="3">
        <f ca="1">VLOOKUP(E949,Vehicles!$A$2:$D$21,3,FALSE)</f>
        <v>18</v>
      </c>
      <c r="V949" s="3" t="str">
        <f ca="1">VLOOKUP(E949,Vehicles!$A$2:$D$21,4,FALSE)</f>
        <v>CNG</v>
      </c>
      <c r="W949" s="3">
        <f ca="1">VLOOKUP(V949,Fuel_Rates!$A$2:$B$3,2,FALSE)</f>
        <v>78</v>
      </c>
      <c r="X949" s="3">
        <f t="shared" ca="1" si="250"/>
        <v>172.3</v>
      </c>
      <c r="Y949" s="3">
        <f t="shared" ca="1" si="251"/>
        <v>80436</v>
      </c>
      <c r="Z949" s="3" t="str">
        <f t="shared" ca="1" si="252"/>
        <v>May</v>
      </c>
      <c r="AA949" s="3" t="str">
        <f t="shared" ca="1" si="253"/>
        <v>Q2</v>
      </c>
      <c r="AB949" s="4" t="str">
        <f t="shared" ca="1" si="254"/>
        <v>Medium Haul</v>
      </c>
    </row>
    <row r="950" spans="1:28" x14ac:dyDescent="0.3">
      <c r="A950" s="8" t="str">
        <f t="shared" si="249"/>
        <v>S0949</v>
      </c>
      <c r="B950" s="3">
        <f t="shared" ca="1" si="238"/>
        <v>45735</v>
      </c>
      <c r="C950" s="3" t="str">
        <f ca="1">INDEX(Customers!$A$2:$A$21,RANDBETWEEN(1,20))</f>
        <v>C014</v>
      </c>
      <c r="D950" s="3" t="str">
        <f ca="1">INDEX(Routes!$A$2:$A$31,RANDBETWEEN(1,30))</f>
        <v>R030</v>
      </c>
      <c r="E950" s="3" t="str">
        <f ca="1">INDEX(Vehicles!$A$2:$A$21,RANDBETWEEN(1,20))</f>
        <v>V016</v>
      </c>
      <c r="F950" s="3" t="str">
        <f ca="1">INDEX(Drivers!$A$2:$A$31,RANDBETWEEN(1,30))</f>
        <v>D029</v>
      </c>
      <c r="G950" s="3">
        <f t="shared" ca="1" si="239"/>
        <v>10</v>
      </c>
      <c r="H950" s="3">
        <f t="shared" ca="1" si="240"/>
        <v>29407</v>
      </c>
      <c r="I950" s="3">
        <f t="shared" ca="1" si="241"/>
        <v>8234</v>
      </c>
      <c r="J950" s="3">
        <f t="shared" ca="1" si="242"/>
        <v>3893</v>
      </c>
      <c r="K950" s="3">
        <f t="shared" ca="1" si="243"/>
        <v>21</v>
      </c>
      <c r="L950" s="3">
        <f t="shared" ca="1" si="244"/>
        <v>24</v>
      </c>
      <c r="M950" s="3">
        <f t="shared" ca="1" si="245"/>
        <v>3</v>
      </c>
      <c r="N950" s="3" t="str">
        <f t="shared" ca="1" si="246"/>
        <v>Delayed</v>
      </c>
      <c r="O950" s="3" t="str">
        <f t="shared" ca="1" si="247"/>
        <v>High</v>
      </c>
      <c r="P950" s="3">
        <f t="shared" ca="1" si="248"/>
        <v>33.299999999999997</v>
      </c>
      <c r="Q950" s="1" t="str">
        <f ca="1">VLOOKUP(D950,Routes!$A$2:$D$31,2,FALSE)</f>
        <v>Bhubaneswar</v>
      </c>
      <c r="R950" s="1" t="str">
        <f ca="1">VLOOKUP(D950,Routes!$A$2:$D$31,3,FALSE)</f>
        <v>Kolkata</v>
      </c>
      <c r="S950" s="3">
        <f ca="1">VLOOKUP(D950,Routes!$A$2:$D$31,4,FALSE)</f>
        <v>440</v>
      </c>
      <c r="T950" s="3" t="str">
        <f ca="1">VLOOKUP(E950,Vehicles!$A$2:$D$21,2,FALSE)</f>
        <v>Container</v>
      </c>
      <c r="U950" s="3">
        <f ca="1">VLOOKUP(E950,Vehicles!$A$2:$D$21,3,FALSE)</f>
        <v>22</v>
      </c>
      <c r="V950" s="3" t="str">
        <f ca="1">VLOOKUP(E950,Vehicles!$A$2:$D$21,4,FALSE)</f>
        <v>Diesel</v>
      </c>
      <c r="W950" s="3">
        <f ca="1">VLOOKUP(V950,Fuel_Rates!$A$2:$B$3,2,FALSE)</f>
        <v>95</v>
      </c>
      <c r="X950" s="3">
        <f t="shared" ca="1" si="250"/>
        <v>66.83</v>
      </c>
      <c r="Y950" s="3">
        <f t="shared" ca="1" si="251"/>
        <v>41534</v>
      </c>
      <c r="Z950" s="3" t="str">
        <f t="shared" ca="1" si="252"/>
        <v>Mar</v>
      </c>
      <c r="AA950" s="3" t="str">
        <f t="shared" ca="1" si="253"/>
        <v>Q1</v>
      </c>
      <c r="AB950" s="4" t="str">
        <f t="shared" ca="1" si="254"/>
        <v>Medium Haul</v>
      </c>
    </row>
    <row r="951" spans="1:28" x14ac:dyDescent="0.3">
      <c r="A951" s="8" t="str">
        <f t="shared" si="249"/>
        <v>S0950</v>
      </c>
      <c r="B951" s="3">
        <f t="shared" ca="1" si="238"/>
        <v>45778</v>
      </c>
      <c r="C951" s="3" t="str">
        <f ca="1">INDEX(Customers!$A$2:$A$21,RANDBETWEEN(1,20))</f>
        <v>C012</v>
      </c>
      <c r="D951" s="3" t="str">
        <f ca="1">INDEX(Routes!$A$2:$A$31,RANDBETWEEN(1,30))</f>
        <v>R020</v>
      </c>
      <c r="E951" s="3" t="str">
        <f ca="1">INDEX(Vehicles!$A$2:$A$21,RANDBETWEEN(1,20))</f>
        <v>V020</v>
      </c>
      <c r="F951" s="3" t="str">
        <f ca="1">INDEX(Drivers!$A$2:$A$31,RANDBETWEEN(1,30))</f>
        <v>D023</v>
      </c>
      <c r="G951" s="3">
        <f t="shared" ca="1" si="239"/>
        <v>23.1</v>
      </c>
      <c r="H951" s="3">
        <f t="shared" ca="1" si="240"/>
        <v>48100</v>
      </c>
      <c r="I951" s="3">
        <f t="shared" ca="1" si="241"/>
        <v>13468</v>
      </c>
      <c r="J951" s="3">
        <f t="shared" ca="1" si="242"/>
        <v>3667</v>
      </c>
      <c r="K951" s="3">
        <f t="shared" ca="1" si="243"/>
        <v>18</v>
      </c>
      <c r="L951" s="3">
        <f t="shared" ca="1" si="244"/>
        <v>19</v>
      </c>
      <c r="M951" s="3">
        <f t="shared" ca="1" si="245"/>
        <v>1</v>
      </c>
      <c r="N951" s="3" t="str">
        <f t="shared" ca="1" si="246"/>
        <v>On Time</v>
      </c>
      <c r="O951" s="3" t="str">
        <f t="shared" ca="1" si="247"/>
        <v>Medium</v>
      </c>
      <c r="P951" s="3">
        <f t="shared" ca="1" si="248"/>
        <v>77</v>
      </c>
      <c r="Q951" s="1" t="str">
        <f ca="1">VLOOKUP(D951,Routes!$A$2:$D$31,2,FALSE)</f>
        <v>Pune</v>
      </c>
      <c r="R951" s="1" t="str">
        <f ca="1">VLOOKUP(D951,Routes!$A$2:$D$31,3,FALSE)</f>
        <v>Nagpur</v>
      </c>
      <c r="S951" s="3">
        <f ca="1">VLOOKUP(D951,Routes!$A$2:$D$31,4,FALSE)</f>
        <v>720</v>
      </c>
      <c r="T951" s="3" t="str">
        <f ca="1">VLOOKUP(E951,Vehicles!$A$2:$D$21,2,FALSE)</f>
        <v>Container</v>
      </c>
      <c r="U951" s="3">
        <f ca="1">VLOOKUP(E951,Vehicles!$A$2:$D$21,3,FALSE)</f>
        <v>28</v>
      </c>
      <c r="V951" s="3" t="str">
        <f ca="1">VLOOKUP(E951,Vehicles!$A$2:$D$21,4,FALSE)</f>
        <v>Diesel</v>
      </c>
      <c r="W951" s="3">
        <f ca="1">VLOOKUP(V951,Fuel_Rates!$A$2:$B$3,2,FALSE)</f>
        <v>95</v>
      </c>
      <c r="X951" s="3">
        <f t="shared" ca="1" si="250"/>
        <v>66.81</v>
      </c>
      <c r="Y951" s="3">
        <f t="shared" ca="1" si="251"/>
        <v>65235</v>
      </c>
      <c r="Z951" s="3" t="str">
        <f t="shared" ca="1" si="252"/>
        <v>May</v>
      </c>
      <c r="AA951" s="3" t="str">
        <f t="shared" ca="1" si="253"/>
        <v>Q2</v>
      </c>
      <c r="AB951" s="4" t="str">
        <f t="shared" ca="1" si="254"/>
        <v>Medium Haul</v>
      </c>
    </row>
    <row r="952" spans="1:28" x14ac:dyDescent="0.3">
      <c r="A952" s="8" t="str">
        <f t="shared" si="249"/>
        <v>S0951</v>
      </c>
      <c r="B952" s="3">
        <f t="shared" ca="1" si="238"/>
        <v>45974</v>
      </c>
      <c r="C952" s="3" t="str">
        <f ca="1">INDEX(Customers!$A$2:$A$21,RANDBETWEEN(1,20))</f>
        <v>C003</v>
      </c>
      <c r="D952" s="3" t="str">
        <f ca="1">INDEX(Routes!$A$2:$A$31,RANDBETWEEN(1,30))</f>
        <v>R004</v>
      </c>
      <c r="E952" s="3" t="str">
        <f ca="1">INDEX(Vehicles!$A$2:$A$21,RANDBETWEEN(1,20))</f>
        <v>V019</v>
      </c>
      <c r="F952" s="3" t="str">
        <f ca="1">INDEX(Drivers!$A$2:$A$31,RANDBETWEEN(1,30))</f>
        <v>D027</v>
      </c>
      <c r="G952" s="3">
        <f t="shared" ca="1" si="239"/>
        <v>22.6</v>
      </c>
      <c r="H952" s="3">
        <f t="shared" ca="1" si="240"/>
        <v>45365</v>
      </c>
      <c r="I952" s="3">
        <f t="shared" ca="1" si="241"/>
        <v>12702</v>
      </c>
      <c r="J952" s="3">
        <f t="shared" ca="1" si="242"/>
        <v>747</v>
      </c>
      <c r="K952" s="3">
        <f t="shared" ca="1" si="243"/>
        <v>39</v>
      </c>
      <c r="L952" s="3">
        <f t="shared" ca="1" si="244"/>
        <v>42</v>
      </c>
      <c r="M952" s="3">
        <f t="shared" ca="1" si="245"/>
        <v>3</v>
      </c>
      <c r="N952" s="3" t="str">
        <f t="shared" ca="1" si="246"/>
        <v>Delayed</v>
      </c>
      <c r="O952" s="3" t="str">
        <f t="shared" ca="1" si="247"/>
        <v>Low</v>
      </c>
      <c r="P952" s="3">
        <f t="shared" ca="1" si="248"/>
        <v>75.3</v>
      </c>
      <c r="Q952" s="1" t="str">
        <f ca="1">VLOOKUP(D952,Routes!$A$2:$D$31,2,FALSE)</f>
        <v>Mumbai</v>
      </c>
      <c r="R952" s="1" t="str">
        <f ca="1">VLOOKUP(D952,Routes!$A$2:$D$31,3,FALSE)</f>
        <v>Bengaluru</v>
      </c>
      <c r="S952" s="3">
        <f ca="1">VLOOKUP(D952,Routes!$A$2:$D$31,4,FALSE)</f>
        <v>980</v>
      </c>
      <c r="T952" s="3" t="str">
        <f ca="1">VLOOKUP(E952,Vehicles!$A$2:$D$21,2,FALSE)</f>
        <v>Trailer</v>
      </c>
      <c r="U952" s="3">
        <f ca="1">VLOOKUP(E952,Vehicles!$A$2:$D$21,3,FALSE)</f>
        <v>35</v>
      </c>
      <c r="V952" s="3" t="str">
        <f ca="1">VLOOKUP(E952,Vehicles!$A$2:$D$21,4,FALSE)</f>
        <v>Diesel</v>
      </c>
      <c r="W952" s="3">
        <f ca="1">VLOOKUP(V952,Fuel_Rates!$A$2:$B$3,2,FALSE)</f>
        <v>95</v>
      </c>
      <c r="X952" s="3">
        <f t="shared" ca="1" si="250"/>
        <v>46.29</v>
      </c>
      <c r="Y952" s="3">
        <f t="shared" ca="1" si="251"/>
        <v>58814</v>
      </c>
      <c r="Z952" s="3" t="str">
        <f t="shared" ca="1" si="252"/>
        <v>Nov</v>
      </c>
      <c r="AA952" s="3" t="str">
        <f t="shared" ca="1" si="253"/>
        <v>Q4</v>
      </c>
      <c r="AB952" s="4" t="str">
        <f t="shared" ca="1" si="254"/>
        <v>Long Haul</v>
      </c>
    </row>
    <row r="953" spans="1:28" x14ac:dyDescent="0.3">
      <c r="A953" s="8" t="str">
        <f t="shared" si="249"/>
        <v>S0952</v>
      </c>
      <c r="B953" s="3">
        <f t="shared" ca="1" si="238"/>
        <v>46004</v>
      </c>
      <c r="C953" s="3" t="str">
        <f ca="1">INDEX(Customers!$A$2:$A$21,RANDBETWEEN(1,20))</f>
        <v>C014</v>
      </c>
      <c r="D953" s="3" t="str">
        <f ca="1">INDEX(Routes!$A$2:$A$31,RANDBETWEEN(1,30))</f>
        <v>R022</v>
      </c>
      <c r="E953" s="3" t="str">
        <f ca="1">INDEX(Vehicles!$A$2:$A$21,RANDBETWEEN(1,20))</f>
        <v>V002</v>
      </c>
      <c r="F953" s="3" t="str">
        <f ca="1">INDEX(Drivers!$A$2:$A$31,RANDBETWEEN(1,30))</f>
        <v>D002</v>
      </c>
      <c r="G953" s="3">
        <f t="shared" ca="1" si="239"/>
        <v>15.1</v>
      </c>
      <c r="H953" s="3">
        <f t="shared" ca="1" si="240"/>
        <v>40743</v>
      </c>
      <c r="I953" s="3">
        <f t="shared" ca="1" si="241"/>
        <v>11408</v>
      </c>
      <c r="J953" s="3">
        <f t="shared" ca="1" si="242"/>
        <v>2195</v>
      </c>
      <c r="K953" s="3">
        <f t="shared" ca="1" si="243"/>
        <v>5</v>
      </c>
      <c r="L953" s="3">
        <f t="shared" ca="1" si="244"/>
        <v>13</v>
      </c>
      <c r="M953" s="3">
        <f t="shared" ca="1" si="245"/>
        <v>8</v>
      </c>
      <c r="N953" s="3" t="str">
        <f t="shared" ca="1" si="246"/>
        <v>Delayed</v>
      </c>
      <c r="O953" s="3" t="str">
        <f t="shared" ca="1" si="247"/>
        <v>High</v>
      </c>
      <c r="P953" s="3">
        <f t="shared" ca="1" si="248"/>
        <v>50.3</v>
      </c>
      <c r="Q953" s="1" t="str">
        <f ca="1">VLOOKUP(D953,Routes!$A$2:$D$31,2,FALSE)</f>
        <v>Jaipur</v>
      </c>
      <c r="R953" s="1" t="str">
        <f ca="1">VLOOKUP(D953,Routes!$A$2:$D$31,3,FALSE)</f>
        <v>Indore</v>
      </c>
      <c r="S953" s="3">
        <f ca="1">VLOOKUP(D953,Routes!$A$2:$D$31,4,FALSE)</f>
        <v>600</v>
      </c>
      <c r="T953" s="3" t="str">
        <f ca="1">VLOOKUP(E953,Vehicles!$A$2:$D$21,2,FALSE)</f>
        <v>Truck</v>
      </c>
      <c r="U953" s="3">
        <f ca="1">VLOOKUP(E953,Vehicles!$A$2:$D$21,3,FALSE)</f>
        <v>20</v>
      </c>
      <c r="V953" s="3" t="str">
        <f ca="1">VLOOKUP(E953,Vehicles!$A$2:$D$21,4,FALSE)</f>
        <v>Diesel</v>
      </c>
      <c r="W953" s="3">
        <f ca="1">VLOOKUP(V953,Fuel_Rates!$A$2:$B$3,2,FALSE)</f>
        <v>95</v>
      </c>
      <c r="X953" s="3">
        <f t="shared" ca="1" si="250"/>
        <v>67.91</v>
      </c>
      <c r="Y953" s="3">
        <f t="shared" ca="1" si="251"/>
        <v>54346</v>
      </c>
      <c r="Z953" s="3" t="str">
        <f t="shared" ca="1" si="252"/>
        <v>Dec</v>
      </c>
      <c r="AA953" s="3" t="str">
        <f t="shared" ca="1" si="253"/>
        <v>Q4</v>
      </c>
      <c r="AB953" s="4" t="str">
        <f t="shared" ca="1" si="254"/>
        <v>Medium Haul</v>
      </c>
    </row>
    <row r="954" spans="1:28" x14ac:dyDescent="0.3">
      <c r="A954" s="8" t="str">
        <f t="shared" si="249"/>
        <v>S0953</v>
      </c>
      <c r="B954" s="3">
        <f t="shared" ca="1" si="238"/>
        <v>45877</v>
      </c>
      <c r="C954" s="3" t="str">
        <f ca="1">INDEX(Customers!$A$2:$A$21,RANDBETWEEN(1,20))</f>
        <v>C009</v>
      </c>
      <c r="D954" s="3" t="str">
        <f ca="1">INDEX(Routes!$A$2:$A$31,RANDBETWEEN(1,30))</f>
        <v>R016</v>
      </c>
      <c r="E954" s="3" t="str">
        <f ca="1">INDEX(Vehicles!$A$2:$A$21,RANDBETWEEN(1,20))</f>
        <v>V006</v>
      </c>
      <c r="F954" s="3" t="str">
        <f ca="1">INDEX(Drivers!$A$2:$A$31,RANDBETWEEN(1,30))</f>
        <v>D019</v>
      </c>
      <c r="G954" s="3">
        <f t="shared" ca="1" si="239"/>
        <v>11.3</v>
      </c>
      <c r="H954" s="3">
        <f t="shared" ca="1" si="240"/>
        <v>23480</v>
      </c>
      <c r="I954" s="3">
        <f t="shared" ca="1" si="241"/>
        <v>6574</v>
      </c>
      <c r="J954" s="3">
        <f t="shared" ca="1" si="242"/>
        <v>2064</v>
      </c>
      <c r="K954" s="3">
        <f t="shared" ca="1" si="243"/>
        <v>22</v>
      </c>
      <c r="L954" s="3">
        <f t="shared" ca="1" si="244"/>
        <v>26</v>
      </c>
      <c r="M954" s="3">
        <f t="shared" ca="1" si="245"/>
        <v>4</v>
      </c>
      <c r="N954" s="3" t="str">
        <f t="shared" ca="1" si="246"/>
        <v>Delayed</v>
      </c>
      <c r="O954" s="3" t="str">
        <f t="shared" ca="1" si="247"/>
        <v>High</v>
      </c>
      <c r="P954" s="3">
        <f t="shared" ca="1" si="248"/>
        <v>37.700000000000003</v>
      </c>
      <c r="Q954" s="1" t="str">
        <f ca="1">VLOOKUP(D954,Routes!$A$2:$D$31,2,FALSE)</f>
        <v>Kolkata</v>
      </c>
      <c r="R954" s="1" t="str">
        <f ca="1">VLOOKUP(D954,Routes!$A$2:$D$31,3,FALSE)</f>
        <v>Bhubaneswar</v>
      </c>
      <c r="S954" s="3">
        <f ca="1">VLOOKUP(D954,Routes!$A$2:$D$31,4,FALSE)</f>
        <v>440</v>
      </c>
      <c r="T954" s="3" t="str">
        <f ca="1">VLOOKUP(E954,Vehicles!$A$2:$D$21,2,FALSE)</f>
        <v>Container</v>
      </c>
      <c r="U954" s="3">
        <f ca="1">VLOOKUP(E954,Vehicles!$A$2:$D$21,3,FALSE)</f>
        <v>18</v>
      </c>
      <c r="V954" s="3" t="str">
        <f ca="1">VLOOKUP(E954,Vehicles!$A$2:$D$21,4,FALSE)</f>
        <v>Diesel</v>
      </c>
      <c r="W954" s="3">
        <f ca="1">VLOOKUP(V954,Fuel_Rates!$A$2:$B$3,2,FALSE)</f>
        <v>95</v>
      </c>
      <c r="X954" s="3">
        <f t="shared" ca="1" si="250"/>
        <v>53.36</v>
      </c>
      <c r="Y954" s="3">
        <f t="shared" ca="1" si="251"/>
        <v>32118</v>
      </c>
      <c r="Z954" s="3" t="str">
        <f t="shared" ca="1" si="252"/>
        <v>Aug</v>
      </c>
      <c r="AA954" s="3" t="str">
        <f t="shared" ca="1" si="253"/>
        <v>Q3</v>
      </c>
      <c r="AB954" s="4" t="str">
        <f t="shared" ca="1" si="254"/>
        <v>Medium Haul</v>
      </c>
    </row>
    <row r="955" spans="1:28" x14ac:dyDescent="0.3">
      <c r="A955" s="8" t="str">
        <f t="shared" si="249"/>
        <v>S0954</v>
      </c>
      <c r="B955" s="3">
        <f t="shared" ca="1" si="238"/>
        <v>45701</v>
      </c>
      <c r="C955" s="3" t="str">
        <f ca="1">INDEX(Customers!$A$2:$A$21,RANDBETWEEN(1,20))</f>
        <v>C016</v>
      </c>
      <c r="D955" s="3" t="str">
        <f ca="1">INDEX(Routes!$A$2:$A$31,RANDBETWEEN(1,30))</f>
        <v>R003</v>
      </c>
      <c r="E955" s="3" t="str">
        <f ca="1">INDEX(Vehicles!$A$2:$A$21,RANDBETWEEN(1,20))</f>
        <v>V009</v>
      </c>
      <c r="F955" s="3" t="str">
        <f ca="1">INDEX(Drivers!$A$2:$A$31,RANDBETWEEN(1,30))</f>
        <v>D027</v>
      </c>
      <c r="G955" s="3">
        <f t="shared" ca="1" si="239"/>
        <v>24.5</v>
      </c>
      <c r="H955" s="3">
        <f t="shared" ca="1" si="240"/>
        <v>49525</v>
      </c>
      <c r="I955" s="3">
        <f t="shared" ca="1" si="241"/>
        <v>13867</v>
      </c>
      <c r="J955" s="3">
        <f t="shared" ca="1" si="242"/>
        <v>2300</v>
      </c>
      <c r="K955" s="3">
        <f t="shared" ca="1" si="243"/>
        <v>8</v>
      </c>
      <c r="L955" s="3">
        <f t="shared" ca="1" si="244"/>
        <v>9</v>
      </c>
      <c r="M955" s="3">
        <f t="shared" ca="1" si="245"/>
        <v>1</v>
      </c>
      <c r="N955" s="3" t="str">
        <f t="shared" ca="1" si="246"/>
        <v>On Time</v>
      </c>
      <c r="O955" s="3" t="str">
        <f t="shared" ca="1" si="247"/>
        <v>High</v>
      </c>
      <c r="P955" s="3">
        <f t="shared" ca="1" si="248"/>
        <v>81.7</v>
      </c>
      <c r="Q955" s="1" t="str">
        <f ca="1">VLOOKUP(D955,Routes!$A$2:$D$31,2,FALSE)</f>
        <v>Mumbai</v>
      </c>
      <c r="R955" s="1" t="str">
        <f ca="1">VLOOKUP(D955,Routes!$A$2:$D$31,3,FALSE)</f>
        <v>Delhi</v>
      </c>
      <c r="S955" s="3">
        <f ca="1">VLOOKUP(D955,Routes!$A$2:$D$31,4,FALSE)</f>
        <v>1450</v>
      </c>
      <c r="T955" s="3" t="str">
        <f ca="1">VLOOKUP(E955,Vehicles!$A$2:$D$21,2,FALSE)</f>
        <v>LCV</v>
      </c>
      <c r="U955" s="3">
        <f ca="1">VLOOKUP(E955,Vehicles!$A$2:$D$21,3,FALSE)</f>
        <v>5</v>
      </c>
      <c r="V955" s="3" t="str">
        <f ca="1">VLOOKUP(E955,Vehicles!$A$2:$D$21,4,FALSE)</f>
        <v>Diesel</v>
      </c>
      <c r="W955" s="3">
        <f ca="1">VLOOKUP(V955,Fuel_Rates!$A$2:$B$3,2,FALSE)</f>
        <v>95</v>
      </c>
      <c r="X955" s="3">
        <f t="shared" ca="1" si="250"/>
        <v>34.159999999999997</v>
      </c>
      <c r="Y955" s="3">
        <f t="shared" ca="1" si="251"/>
        <v>65692</v>
      </c>
      <c r="Z955" s="3" t="str">
        <f t="shared" ca="1" si="252"/>
        <v>Feb</v>
      </c>
      <c r="AA955" s="3" t="str">
        <f t="shared" ca="1" si="253"/>
        <v>Q1</v>
      </c>
      <c r="AB955" s="4" t="str">
        <f t="shared" ca="1" si="254"/>
        <v>Long Haul</v>
      </c>
    </row>
    <row r="956" spans="1:28" x14ac:dyDescent="0.3">
      <c r="A956" s="8" t="str">
        <f t="shared" si="249"/>
        <v>S0955</v>
      </c>
      <c r="B956" s="3">
        <f t="shared" ca="1" si="238"/>
        <v>45885</v>
      </c>
      <c r="C956" s="3" t="str">
        <f ca="1">INDEX(Customers!$A$2:$A$21,RANDBETWEEN(1,20))</f>
        <v>C015</v>
      </c>
      <c r="D956" s="3" t="str">
        <f ca="1">INDEX(Routes!$A$2:$A$31,RANDBETWEEN(1,30))</f>
        <v>R029</v>
      </c>
      <c r="E956" s="3" t="str">
        <f ca="1">INDEX(Vehicles!$A$2:$A$21,RANDBETWEEN(1,20))</f>
        <v>V020</v>
      </c>
      <c r="F956" s="3" t="str">
        <f ca="1">INDEX(Drivers!$A$2:$A$31,RANDBETWEEN(1,30))</f>
        <v>D028</v>
      </c>
      <c r="G956" s="3">
        <f t="shared" ca="1" si="239"/>
        <v>24.6</v>
      </c>
      <c r="H956" s="3">
        <f t="shared" ca="1" si="240"/>
        <v>54439</v>
      </c>
      <c r="I956" s="3">
        <f t="shared" ca="1" si="241"/>
        <v>15243</v>
      </c>
      <c r="J956" s="3">
        <f t="shared" ca="1" si="242"/>
        <v>957</v>
      </c>
      <c r="K956" s="3">
        <f t="shared" ca="1" si="243"/>
        <v>38</v>
      </c>
      <c r="L956" s="3">
        <f t="shared" ca="1" si="244"/>
        <v>40</v>
      </c>
      <c r="M956" s="3">
        <f t="shared" ca="1" si="245"/>
        <v>2</v>
      </c>
      <c r="N956" s="3" t="str">
        <f t="shared" ca="1" si="246"/>
        <v>On Time</v>
      </c>
      <c r="O956" s="3" t="str">
        <f t="shared" ca="1" si="247"/>
        <v>Medium</v>
      </c>
      <c r="P956" s="3">
        <f t="shared" ca="1" si="248"/>
        <v>82</v>
      </c>
      <c r="Q956" s="1" t="str">
        <f ca="1">VLOOKUP(D956,Routes!$A$2:$D$31,2,FALSE)</f>
        <v>Chandigarh</v>
      </c>
      <c r="R956" s="1" t="str">
        <f ca="1">VLOOKUP(D956,Routes!$A$2:$D$31,3,FALSE)</f>
        <v>Delhi</v>
      </c>
      <c r="S956" s="3">
        <f ca="1">VLOOKUP(D956,Routes!$A$2:$D$31,4,FALSE)</f>
        <v>250</v>
      </c>
      <c r="T956" s="3" t="str">
        <f ca="1">VLOOKUP(E956,Vehicles!$A$2:$D$21,2,FALSE)</f>
        <v>Container</v>
      </c>
      <c r="U956" s="3">
        <f ca="1">VLOOKUP(E956,Vehicles!$A$2:$D$21,3,FALSE)</f>
        <v>28</v>
      </c>
      <c r="V956" s="3" t="str">
        <f ca="1">VLOOKUP(E956,Vehicles!$A$2:$D$21,4,FALSE)</f>
        <v>Diesel</v>
      </c>
      <c r="W956" s="3">
        <f ca="1">VLOOKUP(V956,Fuel_Rates!$A$2:$B$3,2,FALSE)</f>
        <v>95</v>
      </c>
      <c r="X956" s="3">
        <f t="shared" ca="1" si="250"/>
        <v>217.76</v>
      </c>
      <c r="Y956" s="3">
        <f t="shared" ca="1" si="251"/>
        <v>70639</v>
      </c>
      <c r="Z956" s="3" t="str">
        <f t="shared" ca="1" si="252"/>
        <v>Aug</v>
      </c>
      <c r="AA956" s="3" t="str">
        <f t="shared" ca="1" si="253"/>
        <v>Q3</v>
      </c>
      <c r="AB956" s="4" t="str">
        <f t="shared" ca="1" si="254"/>
        <v>Short Haul</v>
      </c>
    </row>
    <row r="957" spans="1:28" x14ac:dyDescent="0.3">
      <c r="A957" s="8" t="str">
        <f t="shared" si="249"/>
        <v>S0956</v>
      </c>
      <c r="B957" s="3">
        <f t="shared" ca="1" si="238"/>
        <v>45735</v>
      </c>
      <c r="C957" s="3" t="str">
        <f ca="1">INDEX(Customers!$A$2:$A$21,RANDBETWEEN(1,20))</f>
        <v>C008</v>
      </c>
      <c r="D957" s="3" t="str">
        <f ca="1">INDEX(Routes!$A$2:$A$31,RANDBETWEEN(1,30))</f>
        <v>R017</v>
      </c>
      <c r="E957" s="3" t="str">
        <f ca="1">INDEX(Vehicles!$A$2:$A$21,RANDBETWEEN(1,20))</f>
        <v>V004</v>
      </c>
      <c r="F957" s="3" t="str">
        <f ca="1">INDEX(Drivers!$A$2:$A$31,RANDBETWEEN(1,30))</f>
        <v>D012</v>
      </c>
      <c r="G957" s="3">
        <f t="shared" ca="1" si="239"/>
        <v>19.3</v>
      </c>
      <c r="H957" s="3">
        <f t="shared" ca="1" si="240"/>
        <v>46457</v>
      </c>
      <c r="I957" s="3">
        <f t="shared" ca="1" si="241"/>
        <v>13008</v>
      </c>
      <c r="J957" s="3">
        <f t="shared" ca="1" si="242"/>
        <v>1058</v>
      </c>
      <c r="K957" s="3">
        <f t="shared" ca="1" si="243"/>
        <v>17</v>
      </c>
      <c r="L957" s="3">
        <f t="shared" ca="1" si="244"/>
        <v>24</v>
      </c>
      <c r="M957" s="3">
        <f t="shared" ca="1" si="245"/>
        <v>7</v>
      </c>
      <c r="N957" s="3" t="str">
        <f t="shared" ca="1" si="246"/>
        <v>Delayed</v>
      </c>
      <c r="O957" s="3" t="str">
        <f t="shared" ca="1" si="247"/>
        <v>Low</v>
      </c>
      <c r="P957" s="3">
        <f t="shared" ca="1" si="248"/>
        <v>64.3</v>
      </c>
      <c r="Q957" s="1" t="str">
        <f ca="1">VLOOKUP(D957,Routes!$A$2:$D$31,2,FALSE)</f>
        <v>Kolkata</v>
      </c>
      <c r="R957" s="1" t="str">
        <f ca="1">VLOOKUP(D957,Routes!$A$2:$D$31,3,FALSE)</f>
        <v>Patna</v>
      </c>
      <c r="S957" s="3">
        <f ca="1">VLOOKUP(D957,Routes!$A$2:$D$31,4,FALSE)</f>
        <v>620</v>
      </c>
      <c r="T957" s="3" t="str">
        <f ca="1">VLOOKUP(E957,Vehicles!$A$2:$D$21,2,FALSE)</f>
        <v>Trailer</v>
      </c>
      <c r="U957" s="3">
        <f ca="1">VLOOKUP(E957,Vehicles!$A$2:$D$21,3,FALSE)</f>
        <v>28</v>
      </c>
      <c r="V957" s="3" t="str">
        <f ca="1">VLOOKUP(E957,Vehicles!$A$2:$D$21,4,FALSE)</f>
        <v>Diesel</v>
      </c>
      <c r="W957" s="3">
        <f ca="1">VLOOKUP(V957,Fuel_Rates!$A$2:$B$3,2,FALSE)</f>
        <v>95</v>
      </c>
      <c r="X957" s="3">
        <f t="shared" ca="1" si="250"/>
        <v>74.930000000000007</v>
      </c>
      <c r="Y957" s="3">
        <f t="shared" ca="1" si="251"/>
        <v>60523</v>
      </c>
      <c r="Z957" s="3" t="str">
        <f t="shared" ca="1" si="252"/>
        <v>Mar</v>
      </c>
      <c r="AA957" s="3" t="str">
        <f t="shared" ca="1" si="253"/>
        <v>Q1</v>
      </c>
      <c r="AB957" s="4" t="str">
        <f t="shared" ca="1" si="254"/>
        <v>Medium Haul</v>
      </c>
    </row>
    <row r="958" spans="1:28" x14ac:dyDescent="0.3">
      <c r="A958" s="8" t="str">
        <f t="shared" si="249"/>
        <v>S0957</v>
      </c>
      <c r="B958" s="3">
        <f t="shared" ca="1" si="238"/>
        <v>45819</v>
      </c>
      <c r="C958" s="3" t="str">
        <f ca="1">INDEX(Customers!$A$2:$A$21,RANDBETWEEN(1,20))</f>
        <v>C007</v>
      </c>
      <c r="D958" s="3" t="str">
        <f ca="1">INDEX(Routes!$A$2:$A$31,RANDBETWEEN(1,30))</f>
        <v>R001</v>
      </c>
      <c r="E958" s="3" t="str">
        <f ca="1">INDEX(Vehicles!$A$2:$A$21,RANDBETWEEN(1,20))</f>
        <v>V016</v>
      </c>
      <c r="F958" s="3" t="str">
        <f ca="1">INDEX(Drivers!$A$2:$A$31,RANDBETWEEN(1,30))</f>
        <v>D027</v>
      </c>
      <c r="G958" s="3">
        <f t="shared" ca="1" si="239"/>
        <v>15.3</v>
      </c>
      <c r="H958" s="3">
        <f t="shared" ca="1" si="240"/>
        <v>33494</v>
      </c>
      <c r="I958" s="3">
        <f t="shared" ca="1" si="241"/>
        <v>9378</v>
      </c>
      <c r="J958" s="3">
        <f t="shared" ca="1" si="242"/>
        <v>3874</v>
      </c>
      <c r="K958" s="3">
        <f t="shared" ca="1" si="243"/>
        <v>48</v>
      </c>
      <c r="L958" s="3">
        <f t="shared" ca="1" si="244"/>
        <v>49</v>
      </c>
      <c r="M958" s="3">
        <f t="shared" ca="1" si="245"/>
        <v>1</v>
      </c>
      <c r="N958" s="3" t="str">
        <f t="shared" ca="1" si="246"/>
        <v>On Time</v>
      </c>
      <c r="O958" s="3" t="str">
        <f t="shared" ca="1" si="247"/>
        <v>Low</v>
      </c>
      <c r="P958" s="3">
        <f t="shared" ca="1" si="248"/>
        <v>51</v>
      </c>
      <c r="Q958" s="1" t="str">
        <f ca="1">VLOOKUP(D958,Routes!$A$2:$D$31,2,FALSE)</f>
        <v>Mumbai</v>
      </c>
      <c r="R958" s="1" t="str">
        <f ca="1">VLOOKUP(D958,Routes!$A$2:$D$31,3,FALSE)</f>
        <v>Pune</v>
      </c>
      <c r="S958" s="3">
        <f ca="1">VLOOKUP(D958,Routes!$A$2:$D$31,4,FALSE)</f>
        <v>150</v>
      </c>
      <c r="T958" s="3" t="str">
        <f ca="1">VLOOKUP(E958,Vehicles!$A$2:$D$21,2,FALSE)</f>
        <v>Container</v>
      </c>
      <c r="U958" s="3">
        <f ca="1">VLOOKUP(E958,Vehicles!$A$2:$D$21,3,FALSE)</f>
        <v>22</v>
      </c>
      <c r="V958" s="3" t="str">
        <f ca="1">VLOOKUP(E958,Vehicles!$A$2:$D$21,4,FALSE)</f>
        <v>Diesel</v>
      </c>
      <c r="W958" s="3">
        <f ca="1">VLOOKUP(V958,Fuel_Rates!$A$2:$B$3,2,FALSE)</f>
        <v>95</v>
      </c>
      <c r="X958" s="3">
        <f t="shared" ca="1" si="250"/>
        <v>223.29</v>
      </c>
      <c r="Y958" s="3">
        <f t="shared" ca="1" si="251"/>
        <v>46746</v>
      </c>
      <c r="Z958" s="3" t="str">
        <f t="shared" ca="1" si="252"/>
        <v>Jun</v>
      </c>
      <c r="AA958" s="3" t="str">
        <f t="shared" ca="1" si="253"/>
        <v>Q2</v>
      </c>
      <c r="AB958" s="4" t="str">
        <f t="shared" ca="1" si="254"/>
        <v>Short Haul</v>
      </c>
    </row>
    <row r="959" spans="1:28" x14ac:dyDescent="0.3">
      <c r="A959" s="8" t="str">
        <f t="shared" si="249"/>
        <v>S0958</v>
      </c>
      <c r="B959" s="3">
        <f t="shared" ca="1" si="238"/>
        <v>45787</v>
      </c>
      <c r="C959" s="3" t="str">
        <f ca="1">INDEX(Customers!$A$2:$A$21,RANDBETWEEN(1,20))</f>
        <v>C009</v>
      </c>
      <c r="D959" s="3" t="str">
        <f ca="1">INDEX(Routes!$A$2:$A$31,RANDBETWEEN(1,30))</f>
        <v>R007</v>
      </c>
      <c r="E959" s="3" t="str">
        <f ca="1">INDEX(Vehicles!$A$2:$A$21,RANDBETWEEN(1,20))</f>
        <v>V009</v>
      </c>
      <c r="F959" s="3" t="str">
        <f ca="1">INDEX(Drivers!$A$2:$A$31,RANDBETWEEN(1,30))</f>
        <v>D017</v>
      </c>
      <c r="G959" s="3">
        <f t="shared" ca="1" si="239"/>
        <v>15.5</v>
      </c>
      <c r="H959" s="3">
        <f t="shared" ca="1" si="240"/>
        <v>39895</v>
      </c>
      <c r="I959" s="3">
        <f t="shared" ca="1" si="241"/>
        <v>11171</v>
      </c>
      <c r="J959" s="3">
        <f t="shared" ca="1" si="242"/>
        <v>3372</v>
      </c>
      <c r="K959" s="3">
        <f t="shared" ca="1" si="243"/>
        <v>18</v>
      </c>
      <c r="L959" s="3">
        <f t="shared" ca="1" si="244"/>
        <v>24</v>
      </c>
      <c r="M959" s="3">
        <f t="shared" ca="1" si="245"/>
        <v>6</v>
      </c>
      <c r="N959" s="3" t="str">
        <f t="shared" ca="1" si="246"/>
        <v>Delayed</v>
      </c>
      <c r="O959" s="3" t="str">
        <f t="shared" ca="1" si="247"/>
        <v>Medium</v>
      </c>
      <c r="P959" s="3">
        <f t="shared" ca="1" si="248"/>
        <v>51.7</v>
      </c>
      <c r="Q959" s="1" t="str">
        <f ca="1">VLOOKUP(D959,Routes!$A$2:$D$31,2,FALSE)</f>
        <v>Delhi</v>
      </c>
      <c r="R959" s="1" t="str">
        <f ca="1">VLOOKUP(D959,Routes!$A$2:$D$31,3,FALSE)</f>
        <v>Chandigarh</v>
      </c>
      <c r="S959" s="3">
        <f ca="1">VLOOKUP(D959,Routes!$A$2:$D$31,4,FALSE)</f>
        <v>250</v>
      </c>
      <c r="T959" s="3" t="str">
        <f ca="1">VLOOKUP(E959,Vehicles!$A$2:$D$21,2,FALSE)</f>
        <v>LCV</v>
      </c>
      <c r="U959" s="3">
        <f ca="1">VLOOKUP(E959,Vehicles!$A$2:$D$21,3,FALSE)</f>
        <v>5</v>
      </c>
      <c r="V959" s="3" t="str">
        <f ca="1">VLOOKUP(E959,Vehicles!$A$2:$D$21,4,FALSE)</f>
        <v>Diesel</v>
      </c>
      <c r="W959" s="3">
        <f ca="1">VLOOKUP(V959,Fuel_Rates!$A$2:$B$3,2,FALSE)</f>
        <v>95</v>
      </c>
      <c r="X959" s="3">
        <f t="shared" ca="1" si="250"/>
        <v>159.58000000000001</v>
      </c>
      <c r="Y959" s="3">
        <f t="shared" ca="1" si="251"/>
        <v>54438</v>
      </c>
      <c r="Z959" s="3" t="str">
        <f t="shared" ca="1" si="252"/>
        <v>May</v>
      </c>
      <c r="AA959" s="3" t="str">
        <f t="shared" ca="1" si="253"/>
        <v>Q2</v>
      </c>
      <c r="AB959" s="4" t="str">
        <f t="shared" ca="1" si="254"/>
        <v>Short Haul</v>
      </c>
    </row>
    <row r="960" spans="1:28" x14ac:dyDescent="0.3">
      <c r="A960" s="8" t="str">
        <f t="shared" si="249"/>
        <v>S0959</v>
      </c>
      <c r="B960" s="3">
        <f t="shared" ca="1" si="238"/>
        <v>45752</v>
      </c>
      <c r="C960" s="3" t="str">
        <f ca="1">INDEX(Customers!$A$2:$A$21,RANDBETWEEN(1,20))</f>
        <v>C015</v>
      </c>
      <c r="D960" s="3" t="str">
        <f ca="1">INDEX(Routes!$A$2:$A$31,RANDBETWEEN(1,30))</f>
        <v>R004</v>
      </c>
      <c r="E960" s="3" t="str">
        <f ca="1">INDEX(Vehicles!$A$2:$A$21,RANDBETWEEN(1,20))</f>
        <v>V018</v>
      </c>
      <c r="F960" s="3" t="str">
        <f ca="1">INDEX(Drivers!$A$2:$A$31,RANDBETWEEN(1,30))</f>
        <v>D015</v>
      </c>
      <c r="G960" s="3">
        <f t="shared" ca="1" si="239"/>
        <v>8.8000000000000007</v>
      </c>
      <c r="H960" s="3">
        <f t="shared" ca="1" si="240"/>
        <v>22370</v>
      </c>
      <c r="I960" s="3">
        <f t="shared" ca="1" si="241"/>
        <v>6264</v>
      </c>
      <c r="J960" s="3">
        <f t="shared" ca="1" si="242"/>
        <v>2043</v>
      </c>
      <c r="K960" s="3">
        <f t="shared" ca="1" si="243"/>
        <v>40</v>
      </c>
      <c r="L960" s="3">
        <f t="shared" ca="1" si="244"/>
        <v>42</v>
      </c>
      <c r="M960" s="3">
        <f t="shared" ca="1" si="245"/>
        <v>2</v>
      </c>
      <c r="N960" s="3" t="str">
        <f t="shared" ca="1" si="246"/>
        <v>On Time</v>
      </c>
      <c r="O960" s="3" t="str">
        <f t="shared" ca="1" si="247"/>
        <v>Medium</v>
      </c>
      <c r="P960" s="3">
        <f t="shared" ca="1" si="248"/>
        <v>29.3</v>
      </c>
      <c r="Q960" s="1" t="str">
        <f ca="1">VLOOKUP(D960,Routes!$A$2:$D$31,2,FALSE)</f>
        <v>Mumbai</v>
      </c>
      <c r="R960" s="1" t="str">
        <f ca="1">VLOOKUP(D960,Routes!$A$2:$D$31,3,FALSE)</f>
        <v>Bengaluru</v>
      </c>
      <c r="S960" s="3">
        <f ca="1">VLOOKUP(D960,Routes!$A$2:$D$31,4,FALSE)</f>
        <v>980</v>
      </c>
      <c r="T960" s="3" t="str">
        <f ca="1">VLOOKUP(E960,Vehicles!$A$2:$D$21,2,FALSE)</f>
        <v>Truck</v>
      </c>
      <c r="U960" s="3">
        <f ca="1">VLOOKUP(E960,Vehicles!$A$2:$D$21,3,FALSE)</f>
        <v>26</v>
      </c>
      <c r="V960" s="3" t="str">
        <f ca="1">VLOOKUP(E960,Vehicles!$A$2:$D$21,4,FALSE)</f>
        <v>Diesel</v>
      </c>
      <c r="W960" s="3">
        <f ca="1">VLOOKUP(V960,Fuel_Rates!$A$2:$B$3,2,FALSE)</f>
        <v>95</v>
      </c>
      <c r="X960" s="3">
        <f t="shared" ca="1" si="250"/>
        <v>22.83</v>
      </c>
      <c r="Y960" s="3">
        <f t="shared" ca="1" si="251"/>
        <v>30677</v>
      </c>
      <c r="Z960" s="3" t="str">
        <f t="shared" ca="1" si="252"/>
        <v>Apr</v>
      </c>
      <c r="AA960" s="3" t="str">
        <f t="shared" ca="1" si="253"/>
        <v>Q2</v>
      </c>
      <c r="AB960" s="4" t="str">
        <f t="shared" ca="1" si="254"/>
        <v>Long Haul</v>
      </c>
    </row>
    <row r="961" spans="1:28" x14ac:dyDescent="0.3">
      <c r="A961" s="8" t="str">
        <f t="shared" si="249"/>
        <v>S0960</v>
      </c>
      <c r="B961" s="3">
        <f t="shared" ca="1" si="238"/>
        <v>45949</v>
      </c>
      <c r="C961" s="3" t="str">
        <f ca="1">INDEX(Customers!$A$2:$A$21,RANDBETWEEN(1,20))</f>
        <v>C005</v>
      </c>
      <c r="D961" s="3" t="str">
        <f ca="1">INDEX(Routes!$A$2:$A$31,RANDBETWEEN(1,30))</f>
        <v>R026</v>
      </c>
      <c r="E961" s="3" t="str">
        <f ca="1">INDEX(Vehicles!$A$2:$A$21,RANDBETWEEN(1,20))</f>
        <v>V014</v>
      </c>
      <c r="F961" s="3" t="str">
        <f ca="1">INDEX(Drivers!$A$2:$A$31,RANDBETWEEN(1,30))</f>
        <v>D005</v>
      </c>
      <c r="G961" s="3">
        <f t="shared" ca="1" si="239"/>
        <v>8.6999999999999993</v>
      </c>
      <c r="H961" s="3">
        <f t="shared" ca="1" si="240"/>
        <v>20811</v>
      </c>
      <c r="I961" s="3">
        <f t="shared" ca="1" si="241"/>
        <v>5827</v>
      </c>
      <c r="J961" s="3">
        <f t="shared" ca="1" si="242"/>
        <v>1738</v>
      </c>
      <c r="K961" s="3">
        <f t="shared" ca="1" si="243"/>
        <v>29</v>
      </c>
      <c r="L961" s="3">
        <f t="shared" ca="1" si="244"/>
        <v>34</v>
      </c>
      <c r="M961" s="3">
        <f t="shared" ca="1" si="245"/>
        <v>5</v>
      </c>
      <c r="N961" s="3" t="str">
        <f t="shared" ca="1" si="246"/>
        <v>Delayed</v>
      </c>
      <c r="O961" s="3" t="str">
        <f t="shared" ca="1" si="247"/>
        <v>Medium</v>
      </c>
      <c r="P961" s="3">
        <f t="shared" ca="1" si="248"/>
        <v>29</v>
      </c>
      <c r="Q961" s="1" t="str">
        <f ca="1">VLOOKUP(D961,Routes!$A$2:$D$31,2,FALSE)</f>
        <v>Nagpur</v>
      </c>
      <c r="R961" s="1" t="str">
        <f ca="1">VLOOKUP(D961,Routes!$A$2:$D$31,3,FALSE)</f>
        <v>Bhopal</v>
      </c>
      <c r="S961" s="3">
        <f ca="1">VLOOKUP(D961,Routes!$A$2:$D$31,4,FALSE)</f>
        <v>350</v>
      </c>
      <c r="T961" s="3" t="str">
        <f ca="1">VLOOKUP(E961,Vehicles!$A$2:$D$21,2,FALSE)</f>
        <v>LCV</v>
      </c>
      <c r="U961" s="3">
        <f ca="1">VLOOKUP(E961,Vehicles!$A$2:$D$21,3,FALSE)</f>
        <v>6</v>
      </c>
      <c r="V961" s="3" t="str">
        <f ca="1">VLOOKUP(E961,Vehicles!$A$2:$D$21,4,FALSE)</f>
        <v>CNG</v>
      </c>
      <c r="W961" s="3">
        <f ca="1">VLOOKUP(V961,Fuel_Rates!$A$2:$B$3,2,FALSE)</f>
        <v>78</v>
      </c>
      <c r="X961" s="3">
        <f t="shared" ca="1" si="250"/>
        <v>59.46</v>
      </c>
      <c r="Y961" s="3">
        <f t="shared" ca="1" si="251"/>
        <v>28376</v>
      </c>
      <c r="Z961" s="3" t="str">
        <f t="shared" ca="1" si="252"/>
        <v>Oct</v>
      </c>
      <c r="AA961" s="3" t="str">
        <f t="shared" ca="1" si="253"/>
        <v>Q4</v>
      </c>
      <c r="AB961" s="4" t="str">
        <f t="shared" ca="1" si="254"/>
        <v>Medium Haul</v>
      </c>
    </row>
    <row r="962" spans="1:28" x14ac:dyDescent="0.3">
      <c r="A962" s="8" t="str">
        <f t="shared" si="249"/>
        <v>S0961</v>
      </c>
      <c r="B962" s="3">
        <f t="shared" ref="B962:B1001" ca="1" si="255">DATE(2025,RANDBETWEEN(1,12),RANDBETWEEN(1,28))</f>
        <v>45978</v>
      </c>
      <c r="C962" s="3" t="str">
        <f ca="1">INDEX(Customers!$A$2:$A$21,RANDBETWEEN(1,20))</f>
        <v>C007</v>
      </c>
      <c r="D962" s="3" t="str">
        <f ca="1">INDEX(Routes!$A$2:$A$31,RANDBETWEEN(1,30))</f>
        <v>R019</v>
      </c>
      <c r="E962" s="3" t="str">
        <f ca="1">INDEX(Vehicles!$A$2:$A$21,RANDBETWEEN(1,20))</f>
        <v>V011</v>
      </c>
      <c r="F962" s="3" t="str">
        <f ca="1">INDEX(Drivers!$A$2:$A$31,RANDBETWEEN(1,30))</f>
        <v>D029</v>
      </c>
      <c r="G962" s="3">
        <f t="shared" ref="G962:G1001" ca="1" si="256">ROUND(RANDBETWEEN(20,300)/10,1)</f>
        <v>25.5</v>
      </c>
      <c r="H962" s="3">
        <f t="shared" ref="H962:H1001" ca="1" si="257">ROUND((G962*1800)+RANDBETWEEN(3000,15000),0)</f>
        <v>56193</v>
      </c>
      <c r="I962" s="3">
        <f t="shared" ref="I962:I1001" ca="1" si="258">ROUND(H962*0.28,0)</f>
        <v>15734</v>
      </c>
      <c r="J962" s="3">
        <f t="shared" ref="J962:J1001" ca="1" si="259">RANDBETWEEN(500,4000)</f>
        <v>555</v>
      </c>
      <c r="K962" s="3">
        <f t="shared" ref="K962:K1001" ca="1" si="260">RANDBETWEEN(4,48)</f>
        <v>33</v>
      </c>
      <c r="L962" s="3">
        <f t="shared" ref="L962:L1001" ca="1" si="261">K962+RANDBETWEEN(0,8)</f>
        <v>40</v>
      </c>
      <c r="M962" s="3">
        <f t="shared" ref="M962:M1001" ca="1" si="262">L962-K962</f>
        <v>7</v>
      </c>
      <c r="N962" s="3" t="str">
        <f t="shared" ref="N962:N1001" ca="1" si="263">IF(M962&lt;=2,"On Time","Delayed")</f>
        <v>Delayed</v>
      </c>
      <c r="O962" s="3" t="str">
        <f t="shared" ref="O962:O1001" ca="1" si="264">CHOOSE(RANDBETWEEN(1,3),"High","Medium","Low")</f>
        <v>High</v>
      </c>
      <c r="P962" s="3">
        <f t="shared" ref="P962:P1001" ca="1" si="265">ROUND((G962/30)*100,1)</f>
        <v>85</v>
      </c>
      <c r="Q962" s="1" t="str">
        <f ca="1">VLOOKUP(D962,Routes!$A$2:$D$31,2,FALSE)</f>
        <v>Ahmedabad</v>
      </c>
      <c r="R962" s="1" t="str">
        <f ca="1">VLOOKUP(D962,Routes!$A$2:$D$31,3,FALSE)</f>
        <v>Indore</v>
      </c>
      <c r="S962" s="3">
        <f ca="1">VLOOKUP(D962,Routes!$A$2:$D$31,4,FALSE)</f>
        <v>390</v>
      </c>
      <c r="T962" s="3" t="str">
        <f ca="1">VLOOKUP(E962,Vehicles!$A$2:$D$21,2,FALSE)</f>
        <v>Truck</v>
      </c>
      <c r="U962" s="3">
        <f ca="1">VLOOKUP(E962,Vehicles!$A$2:$D$21,3,FALSE)</f>
        <v>18</v>
      </c>
      <c r="V962" s="3" t="str">
        <f ca="1">VLOOKUP(E962,Vehicles!$A$2:$D$21,4,FALSE)</f>
        <v>CNG</v>
      </c>
      <c r="W962" s="3">
        <f ca="1">VLOOKUP(V962,Fuel_Rates!$A$2:$B$3,2,FALSE)</f>
        <v>78</v>
      </c>
      <c r="X962" s="3">
        <f t="shared" ca="1" si="250"/>
        <v>144.08000000000001</v>
      </c>
      <c r="Y962" s="3">
        <f t="shared" ca="1" si="251"/>
        <v>72482</v>
      </c>
      <c r="Z962" s="3" t="str">
        <f t="shared" ca="1" si="252"/>
        <v>Nov</v>
      </c>
      <c r="AA962" s="3" t="str">
        <f t="shared" ca="1" si="253"/>
        <v>Q4</v>
      </c>
      <c r="AB962" s="4" t="str">
        <f t="shared" ca="1" si="254"/>
        <v>Medium Haul</v>
      </c>
    </row>
    <row r="963" spans="1:28" x14ac:dyDescent="0.3">
      <c r="A963" s="8" t="str">
        <f t="shared" ref="A963:A1001" si="266">"S"&amp;TEXT(ROW()-1,"0000")</f>
        <v>S0962</v>
      </c>
      <c r="B963" s="3">
        <f t="shared" ca="1" si="255"/>
        <v>45884</v>
      </c>
      <c r="C963" s="3" t="str">
        <f ca="1">INDEX(Customers!$A$2:$A$21,RANDBETWEEN(1,20))</f>
        <v>C010</v>
      </c>
      <c r="D963" s="3" t="str">
        <f ca="1">INDEX(Routes!$A$2:$A$31,RANDBETWEEN(1,30))</f>
        <v>R002</v>
      </c>
      <c r="E963" s="3" t="str">
        <f ca="1">INDEX(Vehicles!$A$2:$A$21,RANDBETWEEN(1,20))</f>
        <v>V017</v>
      </c>
      <c r="F963" s="3" t="str">
        <f ca="1">INDEX(Drivers!$A$2:$A$31,RANDBETWEEN(1,30))</f>
        <v>D024</v>
      </c>
      <c r="G963" s="3">
        <f t="shared" ca="1" si="256"/>
        <v>15.4</v>
      </c>
      <c r="H963" s="3">
        <f t="shared" ca="1" si="257"/>
        <v>42249</v>
      </c>
      <c r="I963" s="3">
        <f t="shared" ca="1" si="258"/>
        <v>11830</v>
      </c>
      <c r="J963" s="3">
        <f t="shared" ca="1" si="259"/>
        <v>2083</v>
      </c>
      <c r="K963" s="3">
        <f t="shared" ca="1" si="260"/>
        <v>48</v>
      </c>
      <c r="L963" s="3">
        <f t="shared" ca="1" si="261"/>
        <v>49</v>
      </c>
      <c r="M963" s="3">
        <f t="shared" ca="1" si="262"/>
        <v>1</v>
      </c>
      <c r="N963" s="3" t="str">
        <f t="shared" ca="1" si="263"/>
        <v>On Time</v>
      </c>
      <c r="O963" s="3" t="str">
        <f t="shared" ca="1" si="264"/>
        <v>Low</v>
      </c>
      <c r="P963" s="3">
        <f t="shared" ca="1" si="265"/>
        <v>51.3</v>
      </c>
      <c r="Q963" s="1" t="str">
        <f ca="1">VLOOKUP(D963,Routes!$A$2:$D$31,2,FALSE)</f>
        <v>Mumbai</v>
      </c>
      <c r="R963" s="1" t="str">
        <f ca="1">VLOOKUP(D963,Routes!$A$2:$D$31,3,FALSE)</f>
        <v>Ahmedabad</v>
      </c>
      <c r="S963" s="3">
        <f ca="1">VLOOKUP(D963,Routes!$A$2:$D$31,4,FALSE)</f>
        <v>530</v>
      </c>
      <c r="T963" s="3" t="str">
        <f ca="1">VLOOKUP(E963,Vehicles!$A$2:$D$21,2,FALSE)</f>
        <v>Truck</v>
      </c>
      <c r="U963" s="3">
        <f ca="1">VLOOKUP(E963,Vehicles!$A$2:$D$21,3,FALSE)</f>
        <v>24</v>
      </c>
      <c r="V963" s="3" t="str">
        <f ca="1">VLOOKUP(E963,Vehicles!$A$2:$D$21,4,FALSE)</f>
        <v>Diesel</v>
      </c>
      <c r="W963" s="3">
        <f ca="1">VLOOKUP(V963,Fuel_Rates!$A$2:$B$3,2,FALSE)</f>
        <v>95</v>
      </c>
      <c r="X963" s="3">
        <f t="shared" ref="X963:X1001" ca="1" si="267">ROUND(H963/S963,2)</f>
        <v>79.72</v>
      </c>
      <c r="Y963" s="3">
        <f t="shared" ref="Y963:Y1001" ca="1" si="268">H963+I963+J963</f>
        <v>56162</v>
      </c>
      <c r="Z963" s="3" t="str">
        <f t="shared" ref="Z963:Z1001" ca="1" si="269">TEXT(B963,"mmm")</f>
        <v>Aug</v>
      </c>
      <c r="AA963" s="3" t="str">
        <f t="shared" ref="AA963:AA1001" ca="1" si="270">"Q"&amp;ROUNDUP(MONTH(B963)/3,0)</f>
        <v>Q3</v>
      </c>
      <c r="AB963" s="4" t="str">
        <f t="shared" ref="AB963:AB1001" ca="1" si="271">IF(S963&lt;300,"Short Haul",IF(S963&lt;800,"Medium Haul","Long Haul"))</f>
        <v>Medium Haul</v>
      </c>
    </row>
    <row r="964" spans="1:28" x14ac:dyDescent="0.3">
      <c r="A964" s="8" t="str">
        <f t="shared" si="266"/>
        <v>S0963</v>
      </c>
      <c r="B964" s="3">
        <f t="shared" ca="1" si="255"/>
        <v>45778</v>
      </c>
      <c r="C964" s="3" t="str">
        <f ca="1">INDEX(Customers!$A$2:$A$21,RANDBETWEEN(1,20))</f>
        <v>C003</v>
      </c>
      <c r="D964" s="3" t="str">
        <f ca="1">INDEX(Routes!$A$2:$A$31,RANDBETWEEN(1,30))</f>
        <v>R016</v>
      </c>
      <c r="E964" s="3" t="str">
        <f ca="1">INDEX(Vehicles!$A$2:$A$21,RANDBETWEEN(1,20))</f>
        <v>V005</v>
      </c>
      <c r="F964" s="3" t="str">
        <f ca="1">INDEX(Drivers!$A$2:$A$31,RANDBETWEEN(1,30))</f>
        <v>D021</v>
      </c>
      <c r="G964" s="3">
        <f t="shared" ca="1" si="256"/>
        <v>3.8</v>
      </c>
      <c r="H964" s="3">
        <f t="shared" ca="1" si="257"/>
        <v>10407</v>
      </c>
      <c r="I964" s="3">
        <f t="shared" ca="1" si="258"/>
        <v>2914</v>
      </c>
      <c r="J964" s="3">
        <f t="shared" ca="1" si="259"/>
        <v>3686</v>
      </c>
      <c r="K964" s="3">
        <f t="shared" ca="1" si="260"/>
        <v>4</v>
      </c>
      <c r="L964" s="3">
        <f t="shared" ca="1" si="261"/>
        <v>11</v>
      </c>
      <c r="M964" s="3">
        <f t="shared" ca="1" si="262"/>
        <v>7</v>
      </c>
      <c r="N964" s="3" t="str">
        <f t="shared" ca="1" si="263"/>
        <v>Delayed</v>
      </c>
      <c r="O964" s="3" t="str">
        <f t="shared" ca="1" si="264"/>
        <v>Low</v>
      </c>
      <c r="P964" s="3">
        <f t="shared" ca="1" si="265"/>
        <v>12.7</v>
      </c>
      <c r="Q964" s="1" t="str">
        <f ca="1">VLOOKUP(D964,Routes!$A$2:$D$31,2,FALSE)</f>
        <v>Kolkata</v>
      </c>
      <c r="R964" s="1" t="str">
        <f ca="1">VLOOKUP(D964,Routes!$A$2:$D$31,3,FALSE)</f>
        <v>Bhubaneswar</v>
      </c>
      <c r="S964" s="3">
        <f ca="1">VLOOKUP(D964,Routes!$A$2:$D$31,4,FALSE)</f>
        <v>440</v>
      </c>
      <c r="T964" s="3" t="str">
        <f ca="1">VLOOKUP(E964,Vehicles!$A$2:$D$21,2,FALSE)</f>
        <v>Trailer</v>
      </c>
      <c r="U964" s="3">
        <f ca="1">VLOOKUP(E964,Vehicles!$A$2:$D$21,3,FALSE)</f>
        <v>32</v>
      </c>
      <c r="V964" s="3" t="str">
        <f ca="1">VLOOKUP(E964,Vehicles!$A$2:$D$21,4,FALSE)</f>
        <v>Diesel</v>
      </c>
      <c r="W964" s="3">
        <f ca="1">VLOOKUP(V964,Fuel_Rates!$A$2:$B$3,2,FALSE)</f>
        <v>95</v>
      </c>
      <c r="X964" s="3">
        <f t="shared" ca="1" si="267"/>
        <v>23.65</v>
      </c>
      <c r="Y964" s="3">
        <f t="shared" ca="1" si="268"/>
        <v>17007</v>
      </c>
      <c r="Z964" s="3" t="str">
        <f t="shared" ca="1" si="269"/>
        <v>May</v>
      </c>
      <c r="AA964" s="3" t="str">
        <f t="shared" ca="1" si="270"/>
        <v>Q2</v>
      </c>
      <c r="AB964" s="4" t="str">
        <f t="shared" ca="1" si="271"/>
        <v>Medium Haul</v>
      </c>
    </row>
    <row r="965" spans="1:28" x14ac:dyDescent="0.3">
      <c r="A965" s="8" t="str">
        <f t="shared" si="266"/>
        <v>S0964</v>
      </c>
      <c r="B965" s="3">
        <f t="shared" ca="1" si="255"/>
        <v>45854</v>
      </c>
      <c r="C965" s="3" t="str">
        <f ca="1">INDEX(Customers!$A$2:$A$21,RANDBETWEEN(1,20))</f>
        <v>C010</v>
      </c>
      <c r="D965" s="3" t="str">
        <f ca="1">INDEX(Routes!$A$2:$A$31,RANDBETWEEN(1,30))</f>
        <v>R010</v>
      </c>
      <c r="E965" s="3" t="str">
        <f ca="1">INDEX(Vehicles!$A$2:$A$21,RANDBETWEEN(1,20))</f>
        <v>V020</v>
      </c>
      <c r="F965" s="3" t="str">
        <f ca="1">INDEX(Drivers!$A$2:$A$31,RANDBETWEEN(1,30))</f>
        <v>D014</v>
      </c>
      <c r="G965" s="3">
        <f t="shared" ca="1" si="256"/>
        <v>4.4000000000000004</v>
      </c>
      <c r="H965" s="3">
        <f t="shared" ca="1" si="257"/>
        <v>17923</v>
      </c>
      <c r="I965" s="3">
        <f t="shared" ca="1" si="258"/>
        <v>5018</v>
      </c>
      <c r="J965" s="3">
        <f t="shared" ca="1" si="259"/>
        <v>3373</v>
      </c>
      <c r="K965" s="3">
        <f t="shared" ca="1" si="260"/>
        <v>48</v>
      </c>
      <c r="L965" s="3">
        <f t="shared" ca="1" si="261"/>
        <v>52</v>
      </c>
      <c r="M965" s="3">
        <f t="shared" ca="1" si="262"/>
        <v>4</v>
      </c>
      <c r="N965" s="3" t="str">
        <f t="shared" ca="1" si="263"/>
        <v>Delayed</v>
      </c>
      <c r="O965" s="3" t="str">
        <f t="shared" ca="1" si="264"/>
        <v>Low</v>
      </c>
      <c r="P965" s="3">
        <f t="shared" ca="1" si="265"/>
        <v>14.7</v>
      </c>
      <c r="Q965" s="1" t="str">
        <f ca="1">VLOOKUP(D965,Routes!$A$2:$D$31,2,FALSE)</f>
        <v>Bengaluru</v>
      </c>
      <c r="R965" s="1" t="str">
        <f ca="1">VLOOKUP(D965,Routes!$A$2:$D$31,3,FALSE)</f>
        <v>Hyderabad</v>
      </c>
      <c r="S965" s="3">
        <f ca="1">VLOOKUP(D965,Routes!$A$2:$D$31,4,FALSE)</f>
        <v>570</v>
      </c>
      <c r="T965" s="3" t="str">
        <f ca="1">VLOOKUP(E965,Vehicles!$A$2:$D$21,2,FALSE)</f>
        <v>Container</v>
      </c>
      <c r="U965" s="3">
        <f ca="1">VLOOKUP(E965,Vehicles!$A$2:$D$21,3,FALSE)</f>
        <v>28</v>
      </c>
      <c r="V965" s="3" t="str">
        <f ca="1">VLOOKUP(E965,Vehicles!$A$2:$D$21,4,FALSE)</f>
        <v>Diesel</v>
      </c>
      <c r="W965" s="3">
        <f ca="1">VLOOKUP(V965,Fuel_Rates!$A$2:$B$3,2,FALSE)</f>
        <v>95</v>
      </c>
      <c r="X965" s="3">
        <f t="shared" ca="1" si="267"/>
        <v>31.44</v>
      </c>
      <c r="Y965" s="3">
        <f t="shared" ca="1" si="268"/>
        <v>26314</v>
      </c>
      <c r="Z965" s="3" t="str">
        <f t="shared" ca="1" si="269"/>
        <v>Jul</v>
      </c>
      <c r="AA965" s="3" t="str">
        <f t="shared" ca="1" si="270"/>
        <v>Q3</v>
      </c>
      <c r="AB965" s="4" t="str">
        <f t="shared" ca="1" si="271"/>
        <v>Medium Haul</v>
      </c>
    </row>
    <row r="966" spans="1:28" x14ac:dyDescent="0.3">
      <c r="A966" s="8" t="str">
        <f t="shared" si="266"/>
        <v>S0965</v>
      </c>
      <c r="B966" s="3">
        <f t="shared" ca="1" si="255"/>
        <v>45933</v>
      </c>
      <c r="C966" s="3" t="str">
        <f ca="1">INDEX(Customers!$A$2:$A$21,RANDBETWEEN(1,20))</f>
        <v>C020</v>
      </c>
      <c r="D966" s="3" t="str">
        <f ca="1">INDEX(Routes!$A$2:$A$31,RANDBETWEEN(1,30))</f>
        <v>R001</v>
      </c>
      <c r="E966" s="3" t="str">
        <f ca="1">INDEX(Vehicles!$A$2:$A$21,RANDBETWEEN(1,20))</f>
        <v>V014</v>
      </c>
      <c r="F966" s="3" t="str">
        <f ca="1">INDEX(Drivers!$A$2:$A$31,RANDBETWEEN(1,30))</f>
        <v>D013</v>
      </c>
      <c r="G966" s="3">
        <f t="shared" ca="1" si="256"/>
        <v>16.399999999999999</v>
      </c>
      <c r="H966" s="3">
        <f t="shared" ca="1" si="257"/>
        <v>37109</v>
      </c>
      <c r="I966" s="3">
        <f t="shared" ca="1" si="258"/>
        <v>10391</v>
      </c>
      <c r="J966" s="3">
        <f t="shared" ca="1" si="259"/>
        <v>3020</v>
      </c>
      <c r="K966" s="3">
        <f t="shared" ca="1" si="260"/>
        <v>23</v>
      </c>
      <c r="L966" s="3">
        <f t="shared" ca="1" si="261"/>
        <v>24</v>
      </c>
      <c r="M966" s="3">
        <f t="shared" ca="1" si="262"/>
        <v>1</v>
      </c>
      <c r="N966" s="3" t="str">
        <f t="shared" ca="1" si="263"/>
        <v>On Time</v>
      </c>
      <c r="O966" s="3" t="str">
        <f t="shared" ca="1" si="264"/>
        <v>Medium</v>
      </c>
      <c r="P966" s="3">
        <f t="shared" ca="1" si="265"/>
        <v>54.7</v>
      </c>
      <c r="Q966" s="1" t="str">
        <f ca="1">VLOOKUP(D966,Routes!$A$2:$D$31,2,FALSE)</f>
        <v>Mumbai</v>
      </c>
      <c r="R966" s="1" t="str">
        <f ca="1">VLOOKUP(D966,Routes!$A$2:$D$31,3,FALSE)</f>
        <v>Pune</v>
      </c>
      <c r="S966" s="3">
        <f ca="1">VLOOKUP(D966,Routes!$A$2:$D$31,4,FALSE)</f>
        <v>150</v>
      </c>
      <c r="T966" s="3" t="str">
        <f ca="1">VLOOKUP(E966,Vehicles!$A$2:$D$21,2,FALSE)</f>
        <v>LCV</v>
      </c>
      <c r="U966" s="3">
        <f ca="1">VLOOKUP(E966,Vehicles!$A$2:$D$21,3,FALSE)</f>
        <v>6</v>
      </c>
      <c r="V966" s="3" t="str">
        <f ca="1">VLOOKUP(E966,Vehicles!$A$2:$D$21,4,FALSE)</f>
        <v>CNG</v>
      </c>
      <c r="W966" s="3">
        <f ca="1">VLOOKUP(V966,Fuel_Rates!$A$2:$B$3,2,FALSE)</f>
        <v>78</v>
      </c>
      <c r="X966" s="3">
        <f t="shared" ca="1" si="267"/>
        <v>247.39</v>
      </c>
      <c r="Y966" s="3">
        <f t="shared" ca="1" si="268"/>
        <v>50520</v>
      </c>
      <c r="Z966" s="3" t="str">
        <f t="shared" ca="1" si="269"/>
        <v>Oct</v>
      </c>
      <c r="AA966" s="3" t="str">
        <f t="shared" ca="1" si="270"/>
        <v>Q4</v>
      </c>
      <c r="AB966" s="4" t="str">
        <f t="shared" ca="1" si="271"/>
        <v>Short Haul</v>
      </c>
    </row>
    <row r="967" spans="1:28" x14ac:dyDescent="0.3">
      <c r="A967" s="8" t="str">
        <f t="shared" si="266"/>
        <v>S0966</v>
      </c>
      <c r="B967" s="3">
        <f t="shared" ca="1" si="255"/>
        <v>45774</v>
      </c>
      <c r="C967" s="3" t="str">
        <f ca="1">INDEX(Customers!$A$2:$A$21,RANDBETWEEN(1,20))</f>
        <v>C006</v>
      </c>
      <c r="D967" s="3" t="str">
        <f ca="1">INDEX(Routes!$A$2:$A$31,RANDBETWEEN(1,30))</f>
        <v>R014</v>
      </c>
      <c r="E967" s="3" t="str">
        <f ca="1">INDEX(Vehicles!$A$2:$A$21,RANDBETWEEN(1,20))</f>
        <v>V014</v>
      </c>
      <c r="F967" s="3" t="str">
        <f ca="1">INDEX(Drivers!$A$2:$A$31,RANDBETWEEN(1,30))</f>
        <v>D027</v>
      </c>
      <c r="G967" s="3">
        <f t="shared" ca="1" si="256"/>
        <v>14.3</v>
      </c>
      <c r="H967" s="3">
        <f t="shared" ca="1" si="257"/>
        <v>31572</v>
      </c>
      <c r="I967" s="3">
        <f t="shared" ca="1" si="258"/>
        <v>8840</v>
      </c>
      <c r="J967" s="3">
        <f t="shared" ca="1" si="259"/>
        <v>1796</v>
      </c>
      <c r="K967" s="3">
        <f t="shared" ca="1" si="260"/>
        <v>23</v>
      </c>
      <c r="L967" s="3">
        <f t="shared" ca="1" si="261"/>
        <v>26</v>
      </c>
      <c r="M967" s="3">
        <f t="shared" ca="1" si="262"/>
        <v>3</v>
      </c>
      <c r="N967" s="3" t="str">
        <f t="shared" ca="1" si="263"/>
        <v>Delayed</v>
      </c>
      <c r="O967" s="3" t="str">
        <f t="shared" ca="1" si="264"/>
        <v>Medium</v>
      </c>
      <c r="P967" s="3">
        <f t="shared" ca="1" si="265"/>
        <v>47.7</v>
      </c>
      <c r="Q967" s="1" t="str">
        <f ca="1">VLOOKUP(D967,Routes!$A$2:$D$31,2,FALSE)</f>
        <v>Hyderabad</v>
      </c>
      <c r="R967" s="1" t="str">
        <f ca="1">VLOOKUP(D967,Routes!$A$2:$D$31,3,FALSE)</f>
        <v>Nagpur</v>
      </c>
      <c r="S967" s="3">
        <f ca="1">VLOOKUP(D967,Routes!$A$2:$D$31,4,FALSE)</f>
        <v>500</v>
      </c>
      <c r="T967" s="3" t="str">
        <f ca="1">VLOOKUP(E967,Vehicles!$A$2:$D$21,2,FALSE)</f>
        <v>LCV</v>
      </c>
      <c r="U967" s="3">
        <f ca="1">VLOOKUP(E967,Vehicles!$A$2:$D$21,3,FALSE)</f>
        <v>6</v>
      </c>
      <c r="V967" s="3" t="str">
        <f ca="1">VLOOKUP(E967,Vehicles!$A$2:$D$21,4,FALSE)</f>
        <v>CNG</v>
      </c>
      <c r="W967" s="3">
        <f ca="1">VLOOKUP(V967,Fuel_Rates!$A$2:$B$3,2,FALSE)</f>
        <v>78</v>
      </c>
      <c r="X967" s="3">
        <f t="shared" ca="1" si="267"/>
        <v>63.14</v>
      </c>
      <c r="Y967" s="3">
        <f t="shared" ca="1" si="268"/>
        <v>42208</v>
      </c>
      <c r="Z967" s="3" t="str">
        <f t="shared" ca="1" si="269"/>
        <v>Apr</v>
      </c>
      <c r="AA967" s="3" t="str">
        <f t="shared" ca="1" si="270"/>
        <v>Q2</v>
      </c>
      <c r="AB967" s="4" t="str">
        <f t="shared" ca="1" si="271"/>
        <v>Medium Haul</v>
      </c>
    </row>
    <row r="968" spans="1:28" x14ac:dyDescent="0.3">
      <c r="A968" s="8" t="str">
        <f t="shared" si="266"/>
        <v>S0967</v>
      </c>
      <c r="B968" s="3">
        <f t="shared" ca="1" si="255"/>
        <v>46019</v>
      </c>
      <c r="C968" s="3" t="str">
        <f ca="1">INDEX(Customers!$A$2:$A$21,RANDBETWEEN(1,20))</f>
        <v>C011</v>
      </c>
      <c r="D968" s="3" t="str">
        <f ca="1">INDEX(Routes!$A$2:$A$31,RANDBETWEEN(1,30))</f>
        <v>R019</v>
      </c>
      <c r="E968" s="3" t="str">
        <f ca="1">INDEX(Vehicles!$A$2:$A$21,RANDBETWEEN(1,20))</f>
        <v>V017</v>
      </c>
      <c r="F968" s="3" t="str">
        <f ca="1">INDEX(Drivers!$A$2:$A$31,RANDBETWEEN(1,30))</f>
        <v>D026</v>
      </c>
      <c r="G968" s="3">
        <f t="shared" ca="1" si="256"/>
        <v>14.6</v>
      </c>
      <c r="H968" s="3">
        <f t="shared" ca="1" si="257"/>
        <v>32478</v>
      </c>
      <c r="I968" s="3">
        <f t="shared" ca="1" si="258"/>
        <v>9094</v>
      </c>
      <c r="J968" s="3">
        <f t="shared" ca="1" si="259"/>
        <v>1530</v>
      </c>
      <c r="K968" s="3">
        <f t="shared" ca="1" si="260"/>
        <v>16</v>
      </c>
      <c r="L968" s="3">
        <f t="shared" ca="1" si="261"/>
        <v>24</v>
      </c>
      <c r="M968" s="3">
        <f t="shared" ca="1" si="262"/>
        <v>8</v>
      </c>
      <c r="N968" s="3" t="str">
        <f t="shared" ca="1" si="263"/>
        <v>Delayed</v>
      </c>
      <c r="O968" s="3" t="str">
        <f t="shared" ca="1" si="264"/>
        <v>Medium</v>
      </c>
      <c r="P968" s="3">
        <f t="shared" ca="1" si="265"/>
        <v>48.7</v>
      </c>
      <c r="Q968" s="1" t="str">
        <f ca="1">VLOOKUP(D968,Routes!$A$2:$D$31,2,FALSE)</f>
        <v>Ahmedabad</v>
      </c>
      <c r="R968" s="1" t="str">
        <f ca="1">VLOOKUP(D968,Routes!$A$2:$D$31,3,FALSE)</f>
        <v>Indore</v>
      </c>
      <c r="S968" s="3">
        <f ca="1">VLOOKUP(D968,Routes!$A$2:$D$31,4,FALSE)</f>
        <v>390</v>
      </c>
      <c r="T968" s="3" t="str">
        <f ca="1">VLOOKUP(E968,Vehicles!$A$2:$D$21,2,FALSE)</f>
        <v>Truck</v>
      </c>
      <c r="U968" s="3">
        <f ca="1">VLOOKUP(E968,Vehicles!$A$2:$D$21,3,FALSE)</f>
        <v>24</v>
      </c>
      <c r="V968" s="3" t="str">
        <f ca="1">VLOOKUP(E968,Vehicles!$A$2:$D$21,4,FALSE)</f>
        <v>Diesel</v>
      </c>
      <c r="W968" s="3">
        <f ca="1">VLOOKUP(V968,Fuel_Rates!$A$2:$B$3,2,FALSE)</f>
        <v>95</v>
      </c>
      <c r="X968" s="3">
        <f t="shared" ca="1" si="267"/>
        <v>83.28</v>
      </c>
      <c r="Y968" s="3">
        <f t="shared" ca="1" si="268"/>
        <v>43102</v>
      </c>
      <c r="Z968" s="3" t="str">
        <f t="shared" ca="1" si="269"/>
        <v>Dec</v>
      </c>
      <c r="AA968" s="3" t="str">
        <f t="shared" ca="1" si="270"/>
        <v>Q4</v>
      </c>
      <c r="AB968" s="4" t="str">
        <f t="shared" ca="1" si="271"/>
        <v>Medium Haul</v>
      </c>
    </row>
    <row r="969" spans="1:28" x14ac:dyDescent="0.3">
      <c r="A969" s="8" t="str">
        <f t="shared" si="266"/>
        <v>S0968</v>
      </c>
      <c r="B969" s="3">
        <f t="shared" ca="1" si="255"/>
        <v>45845</v>
      </c>
      <c r="C969" s="3" t="str">
        <f ca="1">INDEX(Customers!$A$2:$A$21,RANDBETWEEN(1,20))</f>
        <v>C005</v>
      </c>
      <c r="D969" s="3" t="str">
        <f ca="1">INDEX(Routes!$A$2:$A$31,RANDBETWEEN(1,30))</f>
        <v>R021</v>
      </c>
      <c r="E969" s="3" t="str">
        <f ca="1">INDEX(Vehicles!$A$2:$A$21,RANDBETWEEN(1,20))</f>
        <v>V020</v>
      </c>
      <c r="F969" s="3" t="str">
        <f ca="1">INDEX(Drivers!$A$2:$A$31,RANDBETWEEN(1,30))</f>
        <v>D022</v>
      </c>
      <c r="G969" s="3">
        <f t="shared" ca="1" si="256"/>
        <v>23.4</v>
      </c>
      <c r="H969" s="3">
        <f t="shared" ca="1" si="257"/>
        <v>54110</v>
      </c>
      <c r="I969" s="3">
        <f t="shared" ca="1" si="258"/>
        <v>15151</v>
      </c>
      <c r="J969" s="3">
        <f t="shared" ca="1" si="259"/>
        <v>3905</v>
      </c>
      <c r="K969" s="3">
        <f t="shared" ca="1" si="260"/>
        <v>16</v>
      </c>
      <c r="L969" s="3">
        <f t="shared" ca="1" si="261"/>
        <v>23</v>
      </c>
      <c r="M969" s="3">
        <f t="shared" ca="1" si="262"/>
        <v>7</v>
      </c>
      <c r="N969" s="3" t="str">
        <f t="shared" ca="1" si="263"/>
        <v>Delayed</v>
      </c>
      <c r="O969" s="3" t="str">
        <f t="shared" ca="1" si="264"/>
        <v>Low</v>
      </c>
      <c r="P969" s="3">
        <f t="shared" ca="1" si="265"/>
        <v>78</v>
      </c>
      <c r="Q969" s="1" t="str">
        <f ca="1">VLOOKUP(D969,Routes!$A$2:$D$31,2,FALSE)</f>
        <v>Lucknow</v>
      </c>
      <c r="R969" s="1" t="str">
        <f ca="1">VLOOKUP(D969,Routes!$A$2:$D$31,3,FALSE)</f>
        <v>Kanpur</v>
      </c>
      <c r="S969" s="3">
        <f ca="1">VLOOKUP(D969,Routes!$A$2:$D$31,4,FALSE)</f>
        <v>90</v>
      </c>
      <c r="T969" s="3" t="str">
        <f ca="1">VLOOKUP(E969,Vehicles!$A$2:$D$21,2,FALSE)</f>
        <v>Container</v>
      </c>
      <c r="U969" s="3">
        <f ca="1">VLOOKUP(E969,Vehicles!$A$2:$D$21,3,FALSE)</f>
        <v>28</v>
      </c>
      <c r="V969" s="3" t="str">
        <f ca="1">VLOOKUP(E969,Vehicles!$A$2:$D$21,4,FALSE)</f>
        <v>Diesel</v>
      </c>
      <c r="W969" s="3">
        <f ca="1">VLOOKUP(V969,Fuel_Rates!$A$2:$B$3,2,FALSE)</f>
        <v>95</v>
      </c>
      <c r="X969" s="3">
        <f t="shared" ca="1" si="267"/>
        <v>601.22</v>
      </c>
      <c r="Y969" s="3">
        <f t="shared" ca="1" si="268"/>
        <v>73166</v>
      </c>
      <c r="Z969" s="3" t="str">
        <f t="shared" ca="1" si="269"/>
        <v>Jul</v>
      </c>
      <c r="AA969" s="3" t="str">
        <f t="shared" ca="1" si="270"/>
        <v>Q3</v>
      </c>
      <c r="AB969" s="4" t="str">
        <f t="shared" ca="1" si="271"/>
        <v>Short Haul</v>
      </c>
    </row>
    <row r="970" spans="1:28" x14ac:dyDescent="0.3">
      <c r="A970" s="8" t="str">
        <f t="shared" si="266"/>
        <v>S0969</v>
      </c>
      <c r="B970" s="3">
        <f t="shared" ca="1" si="255"/>
        <v>45919</v>
      </c>
      <c r="C970" s="3" t="str">
        <f ca="1">INDEX(Customers!$A$2:$A$21,RANDBETWEEN(1,20))</f>
        <v>C001</v>
      </c>
      <c r="D970" s="3" t="str">
        <f ca="1">INDEX(Routes!$A$2:$A$31,RANDBETWEEN(1,30))</f>
        <v>R006</v>
      </c>
      <c r="E970" s="3" t="str">
        <f ca="1">INDEX(Vehicles!$A$2:$A$21,RANDBETWEEN(1,20))</f>
        <v>V014</v>
      </c>
      <c r="F970" s="3" t="str">
        <f ca="1">INDEX(Drivers!$A$2:$A$31,RANDBETWEEN(1,30))</f>
        <v>D024</v>
      </c>
      <c r="G970" s="3">
        <f t="shared" ca="1" si="256"/>
        <v>18.600000000000001</v>
      </c>
      <c r="H970" s="3">
        <f t="shared" ca="1" si="257"/>
        <v>47624</v>
      </c>
      <c r="I970" s="3">
        <f t="shared" ca="1" si="258"/>
        <v>13335</v>
      </c>
      <c r="J970" s="3">
        <f t="shared" ca="1" si="259"/>
        <v>1900</v>
      </c>
      <c r="K970" s="3">
        <f t="shared" ca="1" si="260"/>
        <v>43</v>
      </c>
      <c r="L970" s="3">
        <f t="shared" ca="1" si="261"/>
        <v>49</v>
      </c>
      <c r="M970" s="3">
        <f t="shared" ca="1" si="262"/>
        <v>6</v>
      </c>
      <c r="N970" s="3" t="str">
        <f t="shared" ca="1" si="263"/>
        <v>Delayed</v>
      </c>
      <c r="O970" s="3" t="str">
        <f t="shared" ca="1" si="264"/>
        <v>Low</v>
      </c>
      <c r="P970" s="3">
        <f t="shared" ca="1" si="265"/>
        <v>62</v>
      </c>
      <c r="Q970" s="1" t="str">
        <f ca="1">VLOOKUP(D970,Routes!$A$2:$D$31,2,FALSE)</f>
        <v>Delhi</v>
      </c>
      <c r="R970" s="1" t="str">
        <f ca="1">VLOOKUP(D970,Routes!$A$2:$D$31,3,FALSE)</f>
        <v>Lucknow</v>
      </c>
      <c r="S970" s="3">
        <f ca="1">VLOOKUP(D970,Routes!$A$2:$D$31,4,FALSE)</f>
        <v>550</v>
      </c>
      <c r="T970" s="3" t="str">
        <f ca="1">VLOOKUP(E970,Vehicles!$A$2:$D$21,2,FALSE)</f>
        <v>LCV</v>
      </c>
      <c r="U970" s="3">
        <f ca="1">VLOOKUP(E970,Vehicles!$A$2:$D$21,3,FALSE)</f>
        <v>6</v>
      </c>
      <c r="V970" s="3" t="str">
        <f ca="1">VLOOKUP(E970,Vehicles!$A$2:$D$21,4,FALSE)</f>
        <v>CNG</v>
      </c>
      <c r="W970" s="3">
        <f ca="1">VLOOKUP(V970,Fuel_Rates!$A$2:$B$3,2,FALSE)</f>
        <v>78</v>
      </c>
      <c r="X970" s="3">
        <f t="shared" ca="1" si="267"/>
        <v>86.59</v>
      </c>
      <c r="Y970" s="3">
        <f t="shared" ca="1" si="268"/>
        <v>62859</v>
      </c>
      <c r="Z970" s="3" t="str">
        <f t="shared" ca="1" si="269"/>
        <v>Sep</v>
      </c>
      <c r="AA970" s="3" t="str">
        <f t="shared" ca="1" si="270"/>
        <v>Q3</v>
      </c>
      <c r="AB970" s="4" t="str">
        <f t="shared" ca="1" si="271"/>
        <v>Medium Haul</v>
      </c>
    </row>
    <row r="971" spans="1:28" x14ac:dyDescent="0.3">
      <c r="A971" s="8" t="str">
        <f t="shared" si="266"/>
        <v>S0970</v>
      </c>
      <c r="B971" s="3">
        <f t="shared" ca="1" si="255"/>
        <v>45805</v>
      </c>
      <c r="C971" s="3" t="str">
        <f ca="1">INDEX(Customers!$A$2:$A$21,RANDBETWEEN(1,20))</f>
        <v>C012</v>
      </c>
      <c r="D971" s="3" t="str">
        <f ca="1">INDEX(Routes!$A$2:$A$31,RANDBETWEEN(1,30))</f>
        <v>R014</v>
      </c>
      <c r="E971" s="3" t="str">
        <f ca="1">INDEX(Vehicles!$A$2:$A$21,RANDBETWEEN(1,20))</f>
        <v>V015</v>
      </c>
      <c r="F971" s="3" t="str">
        <f ca="1">INDEX(Drivers!$A$2:$A$31,RANDBETWEEN(1,30))</f>
        <v>D002</v>
      </c>
      <c r="G971" s="3">
        <f t="shared" ca="1" si="256"/>
        <v>13.5</v>
      </c>
      <c r="H971" s="3">
        <f t="shared" ca="1" si="257"/>
        <v>38146</v>
      </c>
      <c r="I971" s="3">
        <f t="shared" ca="1" si="258"/>
        <v>10681</v>
      </c>
      <c r="J971" s="3">
        <f t="shared" ca="1" si="259"/>
        <v>2515</v>
      </c>
      <c r="K971" s="3">
        <f t="shared" ca="1" si="260"/>
        <v>36</v>
      </c>
      <c r="L971" s="3">
        <f t="shared" ca="1" si="261"/>
        <v>40</v>
      </c>
      <c r="M971" s="3">
        <f t="shared" ca="1" si="262"/>
        <v>4</v>
      </c>
      <c r="N971" s="3" t="str">
        <f t="shared" ca="1" si="263"/>
        <v>Delayed</v>
      </c>
      <c r="O971" s="3" t="str">
        <f t="shared" ca="1" si="264"/>
        <v>Medium</v>
      </c>
      <c r="P971" s="3">
        <f t="shared" ca="1" si="265"/>
        <v>45</v>
      </c>
      <c r="Q971" s="1" t="str">
        <f ca="1">VLOOKUP(D971,Routes!$A$2:$D$31,2,FALSE)</f>
        <v>Hyderabad</v>
      </c>
      <c r="R971" s="1" t="str">
        <f ca="1">VLOOKUP(D971,Routes!$A$2:$D$31,3,FALSE)</f>
        <v>Nagpur</v>
      </c>
      <c r="S971" s="3">
        <f ca="1">VLOOKUP(D971,Routes!$A$2:$D$31,4,FALSE)</f>
        <v>500</v>
      </c>
      <c r="T971" s="3" t="str">
        <f ca="1">VLOOKUP(E971,Vehicles!$A$2:$D$21,2,FALSE)</f>
        <v>Trailer</v>
      </c>
      <c r="U971" s="3">
        <f ca="1">VLOOKUP(E971,Vehicles!$A$2:$D$21,3,FALSE)</f>
        <v>30</v>
      </c>
      <c r="V971" s="3" t="str">
        <f ca="1">VLOOKUP(E971,Vehicles!$A$2:$D$21,4,FALSE)</f>
        <v>Diesel</v>
      </c>
      <c r="W971" s="3">
        <f ca="1">VLOOKUP(V971,Fuel_Rates!$A$2:$B$3,2,FALSE)</f>
        <v>95</v>
      </c>
      <c r="X971" s="3">
        <f t="shared" ca="1" si="267"/>
        <v>76.290000000000006</v>
      </c>
      <c r="Y971" s="3">
        <f t="shared" ca="1" si="268"/>
        <v>51342</v>
      </c>
      <c r="Z971" s="3" t="str">
        <f t="shared" ca="1" si="269"/>
        <v>May</v>
      </c>
      <c r="AA971" s="3" t="str">
        <f t="shared" ca="1" si="270"/>
        <v>Q2</v>
      </c>
      <c r="AB971" s="4" t="str">
        <f t="shared" ca="1" si="271"/>
        <v>Medium Haul</v>
      </c>
    </row>
    <row r="972" spans="1:28" x14ac:dyDescent="0.3">
      <c r="A972" s="8" t="str">
        <f t="shared" si="266"/>
        <v>S0971</v>
      </c>
      <c r="B972" s="3">
        <f t="shared" ca="1" si="255"/>
        <v>45716</v>
      </c>
      <c r="C972" s="3" t="str">
        <f ca="1">INDEX(Customers!$A$2:$A$21,RANDBETWEEN(1,20))</f>
        <v>C017</v>
      </c>
      <c r="D972" s="3" t="str">
        <f ca="1">INDEX(Routes!$A$2:$A$31,RANDBETWEEN(1,30))</f>
        <v>R003</v>
      </c>
      <c r="E972" s="3" t="str">
        <f ca="1">INDEX(Vehicles!$A$2:$A$21,RANDBETWEEN(1,20))</f>
        <v>V008</v>
      </c>
      <c r="F972" s="3" t="str">
        <f ca="1">INDEX(Drivers!$A$2:$A$31,RANDBETWEEN(1,30))</f>
        <v>D027</v>
      </c>
      <c r="G972" s="3">
        <f t="shared" ca="1" si="256"/>
        <v>18</v>
      </c>
      <c r="H972" s="3">
        <f t="shared" ca="1" si="257"/>
        <v>45755</v>
      </c>
      <c r="I972" s="3">
        <f t="shared" ca="1" si="258"/>
        <v>12811</v>
      </c>
      <c r="J972" s="3">
        <f t="shared" ca="1" si="259"/>
        <v>996</v>
      </c>
      <c r="K972" s="3">
        <f t="shared" ca="1" si="260"/>
        <v>7</v>
      </c>
      <c r="L972" s="3">
        <f t="shared" ca="1" si="261"/>
        <v>10</v>
      </c>
      <c r="M972" s="3">
        <f t="shared" ca="1" si="262"/>
        <v>3</v>
      </c>
      <c r="N972" s="3" t="str">
        <f t="shared" ca="1" si="263"/>
        <v>Delayed</v>
      </c>
      <c r="O972" s="3" t="str">
        <f t="shared" ca="1" si="264"/>
        <v>Medium</v>
      </c>
      <c r="P972" s="3">
        <f t="shared" ca="1" si="265"/>
        <v>60</v>
      </c>
      <c r="Q972" s="1" t="str">
        <f ca="1">VLOOKUP(D972,Routes!$A$2:$D$31,2,FALSE)</f>
        <v>Mumbai</v>
      </c>
      <c r="R972" s="1" t="str">
        <f ca="1">VLOOKUP(D972,Routes!$A$2:$D$31,3,FALSE)</f>
        <v>Delhi</v>
      </c>
      <c r="S972" s="3">
        <f ca="1">VLOOKUP(D972,Routes!$A$2:$D$31,4,FALSE)</f>
        <v>1450</v>
      </c>
      <c r="T972" s="3" t="str">
        <f ca="1">VLOOKUP(E972,Vehicles!$A$2:$D$21,2,FALSE)</f>
        <v>Container</v>
      </c>
      <c r="U972" s="3">
        <f ca="1">VLOOKUP(E972,Vehicles!$A$2:$D$21,3,FALSE)</f>
        <v>25</v>
      </c>
      <c r="V972" s="3" t="str">
        <f ca="1">VLOOKUP(E972,Vehicles!$A$2:$D$21,4,FALSE)</f>
        <v>Diesel</v>
      </c>
      <c r="W972" s="3">
        <f ca="1">VLOOKUP(V972,Fuel_Rates!$A$2:$B$3,2,FALSE)</f>
        <v>95</v>
      </c>
      <c r="X972" s="3">
        <f t="shared" ca="1" si="267"/>
        <v>31.56</v>
      </c>
      <c r="Y972" s="3">
        <f t="shared" ca="1" si="268"/>
        <v>59562</v>
      </c>
      <c r="Z972" s="3" t="str">
        <f t="shared" ca="1" si="269"/>
        <v>Feb</v>
      </c>
      <c r="AA972" s="3" t="str">
        <f t="shared" ca="1" si="270"/>
        <v>Q1</v>
      </c>
      <c r="AB972" s="4" t="str">
        <f t="shared" ca="1" si="271"/>
        <v>Long Haul</v>
      </c>
    </row>
    <row r="973" spans="1:28" x14ac:dyDescent="0.3">
      <c r="A973" s="8" t="str">
        <f t="shared" si="266"/>
        <v>S0972</v>
      </c>
      <c r="B973" s="3">
        <f t="shared" ca="1" si="255"/>
        <v>45911</v>
      </c>
      <c r="C973" s="3" t="str">
        <f ca="1">INDEX(Customers!$A$2:$A$21,RANDBETWEEN(1,20))</f>
        <v>C005</v>
      </c>
      <c r="D973" s="3" t="str">
        <f ca="1">INDEX(Routes!$A$2:$A$31,RANDBETWEEN(1,30))</f>
        <v>R029</v>
      </c>
      <c r="E973" s="3" t="str">
        <f ca="1">INDEX(Vehicles!$A$2:$A$21,RANDBETWEEN(1,20))</f>
        <v>V019</v>
      </c>
      <c r="F973" s="3" t="str">
        <f ca="1">INDEX(Drivers!$A$2:$A$31,RANDBETWEEN(1,30))</f>
        <v>D009</v>
      </c>
      <c r="G973" s="3">
        <f t="shared" ca="1" si="256"/>
        <v>13.2</v>
      </c>
      <c r="H973" s="3">
        <f t="shared" ca="1" si="257"/>
        <v>30535</v>
      </c>
      <c r="I973" s="3">
        <f t="shared" ca="1" si="258"/>
        <v>8550</v>
      </c>
      <c r="J973" s="3">
        <f t="shared" ca="1" si="259"/>
        <v>3193</v>
      </c>
      <c r="K973" s="3">
        <f t="shared" ca="1" si="260"/>
        <v>47</v>
      </c>
      <c r="L973" s="3">
        <f t="shared" ca="1" si="261"/>
        <v>51</v>
      </c>
      <c r="M973" s="3">
        <f t="shared" ca="1" si="262"/>
        <v>4</v>
      </c>
      <c r="N973" s="3" t="str">
        <f t="shared" ca="1" si="263"/>
        <v>Delayed</v>
      </c>
      <c r="O973" s="3" t="str">
        <f t="shared" ca="1" si="264"/>
        <v>High</v>
      </c>
      <c r="P973" s="3">
        <f t="shared" ca="1" si="265"/>
        <v>44</v>
      </c>
      <c r="Q973" s="1" t="str">
        <f ca="1">VLOOKUP(D973,Routes!$A$2:$D$31,2,FALSE)</f>
        <v>Chandigarh</v>
      </c>
      <c r="R973" s="1" t="str">
        <f ca="1">VLOOKUP(D973,Routes!$A$2:$D$31,3,FALSE)</f>
        <v>Delhi</v>
      </c>
      <c r="S973" s="3">
        <f ca="1">VLOOKUP(D973,Routes!$A$2:$D$31,4,FALSE)</f>
        <v>250</v>
      </c>
      <c r="T973" s="3" t="str">
        <f ca="1">VLOOKUP(E973,Vehicles!$A$2:$D$21,2,FALSE)</f>
        <v>Trailer</v>
      </c>
      <c r="U973" s="3">
        <f ca="1">VLOOKUP(E973,Vehicles!$A$2:$D$21,3,FALSE)</f>
        <v>35</v>
      </c>
      <c r="V973" s="3" t="str">
        <f ca="1">VLOOKUP(E973,Vehicles!$A$2:$D$21,4,FALSE)</f>
        <v>Diesel</v>
      </c>
      <c r="W973" s="3">
        <f ca="1">VLOOKUP(V973,Fuel_Rates!$A$2:$B$3,2,FALSE)</f>
        <v>95</v>
      </c>
      <c r="X973" s="3">
        <f t="shared" ca="1" si="267"/>
        <v>122.14</v>
      </c>
      <c r="Y973" s="3">
        <f t="shared" ca="1" si="268"/>
        <v>42278</v>
      </c>
      <c r="Z973" s="3" t="str">
        <f t="shared" ca="1" si="269"/>
        <v>Sep</v>
      </c>
      <c r="AA973" s="3" t="str">
        <f t="shared" ca="1" si="270"/>
        <v>Q3</v>
      </c>
      <c r="AB973" s="4" t="str">
        <f t="shared" ca="1" si="271"/>
        <v>Short Haul</v>
      </c>
    </row>
    <row r="974" spans="1:28" x14ac:dyDescent="0.3">
      <c r="A974" s="8" t="str">
        <f t="shared" si="266"/>
        <v>S0973</v>
      </c>
      <c r="B974" s="3">
        <f t="shared" ca="1" si="255"/>
        <v>45706</v>
      </c>
      <c r="C974" s="3" t="str">
        <f ca="1">INDEX(Customers!$A$2:$A$21,RANDBETWEEN(1,20))</f>
        <v>C007</v>
      </c>
      <c r="D974" s="3" t="str">
        <f ca="1">INDEX(Routes!$A$2:$A$31,RANDBETWEEN(1,30))</f>
        <v>R014</v>
      </c>
      <c r="E974" s="3" t="str">
        <f ca="1">INDEX(Vehicles!$A$2:$A$21,RANDBETWEEN(1,20))</f>
        <v>V006</v>
      </c>
      <c r="F974" s="3" t="str">
        <f ca="1">INDEX(Drivers!$A$2:$A$31,RANDBETWEEN(1,30))</f>
        <v>D007</v>
      </c>
      <c r="G974" s="3">
        <f t="shared" ca="1" si="256"/>
        <v>11.3</v>
      </c>
      <c r="H974" s="3">
        <f t="shared" ca="1" si="257"/>
        <v>24363</v>
      </c>
      <c r="I974" s="3">
        <f t="shared" ca="1" si="258"/>
        <v>6822</v>
      </c>
      <c r="J974" s="3">
        <f t="shared" ca="1" si="259"/>
        <v>3616</v>
      </c>
      <c r="K974" s="3">
        <f t="shared" ca="1" si="260"/>
        <v>47</v>
      </c>
      <c r="L974" s="3">
        <f t="shared" ca="1" si="261"/>
        <v>48</v>
      </c>
      <c r="M974" s="3">
        <f t="shared" ca="1" si="262"/>
        <v>1</v>
      </c>
      <c r="N974" s="3" t="str">
        <f t="shared" ca="1" si="263"/>
        <v>On Time</v>
      </c>
      <c r="O974" s="3" t="str">
        <f t="shared" ca="1" si="264"/>
        <v>Medium</v>
      </c>
      <c r="P974" s="3">
        <f t="shared" ca="1" si="265"/>
        <v>37.700000000000003</v>
      </c>
      <c r="Q974" s="1" t="str">
        <f ca="1">VLOOKUP(D974,Routes!$A$2:$D$31,2,FALSE)</f>
        <v>Hyderabad</v>
      </c>
      <c r="R974" s="1" t="str">
        <f ca="1">VLOOKUP(D974,Routes!$A$2:$D$31,3,FALSE)</f>
        <v>Nagpur</v>
      </c>
      <c r="S974" s="3">
        <f ca="1">VLOOKUP(D974,Routes!$A$2:$D$31,4,FALSE)</f>
        <v>500</v>
      </c>
      <c r="T974" s="3" t="str">
        <f ca="1">VLOOKUP(E974,Vehicles!$A$2:$D$21,2,FALSE)</f>
        <v>Container</v>
      </c>
      <c r="U974" s="3">
        <f ca="1">VLOOKUP(E974,Vehicles!$A$2:$D$21,3,FALSE)</f>
        <v>18</v>
      </c>
      <c r="V974" s="3" t="str">
        <f ca="1">VLOOKUP(E974,Vehicles!$A$2:$D$21,4,FALSE)</f>
        <v>Diesel</v>
      </c>
      <c r="W974" s="3">
        <f ca="1">VLOOKUP(V974,Fuel_Rates!$A$2:$B$3,2,FALSE)</f>
        <v>95</v>
      </c>
      <c r="X974" s="3">
        <f t="shared" ca="1" si="267"/>
        <v>48.73</v>
      </c>
      <c r="Y974" s="3">
        <f t="shared" ca="1" si="268"/>
        <v>34801</v>
      </c>
      <c r="Z974" s="3" t="str">
        <f t="shared" ca="1" si="269"/>
        <v>Feb</v>
      </c>
      <c r="AA974" s="3" t="str">
        <f t="shared" ca="1" si="270"/>
        <v>Q1</v>
      </c>
      <c r="AB974" s="4" t="str">
        <f t="shared" ca="1" si="271"/>
        <v>Medium Haul</v>
      </c>
    </row>
    <row r="975" spans="1:28" x14ac:dyDescent="0.3">
      <c r="A975" s="8" t="str">
        <f t="shared" si="266"/>
        <v>S0974</v>
      </c>
      <c r="B975" s="3">
        <f t="shared" ca="1" si="255"/>
        <v>45732</v>
      </c>
      <c r="C975" s="3" t="str">
        <f ca="1">INDEX(Customers!$A$2:$A$21,RANDBETWEEN(1,20))</f>
        <v>C006</v>
      </c>
      <c r="D975" s="3" t="str">
        <f ca="1">INDEX(Routes!$A$2:$A$31,RANDBETWEEN(1,30))</f>
        <v>R025</v>
      </c>
      <c r="E975" s="3" t="str">
        <f ca="1">INDEX(Vehicles!$A$2:$A$21,RANDBETWEEN(1,20))</f>
        <v>V007</v>
      </c>
      <c r="F975" s="3" t="str">
        <f ca="1">INDEX(Drivers!$A$2:$A$31,RANDBETWEEN(1,30))</f>
        <v>D007</v>
      </c>
      <c r="G975" s="3">
        <f t="shared" ca="1" si="256"/>
        <v>24.7</v>
      </c>
      <c r="H975" s="3">
        <f t="shared" ca="1" si="257"/>
        <v>49385</v>
      </c>
      <c r="I975" s="3">
        <f t="shared" ca="1" si="258"/>
        <v>13828</v>
      </c>
      <c r="J975" s="3">
        <f t="shared" ca="1" si="259"/>
        <v>3537</v>
      </c>
      <c r="K975" s="3">
        <f t="shared" ca="1" si="260"/>
        <v>15</v>
      </c>
      <c r="L975" s="3">
        <f t="shared" ca="1" si="261"/>
        <v>20</v>
      </c>
      <c r="M975" s="3">
        <f t="shared" ca="1" si="262"/>
        <v>5</v>
      </c>
      <c r="N975" s="3" t="str">
        <f t="shared" ca="1" si="263"/>
        <v>Delayed</v>
      </c>
      <c r="O975" s="3" t="str">
        <f t="shared" ca="1" si="264"/>
        <v>High</v>
      </c>
      <c r="P975" s="3">
        <f t="shared" ca="1" si="265"/>
        <v>82.3</v>
      </c>
      <c r="Q975" s="1" t="str">
        <f ca="1">VLOOKUP(D975,Routes!$A$2:$D$31,2,FALSE)</f>
        <v>Visakhapatnam</v>
      </c>
      <c r="R975" s="1" t="str">
        <f ca="1">VLOOKUP(D975,Routes!$A$2:$D$31,3,FALSE)</f>
        <v>Hyderabad</v>
      </c>
      <c r="S975" s="3">
        <f ca="1">VLOOKUP(D975,Routes!$A$2:$D$31,4,FALSE)</f>
        <v>620</v>
      </c>
      <c r="T975" s="3" t="str">
        <f ca="1">VLOOKUP(E975,Vehicles!$A$2:$D$21,2,FALSE)</f>
        <v>Container</v>
      </c>
      <c r="U975" s="3">
        <f ca="1">VLOOKUP(E975,Vehicles!$A$2:$D$21,3,FALSE)</f>
        <v>20</v>
      </c>
      <c r="V975" s="3" t="str">
        <f ca="1">VLOOKUP(E975,Vehicles!$A$2:$D$21,4,FALSE)</f>
        <v>Diesel</v>
      </c>
      <c r="W975" s="3">
        <f ca="1">VLOOKUP(V975,Fuel_Rates!$A$2:$B$3,2,FALSE)</f>
        <v>95</v>
      </c>
      <c r="X975" s="3">
        <f t="shared" ca="1" si="267"/>
        <v>79.650000000000006</v>
      </c>
      <c r="Y975" s="3">
        <f t="shared" ca="1" si="268"/>
        <v>66750</v>
      </c>
      <c r="Z975" s="3" t="str">
        <f t="shared" ca="1" si="269"/>
        <v>Mar</v>
      </c>
      <c r="AA975" s="3" t="str">
        <f t="shared" ca="1" si="270"/>
        <v>Q1</v>
      </c>
      <c r="AB975" s="4" t="str">
        <f t="shared" ca="1" si="271"/>
        <v>Medium Haul</v>
      </c>
    </row>
    <row r="976" spans="1:28" x14ac:dyDescent="0.3">
      <c r="A976" s="8" t="str">
        <f t="shared" si="266"/>
        <v>S0975</v>
      </c>
      <c r="B976" s="3">
        <f t="shared" ca="1" si="255"/>
        <v>45856</v>
      </c>
      <c r="C976" s="3" t="str">
        <f ca="1">INDEX(Customers!$A$2:$A$21,RANDBETWEEN(1,20))</f>
        <v>C007</v>
      </c>
      <c r="D976" s="3" t="str">
        <f ca="1">INDEX(Routes!$A$2:$A$31,RANDBETWEEN(1,30))</f>
        <v>R016</v>
      </c>
      <c r="E976" s="3" t="str">
        <f ca="1">INDEX(Vehicles!$A$2:$A$21,RANDBETWEEN(1,20))</f>
        <v>V007</v>
      </c>
      <c r="F976" s="3" t="str">
        <f ca="1">INDEX(Drivers!$A$2:$A$31,RANDBETWEEN(1,30))</f>
        <v>D017</v>
      </c>
      <c r="G976" s="3">
        <f t="shared" ca="1" si="256"/>
        <v>21</v>
      </c>
      <c r="H976" s="3">
        <f t="shared" ca="1" si="257"/>
        <v>44876</v>
      </c>
      <c r="I976" s="3">
        <f t="shared" ca="1" si="258"/>
        <v>12565</v>
      </c>
      <c r="J976" s="3">
        <f t="shared" ca="1" si="259"/>
        <v>3211</v>
      </c>
      <c r="K976" s="3">
        <f t="shared" ca="1" si="260"/>
        <v>44</v>
      </c>
      <c r="L976" s="3">
        <f t="shared" ca="1" si="261"/>
        <v>44</v>
      </c>
      <c r="M976" s="3">
        <f t="shared" ca="1" si="262"/>
        <v>0</v>
      </c>
      <c r="N976" s="3" t="str">
        <f t="shared" ca="1" si="263"/>
        <v>On Time</v>
      </c>
      <c r="O976" s="3" t="str">
        <f t="shared" ca="1" si="264"/>
        <v>Low</v>
      </c>
      <c r="P976" s="3">
        <f t="shared" ca="1" si="265"/>
        <v>70</v>
      </c>
      <c r="Q976" s="1" t="str">
        <f ca="1">VLOOKUP(D976,Routes!$A$2:$D$31,2,FALSE)</f>
        <v>Kolkata</v>
      </c>
      <c r="R976" s="1" t="str">
        <f ca="1">VLOOKUP(D976,Routes!$A$2:$D$31,3,FALSE)</f>
        <v>Bhubaneswar</v>
      </c>
      <c r="S976" s="3">
        <f ca="1">VLOOKUP(D976,Routes!$A$2:$D$31,4,FALSE)</f>
        <v>440</v>
      </c>
      <c r="T976" s="3" t="str">
        <f ca="1">VLOOKUP(E976,Vehicles!$A$2:$D$21,2,FALSE)</f>
        <v>Container</v>
      </c>
      <c r="U976" s="3">
        <f ca="1">VLOOKUP(E976,Vehicles!$A$2:$D$21,3,FALSE)</f>
        <v>20</v>
      </c>
      <c r="V976" s="3" t="str">
        <f ca="1">VLOOKUP(E976,Vehicles!$A$2:$D$21,4,FALSE)</f>
        <v>Diesel</v>
      </c>
      <c r="W976" s="3">
        <f ca="1">VLOOKUP(V976,Fuel_Rates!$A$2:$B$3,2,FALSE)</f>
        <v>95</v>
      </c>
      <c r="X976" s="3">
        <f t="shared" ca="1" si="267"/>
        <v>101.99</v>
      </c>
      <c r="Y976" s="3">
        <f t="shared" ca="1" si="268"/>
        <v>60652</v>
      </c>
      <c r="Z976" s="3" t="str">
        <f t="shared" ca="1" si="269"/>
        <v>Jul</v>
      </c>
      <c r="AA976" s="3" t="str">
        <f t="shared" ca="1" si="270"/>
        <v>Q3</v>
      </c>
      <c r="AB976" s="4" t="str">
        <f t="shared" ca="1" si="271"/>
        <v>Medium Haul</v>
      </c>
    </row>
    <row r="977" spans="1:28" x14ac:dyDescent="0.3">
      <c r="A977" s="8" t="str">
        <f t="shared" si="266"/>
        <v>S0976</v>
      </c>
      <c r="B977" s="3">
        <f t="shared" ca="1" si="255"/>
        <v>45858</v>
      </c>
      <c r="C977" s="3" t="str">
        <f ca="1">INDEX(Customers!$A$2:$A$21,RANDBETWEEN(1,20))</f>
        <v>C014</v>
      </c>
      <c r="D977" s="3" t="str">
        <f ca="1">INDEX(Routes!$A$2:$A$31,RANDBETWEEN(1,30))</f>
        <v>R005</v>
      </c>
      <c r="E977" s="3" t="str">
        <f ca="1">INDEX(Vehicles!$A$2:$A$21,RANDBETWEEN(1,20))</f>
        <v>V003</v>
      </c>
      <c r="F977" s="3" t="str">
        <f ca="1">INDEX(Drivers!$A$2:$A$31,RANDBETWEEN(1,30))</f>
        <v>D019</v>
      </c>
      <c r="G977" s="3">
        <f t="shared" ca="1" si="256"/>
        <v>11.9</v>
      </c>
      <c r="H977" s="3">
        <f t="shared" ca="1" si="257"/>
        <v>30746</v>
      </c>
      <c r="I977" s="3">
        <f t="shared" ca="1" si="258"/>
        <v>8609</v>
      </c>
      <c r="J977" s="3">
        <f t="shared" ca="1" si="259"/>
        <v>1818</v>
      </c>
      <c r="K977" s="3">
        <f t="shared" ca="1" si="260"/>
        <v>37</v>
      </c>
      <c r="L977" s="3">
        <f t="shared" ca="1" si="261"/>
        <v>38</v>
      </c>
      <c r="M977" s="3">
        <f t="shared" ca="1" si="262"/>
        <v>1</v>
      </c>
      <c r="N977" s="3" t="str">
        <f t="shared" ca="1" si="263"/>
        <v>On Time</v>
      </c>
      <c r="O977" s="3" t="str">
        <f t="shared" ca="1" si="264"/>
        <v>Medium</v>
      </c>
      <c r="P977" s="3">
        <f t="shared" ca="1" si="265"/>
        <v>39.700000000000003</v>
      </c>
      <c r="Q977" s="1" t="str">
        <f ca="1">VLOOKUP(D977,Routes!$A$2:$D$31,2,FALSE)</f>
        <v>Delhi</v>
      </c>
      <c r="R977" s="1" t="str">
        <f ca="1">VLOOKUP(D977,Routes!$A$2:$D$31,3,FALSE)</f>
        <v>Jaipur</v>
      </c>
      <c r="S977" s="3">
        <f ca="1">VLOOKUP(D977,Routes!$A$2:$D$31,4,FALSE)</f>
        <v>280</v>
      </c>
      <c r="T977" s="3" t="str">
        <f ca="1">VLOOKUP(E977,Vehicles!$A$2:$D$21,2,FALSE)</f>
        <v>Truck</v>
      </c>
      <c r="U977" s="3">
        <f ca="1">VLOOKUP(E977,Vehicles!$A$2:$D$21,3,FALSE)</f>
        <v>25</v>
      </c>
      <c r="V977" s="3" t="str">
        <f ca="1">VLOOKUP(E977,Vehicles!$A$2:$D$21,4,FALSE)</f>
        <v>Diesel</v>
      </c>
      <c r="W977" s="3">
        <f ca="1">VLOOKUP(V977,Fuel_Rates!$A$2:$B$3,2,FALSE)</f>
        <v>95</v>
      </c>
      <c r="X977" s="3">
        <f t="shared" ca="1" si="267"/>
        <v>109.81</v>
      </c>
      <c r="Y977" s="3">
        <f t="shared" ca="1" si="268"/>
        <v>41173</v>
      </c>
      <c r="Z977" s="3" t="str">
        <f t="shared" ca="1" si="269"/>
        <v>Jul</v>
      </c>
      <c r="AA977" s="3" t="str">
        <f t="shared" ca="1" si="270"/>
        <v>Q3</v>
      </c>
      <c r="AB977" s="4" t="str">
        <f t="shared" ca="1" si="271"/>
        <v>Short Haul</v>
      </c>
    </row>
    <row r="978" spans="1:28" x14ac:dyDescent="0.3">
      <c r="A978" s="8" t="str">
        <f t="shared" si="266"/>
        <v>S0977</v>
      </c>
      <c r="B978" s="3">
        <f t="shared" ca="1" si="255"/>
        <v>45714</v>
      </c>
      <c r="C978" s="3" t="str">
        <f ca="1">INDEX(Customers!$A$2:$A$21,RANDBETWEEN(1,20))</f>
        <v>C014</v>
      </c>
      <c r="D978" s="3" t="str">
        <f ca="1">INDEX(Routes!$A$2:$A$31,RANDBETWEEN(1,30))</f>
        <v>R021</v>
      </c>
      <c r="E978" s="3" t="str">
        <f ca="1">INDEX(Vehicles!$A$2:$A$21,RANDBETWEEN(1,20))</f>
        <v>V019</v>
      </c>
      <c r="F978" s="3" t="str">
        <f ca="1">INDEX(Drivers!$A$2:$A$31,RANDBETWEEN(1,30))</f>
        <v>D011</v>
      </c>
      <c r="G978" s="3">
        <f t="shared" ca="1" si="256"/>
        <v>2</v>
      </c>
      <c r="H978" s="3">
        <f t="shared" ca="1" si="257"/>
        <v>8034</v>
      </c>
      <c r="I978" s="3">
        <f t="shared" ca="1" si="258"/>
        <v>2250</v>
      </c>
      <c r="J978" s="3">
        <f t="shared" ca="1" si="259"/>
        <v>3374</v>
      </c>
      <c r="K978" s="3">
        <f t="shared" ca="1" si="260"/>
        <v>34</v>
      </c>
      <c r="L978" s="3">
        <f t="shared" ca="1" si="261"/>
        <v>37</v>
      </c>
      <c r="M978" s="3">
        <f t="shared" ca="1" si="262"/>
        <v>3</v>
      </c>
      <c r="N978" s="3" t="str">
        <f t="shared" ca="1" si="263"/>
        <v>Delayed</v>
      </c>
      <c r="O978" s="3" t="str">
        <f t="shared" ca="1" si="264"/>
        <v>High</v>
      </c>
      <c r="P978" s="3">
        <f t="shared" ca="1" si="265"/>
        <v>6.7</v>
      </c>
      <c r="Q978" s="1" t="str">
        <f ca="1">VLOOKUP(D978,Routes!$A$2:$D$31,2,FALSE)</f>
        <v>Lucknow</v>
      </c>
      <c r="R978" s="1" t="str">
        <f ca="1">VLOOKUP(D978,Routes!$A$2:$D$31,3,FALSE)</f>
        <v>Kanpur</v>
      </c>
      <c r="S978" s="3">
        <f ca="1">VLOOKUP(D978,Routes!$A$2:$D$31,4,FALSE)</f>
        <v>90</v>
      </c>
      <c r="T978" s="3" t="str">
        <f ca="1">VLOOKUP(E978,Vehicles!$A$2:$D$21,2,FALSE)</f>
        <v>Trailer</v>
      </c>
      <c r="U978" s="3">
        <f ca="1">VLOOKUP(E978,Vehicles!$A$2:$D$21,3,FALSE)</f>
        <v>35</v>
      </c>
      <c r="V978" s="3" t="str">
        <f ca="1">VLOOKUP(E978,Vehicles!$A$2:$D$21,4,FALSE)</f>
        <v>Diesel</v>
      </c>
      <c r="W978" s="3">
        <f ca="1">VLOOKUP(V978,Fuel_Rates!$A$2:$B$3,2,FALSE)</f>
        <v>95</v>
      </c>
      <c r="X978" s="3">
        <f t="shared" ca="1" si="267"/>
        <v>89.27</v>
      </c>
      <c r="Y978" s="3">
        <f t="shared" ca="1" si="268"/>
        <v>13658</v>
      </c>
      <c r="Z978" s="3" t="str">
        <f t="shared" ca="1" si="269"/>
        <v>Feb</v>
      </c>
      <c r="AA978" s="3" t="str">
        <f t="shared" ca="1" si="270"/>
        <v>Q1</v>
      </c>
      <c r="AB978" s="4" t="str">
        <f t="shared" ca="1" si="271"/>
        <v>Short Haul</v>
      </c>
    </row>
    <row r="979" spans="1:28" x14ac:dyDescent="0.3">
      <c r="A979" s="8" t="str">
        <f t="shared" si="266"/>
        <v>S0978</v>
      </c>
      <c r="B979" s="3">
        <f t="shared" ca="1" si="255"/>
        <v>45708</v>
      </c>
      <c r="C979" s="3" t="str">
        <f ca="1">INDEX(Customers!$A$2:$A$21,RANDBETWEEN(1,20))</f>
        <v>C002</v>
      </c>
      <c r="D979" s="3" t="str">
        <f ca="1">INDEX(Routes!$A$2:$A$31,RANDBETWEEN(1,30))</f>
        <v>R002</v>
      </c>
      <c r="E979" s="3" t="str">
        <f ca="1">INDEX(Vehicles!$A$2:$A$21,RANDBETWEEN(1,20))</f>
        <v>V001</v>
      </c>
      <c r="F979" s="3" t="str">
        <f ca="1">INDEX(Drivers!$A$2:$A$31,RANDBETWEEN(1,30))</f>
        <v>D005</v>
      </c>
      <c r="G979" s="3">
        <f t="shared" ca="1" si="256"/>
        <v>12</v>
      </c>
      <c r="H979" s="3">
        <f t="shared" ca="1" si="257"/>
        <v>35510</v>
      </c>
      <c r="I979" s="3">
        <f t="shared" ca="1" si="258"/>
        <v>9943</v>
      </c>
      <c r="J979" s="3">
        <f t="shared" ca="1" si="259"/>
        <v>1552</v>
      </c>
      <c r="K979" s="3">
        <f t="shared" ca="1" si="260"/>
        <v>46</v>
      </c>
      <c r="L979" s="3">
        <f t="shared" ca="1" si="261"/>
        <v>54</v>
      </c>
      <c r="M979" s="3">
        <f t="shared" ca="1" si="262"/>
        <v>8</v>
      </c>
      <c r="N979" s="3" t="str">
        <f t="shared" ca="1" si="263"/>
        <v>Delayed</v>
      </c>
      <c r="O979" s="3" t="str">
        <f t="shared" ca="1" si="264"/>
        <v>Medium</v>
      </c>
      <c r="P979" s="3">
        <f t="shared" ca="1" si="265"/>
        <v>40</v>
      </c>
      <c r="Q979" s="1" t="str">
        <f ca="1">VLOOKUP(D979,Routes!$A$2:$D$31,2,FALSE)</f>
        <v>Mumbai</v>
      </c>
      <c r="R979" s="1" t="str">
        <f ca="1">VLOOKUP(D979,Routes!$A$2:$D$31,3,FALSE)</f>
        <v>Ahmedabad</v>
      </c>
      <c r="S979" s="3">
        <f ca="1">VLOOKUP(D979,Routes!$A$2:$D$31,4,FALSE)</f>
        <v>530</v>
      </c>
      <c r="T979" s="3" t="str">
        <f ca="1">VLOOKUP(E979,Vehicles!$A$2:$D$21,2,FALSE)</f>
        <v>Truck</v>
      </c>
      <c r="U979" s="3">
        <f ca="1">VLOOKUP(E979,Vehicles!$A$2:$D$21,3,FALSE)</f>
        <v>16</v>
      </c>
      <c r="V979" s="3" t="str">
        <f ca="1">VLOOKUP(E979,Vehicles!$A$2:$D$21,4,FALSE)</f>
        <v>Diesel</v>
      </c>
      <c r="W979" s="3">
        <f ca="1">VLOOKUP(V979,Fuel_Rates!$A$2:$B$3,2,FALSE)</f>
        <v>95</v>
      </c>
      <c r="X979" s="3">
        <f t="shared" ca="1" si="267"/>
        <v>67</v>
      </c>
      <c r="Y979" s="3">
        <f t="shared" ca="1" si="268"/>
        <v>47005</v>
      </c>
      <c r="Z979" s="3" t="str">
        <f t="shared" ca="1" si="269"/>
        <v>Feb</v>
      </c>
      <c r="AA979" s="3" t="str">
        <f t="shared" ca="1" si="270"/>
        <v>Q1</v>
      </c>
      <c r="AB979" s="4" t="str">
        <f t="shared" ca="1" si="271"/>
        <v>Medium Haul</v>
      </c>
    </row>
    <row r="980" spans="1:28" x14ac:dyDescent="0.3">
      <c r="A980" s="8" t="str">
        <f t="shared" si="266"/>
        <v>S0979</v>
      </c>
      <c r="B980" s="3">
        <f t="shared" ca="1" si="255"/>
        <v>45699</v>
      </c>
      <c r="C980" s="3" t="str">
        <f ca="1">INDEX(Customers!$A$2:$A$21,RANDBETWEEN(1,20))</f>
        <v>C006</v>
      </c>
      <c r="D980" s="3" t="str">
        <f ca="1">INDEX(Routes!$A$2:$A$31,RANDBETWEEN(1,30))</f>
        <v>R010</v>
      </c>
      <c r="E980" s="3" t="str">
        <f ca="1">INDEX(Vehicles!$A$2:$A$21,RANDBETWEEN(1,20))</f>
        <v>V006</v>
      </c>
      <c r="F980" s="3" t="str">
        <f ca="1">INDEX(Drivers!$A$2:$A$31,RANDBETWEEN(1,30))</f>
        <v>D019</v>
      </c>
      <c r="G980" s="3">
        <f t="shared" ca="1" si="256"/>
        <v>27.5</v>
      </c>
      <c r="H980" s="3">
        <f t="shared" ca="1" si="257"/>
        <v>58256</v>
      </c>
      <c r="I980" s="3">
        <f t="shared" ca="1" si="258"/>
        <v>16312</v>
      </c>
      <c r="J980" s="3">
        <f t="shared" ca="1" si="259"/>
        <v>1530</v>
      </c>
      <c r="K980" s="3">
        <f t="shared" ca="1" si="260"/>
        <v>46</v>
      </c>
      <c r="L980" s="3">
        <f t="shared" ca="1" si="261"/>
        <v>49</v>
      </c>
      <c r="M980" s="3">
        <f t="shared" ca="1" si="262"/>
        <v>3</v>
      </c>
      <c r="N980" s="3" t="str">
        <f t="shared" ca="1" si="263"/>
        <v>Delayed</v>
      </c>
      <c r="O980" s="3" t="str">
        <f t="shared" ca="1" si="264"/>
        <v>Medium</v>
      </c>
      <c r="P980" s="3">
        <f t="shared" ca="1" si="265"/>
        <v>91.7</v>
      </c>
      <c r="Q980" s="1" t="str">
        <f ca="1">VLOOKUP(D980,Routes!$A$2:$D$31,2,FALSE)</f>
        <v>Bengaluru</v>
      </c>
      <c r="R980" s="1" t="str">
        <f ca="1">VLOOKUP(D980,Routes!$A$2:$D$31,3,FALSE)</f>
        <v>Hyderabad</v>
      </c>
      <c r="S980" s="3">
        <f ca="1">VLOOKUP(D980,Routes!$A$2:$D$31,4,FALSE)</f>
        <v>570</v>
      </c>
      <c r="T980" s="3" t="str">
        <f ca="1">VLOOKUP(E980,Vehicles!$A$2:$D$21,2,FALSE)</f>
        <v>Container</v>
      </c>
      <c r="U980" s="3">
        <f ca="1">VLOOKUP(E980,Vehicles!$A$2:$D$21,3,FALSE)</f>
        <v>18</v>
      </c>
      <c r="V980" s="3" t="str">
        <f ca="1">VLOOKUP(E980,Vehicles!$A$2:$D$21,4,FALSE)</f>
        <v>Diesel</v>
      </c>
      <c r="W980" s="3">
        <f ca="1">VLOOKUP(V980,Fuel_Rates!$A$2:$B$3,2,FALSE)</f>
        <v>95</v>
      </c>
      <c r="X980" s="3">
        <f t="shared" ca="1" si="267"/>
        <v>102.2</v>
      </c>
      <c r="Y980" s="3">
        <f t="shared" ca="1" si="268"/>
        <v>76098</v>
      </c>
      <c r="Z980" s="3" t="str">
        <f t="shared" ca="1" si="269"/>
        <v>Feb</v>
      </c>
      <c r="AA980" s="3" t="str">
        <f t="shared" ca="1" si="270"/>
        <v>Q1</v>
      </c>
      <c r="AB980" s="4" t="str">
        <f t="shared" ca="1" si="271"/>
        <v>Medium Haul</v>
      </c>
    </row>
    <row r="981" spans="1:28" x14ac:dyDescent="0.3">
      <c r="A981" s="8" t="str">
        <f t="shared" si="266"/>
        <v>S0980</v>
      </c>
      <c r="B981" s="3">
        <f t="shared" ca="1" si="255"/>
        <v>45796</v>
      </c>
      <c r="C981" s="3" t="str">
        <f ca="1">INDEX(Customers!$A$2:$A$21,RANDBETWEEN(1,20))</f>
        <v>C018</v>
      </c>
      <c r="D981" s="3" t="str">
        <f ca="1">INDEX(Routes!$A$2:$A$31,RANDBETWEEN(1,30))</f>
        <v>R030</v>
      </c>
      <c r="E981" s="3" t="str">
        <f ca="1">INDEX(Vehicles!$A$2:$A$21,RANDBETWEEN(1,20))</f>
        <v>V016</v>
      </c>
      <c r="F981" s="3" t="str">
        <f ca="1">INDEX(Drivers!$A$2:$A$31,RANDBETWEEN(1,30))</f>
        <v>D014</v>
      </c>
      <c r="G981" s="3">
        <f t="shared" ca="1" si="256"/>
        <v>19.8</v>
      </c>
      <c r="H981" s="3">
        <f t="shared" ca="1" si="257"/>
        <v>43979</v>
      </c>
      <c r="I981" s="3">
        <f t="shared" ca="1" si="258"/>
        <v>12314</v>
      </c>
      <c r="J981" s="3">
        <f t="shared" ca="1" si="259"/>
        <v>1158</v>
      </c>
      <c r="K981" s="3">
        <f t="shared" ca="1" si="260"/>
        <v>5</v>
      </c>
      <c r="L981" s="3">
        <f t="shared" ca="1" si="261"/>
        <v>6</v>
      </c>
      <c r="M981" s="3">
        <f t="shared" ca="1" si="262"/>
        <v>1</v>
      </c>
      <c r="N981" s="3" t="str">
        <f t="shared" ca="1" si="263"/>
        <v>On Time</v>
      </c>
      <c r="O981" s="3" t="str">
        <f t="shared" ca="1" si="264"/>
        <v>Low</v>
      </c>
      <c r="P981" s="3">
        <f t="shared" ca="1" si="265"/>
        <v>66</v>
      </c>
      <c r="Q981" s="1" t="str">
        <f ca="1">VLOOKUP(D981,Routes!$A$2:$D$31,2,FALSE)</f>
        <v>Bhubaneswar</v>
      </c>
      <c r="R981" s="1" t="str">
        <f ca="1">VLOOKUP(D981,Routes!$A$2:$D$31,3,FALSE)</f>
        <v>Kolkata</v>
      </c>
      <c r="S981" s="3">
        <f ca="1">VLOOKUP(D981,Routes!$A$2:$D$31,4,FALSE)</f>
        <v>440</v>
      </c>
      <c r="T981" s="3" t="str">
        <f ca="1">VLOOKUP(E981,Vehicles!$A$2:$D$21,2,FALSE)</f>
        <v>Container</v>
      </c>
      <c r="U981" s="3">
        <f ca="1">VLOOKUP(E981,Vehicles!$A$2:$D$21,3,FALSE)</f>
        <v>22</v>
      </c>
      <c r="V981" s="3" t="str">
        <f ca="1">VLOOKUP(E981,Vehicles!$A$2:$D$21,4,FALSE)</f>
        <v>Diesel</v>
      </c>
      <c r="W981" s="3">
        <f ca="1">VLOOKUP(V981,Fuel_Rates!$A$2:$B$3,2,FALSE)</f>
        <v>95</v>
      </c>
      <c r="X981" s="3">
        <f t="shared" ca="1" si="267"/>
        <v>99.95</v>
      </c>
      <c r="Y981" s="3">
        <f t="shared" ca="1" si="268"/>
        <v>57451</v>
      </c>
      <c r="Z981" s="3" t="str">
        <f t="shared" ca="1" si="269"/>
        <v>May</v>
      </c>
      <c r="AA981" s="3" t="str">
        <f t="shared" ca="1" si="270"/>
        <v>Q2</v>
      </c>
      <c r="AB981" s="4" t="str">
        <f t="shared" ca="1" si="271"/>
        <v>Medium Haul</v>
      </c>
    </row>
    <row r="982" spans="1:28" x14ac:dyDescent="0.3">
      <c r="A982" s="8" t="str">
        <f t="shared" si="266"/>
        <v>S0981</v>
      </c>
      <c r="B982" s="3">
        <f t="shared" ca="1" si="255"/>
        <v>45887</v>
      </c>
      <c r="C982" s="3" t="str">
        <f ca="1">INDEX(Customers!$A$2:$A$21,RANDBETWEEN(1,20))</f>
        <v>C013</v>
      </c>
      <c r="D982" s="3" t="str">
        <f ca="1">INDEX(Routes!$A$2:$A$31,RANDBETWEEN(1,30))</f>
        <v>R018</v>
      </c>
      <c r="E982" s="3" t="str">
        <f ca="1">INDEX(Vehicles!$A$2:$A$21,RANDBETWEEN(1,20))</f>
        <v>V012</v>
      </c>
      <c r="F982" s="3" t="str">
        <f ca="1">INDEX(Drivers!$A$2:$A$31,RANDBETWEEN(1,30))</f>
        <v>D009</v>
      </c>
      <c r="G982" s="3">
        <f t="shared" ca="1" si="256"/>
        <v>24.1</v>
      </c>
      <c r="H982" s="3">
        <f t="shared" ca="1" si="257"/>
        <v>56396</v>
      </c>
      <c r="I982" s="3">
        <f t="shared" ca="1" si="258"/>
        <v>15791</v>
      </c>
      <c r="J982" s="3">
        <f t="shared" ca="1" si="259"/>
        <v>3549</v>
      </c>
      <c r="K982" s="3">
        <f t="shared" ca="1" si="260"/>
        <v>42</v>
      </c>
      <c r="L982" s="3">
        <f t="shared" ca="1" si="261"/>
        <v>48</v>
      </c>
      <c r="M982" s="3">
        <f t="shared" ca="1" si="262"/>
        <v>6</v>
      </c>
      <c r="N982" s="3" t="str">
        <f t="shared" ca="1" si="263"/>
        <v>Delayed</v>
      </c>
      <c r="O982" s="3" t="str">
        <f t="shared" ca="1" si="264"/>
        <v>Low</v>
      </c>
      <c r="P982" s="3">
        <f t="shared" ca="1" si="265"/>
        <v>80.3</v>
      </c>
      <c r="Q982" s="1" t="str">
        <f ca="1">VLOOKUP(D982,Routes!$A$2:$D$31,2,FALSE)</f>
        <v>Ahmedabad</v>
      </c>
      <c r="R982" s="1" t="str">
        <f ca="1">VLOOKUP(D982,Routes!$A$2:$D$31,3,FALSE)</f>
        <v>Jaipur</v>
      </c>
      <c r="S982" s="3">
        <f ca="1">VLOOKUP(D982,Routes!$A$2:$D$31,4,FALSE)</f>
        <v>670</v>
      </c>
      <c r="T982" s="3" t="str">
        <f ca="1">VLOOKUP(E982,Vehicles!$A$2:$D$21,2,FALSE)</f>
        <v>Truck</v>
      </c>
      <c r="U982" s="3">
        <f ca="1">VLOOKUP(E982,Vehicles!$A$2:$D$21,3,FALSE)</f>
        <v>20</v>
      </c>
      <c r="V982" s="3" t="str">
        <f ca="1">VLOOKUP(E982,Vehicles!$A$2:$D$21,4,FALSE)</f>
        <v>CNG</v>
      </c>
      <c r="W982" s="3">
        <f ca="1">VLOOKUP(V982,Fuel_Rates!$A$2:$B$3,2,FALSE)</f>
        <v>78</v>
      </c>
      <c r="X982" s="3">
        <f t="shared" ca="1" si="267"/>
        <v>84.17</v>
      </c>
      <c r="Y982" s="3">
        <f t="shared" ca="1" si="268"/>
        <v>75736</v>
      </c>
      <c r="Z982" s="3" t="str">
        <f t="shared" ca="1" si="269"/>
        <v>Aug</v>
      </c>
      <c r="AA982" s="3" t="str">
        <f t="shared" ca="1" si="270"/>
        <v>Q3</v>
      </c>
      <c r="AB982" s="4" t="str">
        <f t="shared" ca="1" si="271"/>
        <v>Medium Haul</v>
      </c>
    </row>
    <row r="983" spans="1:28" x14ac:dyDescent="0.3">
      <c r="A983" s="8" t="str">
        <f t="shared" si="266"/>
        <v>S0982</v>
      </c>
      <c r="B983" s="3">
        <f t="shared" ca="1" si="255"/>
        <v>45813</v>
      </c>
      <c r="C983" s="3" t="str">
        <f ca="1">INDEX(Customers!$A$2:$A$21,RANDBETWEEN(1,20))</f>
        <v>C014</v>
      </c>
      <c r="D983" s="3" t="str">
        <f ca="1">INDEX(Routes!$A$2:$A$31,RANDBETWEEN(1,30))</f>
        <v>R015</v>
      </c>
      <c r="E983" s="3" t="str">
        <f ca="1">INDEX(Vehicles!$A$2:$A$21,RANDBETWEEN(1,20))</f>
        <v>V018</v>
      </c>
      <c r="F983" s="3" t="str">
        <f ca="1">INDEX(Drivers!$A$2:$A$31,RANDBETWEEN(1,30))</f>
        <v>D007</v>
      </c>
      <c r="G983" s="3">
        <f t="shared" ca="1" si="256"/>
        <v>16.2</v>
      </c>
      <c r="H983" s="3">
        <f t="shared" ca="1" si="257"/>
        <v>38447</v>
      </c>
      <c r="I983" s="3">
        <f t="shared" ca="1" si="258"/>
        <v>10765</v>
      </c>
      <c r="J983" s="3">
        <f t="shared" ca="1" si="259"/>
        <v>1618</v>
      </c>
      <c r="K983" s="3">
        <f t="shared" ca="1" si="260"/>
        <v>43</v>
      </c>
      <c r="L983" s="3">
        <f t="shared" ca="1" si="261"/>
        <v>50</v>
      </c>
      <c r="M983" s="3">
        <f t="shared" ca="1" si="262"/>
        <v>7</v>
      </c>
      <c r="N983" s="3" t="str">
        <f t="shared" ca="1" si="263"/>
        <v>Delayed</v>
      </c>
      <c r="O983" s="3" t="str">
        <f t="shared" ca="1" si="264"/>
        <v>Medium</v>
      </c>
      <c r="P983" s="3">
        <f t="shared" ca="1" si="265"/>
        <v>54</v>
      </c>
      <c r="Q983" s="1" t="str">
        <f ca="1">VLOOKUP(D983,Routes!$A$2:$D$31,2,FALSE)</f>
        <v>Hyderabad</v>
      </c>
      <c r="R983" s="1" t="str">
        <f ca="1">VLOOKUP(D983,Routes!$A$2:$D$31,3,FALSE)</f>
        <v>Pune</v>
      </c>
      <c r="S983" s="3">
        <f ca="1">VLOOKUP(D983,Routes!$A$2:$D$31,4,FALSE)</f>
        <v>560</v>
      </c>
      <c r="T983" s="3" t="str">
        <f ca="1">VLOOKUP(E983,Vehicles!$A$2:$D$21,2,FALSE)</f>
        <v>Truck</v>
      </c>
      <c r="U983" s="3">
        <f ca="1">VLOOKUP(E983,Vehicles!$A$2:$D$21,3,FALSE)</f>
        <v>26</v>
      </c>
      <c r="V983" s="3" t="str">
        <f ca="1">VLOOKUP(E983,Vehicles!$A$2:$D$21,4,FALSE)</f>
        <v>Diesel</v>
      </c>
      <c r="W983" s="3">
        <f ca="1">VLOOKUP(V983,Fuel_Rates!$A$2:$B$3,2,FALSE)</f>
        <v>95</v>
      </c>
      <c r="X983" s="3">
        <f t="shared" ca="1" si="267"/>
        <v>68.66</v>
      </c>
      <c r="Y983" s="3">
        <f t="shared" ca="1" si="268"/>
        <v>50830</v>
      </c>
      <c r="Z983" s="3" t="str">
        <f t="shared" ca="1" si="269"/>
        <v>Jun</v>
      </c>
      <c r="AA983" s="3" t="str">
        <f t="shared" ca="1" si="270"/>
        <v>Q2</v>
      </c>
      <c r="AB983" s="4" t="str">
        <f t="shared" ca="1" si="271"/>
        <v>Medium Haul</v>
      </c>
    </row>
    <row r="984" spans="1:28" x14ac:dyDescent="0.3">
      <c r="A984" s="8" t="str">
        <f t="shared" si="266"/>
        <v>S0983</v>
      </c>
      <c r="B984" s="3">
        <f t="shared" ca="1" si="255"/>
        <v>45782</v>
      </c>
      <c r="C984" s="3" t="str">
        <f ca="1">INDEX(Customers!$A$2:$A$21,RANDBETWEEN(1,20))</f>
        <v>C008</v>
      </c>
      <c r="D984" s="3" t="str">
        <f ca="1">INDEX(Routes!$A$2:$A$31,RANDBETWEEN(1,30))</f>
        <v>R022</v>
      </c>
      <c r="E984" s="3" t="str">
        <f ca="1">INDEX(Vehicles!$A$2:$A$21,RANDBETWEEN(1,20))</f>
        <v>V002</v>
      </c>
      <c r="F984" s="3" t="str">
        <f ca="1">INDEX(Drivers!$A$2:$A$31,RANDBETWEEN(1,30))</f>
        <v>D005</v>
      </c>
      <c r="G984" s="3">
        <f t="shared" ca="1" si="256"/>
        <v>9.9</v>
      </c>
      <c r="H984" s="3">
        <f t="shared" ca="1" si="257"/>
        <v>32340</v>
      </c>
      <c r="I984" s="3">
        <f t="shared" ca="1" si="258"/>
        <v>9055</v>
      </c>
      <c r="J984" s="3">
        <f t="shared" ca="1" si="259"/>
        <v>3959</v>
      </c>
      <c r="K984" s="3">
        <f t="shared" ca="1" si="260"/>
        <v>10</v>
      </c>
      <c r="L984" s="3">
        <f t="shared" ca="1" si="261"/>
        <v>16</v>
      </c>
      <c r="M984" s="3">
        <f t="shared" ca="1" si="262"/>
        <v>6</v>
      </c>
      <c r="N984" s="3" t="str">
        <f t="shared" ca="1" si="263"/>
        <v>Delayed</v>
      </c>
      <c r="O984" s="3" t="str">
        <f t="shared" ca="1" si="264"/>
        <v>High</v>
      </c>
      <c r="P984" s="3">
        <f t="shared" ca="1" si="265"/>
        <v>33</v>
      </c>
      <c r="Q984" s="1" t="str">
        <f ca="1">VLOOKUP(D984,Routes!$A$2:$D$31,2,FALSE)</f>
        <v>Jaipur</v>
      </c>
      <c r="R984" s="1" t="str">
        <f ca="1">VLOOKUP(D984,Routes!$A$2:$D$31,3,FALSE)</f>
        <v>Indore</v>
      </c>
      <c r="S984" s="3">
        <f ca="1">VLOOKUP(D984,Routes!$A$2:$D$31,4,FALSE)</f>
        <v>600</v>
      </c>
      <c r="T984" s="3" t="str">
        <f ca="1">VLOOKUP(E984,Vehicles!$A$2:$D$21,2,FALSE)</f>
        <v>Truck</v>
      </c>
      <c r="U984" s="3">
        <f ca="1">VLOOKUP(E984,Vehicles!$A$2:$D$21,3,FALSE)</f>
        <v>20</v>
      </c>
      <c r="V984" s="3" t="str">
        <f ca="1">VLOOKUP(E984,Vehicles!$A$2:$D$21,4,FALSE)</f>
        <v>Diesel</v>
      </c>
      <c r="W984" s="3">
        <f ca="1">VLOOKUP(V984,Fuel_Rates!$A$2:$B$3,2,FALSE)</f>
        <v>95</v>
      </c>
      <c r="X984" s="3">
        <f t="shared" ca="1" si="267"/>
        <v>53.9</v>
      </c>
      <c r="Y984" s="3">
        <f t="shared" ca="1" si="268"/>
        <v>45354</v>
      </c>
      <c r="Z984" s="3" t="str">
        <f t="shared" ca="1" si="269"/>
        <v>May</v>
      </c>
      <c r="AA984" s="3" t="str">
        <f t="shared" ca="1" si="270"/>
        <v>Q2</v>
      </c>
      <c r="AB984" s="4" t="str">
        <f t="shared" ca="1" si="271"/>
        <v>Medium Haul</v>
      </c>
    </row>
    <row r="985" spans="1:28" x14ac:dyDescent="0.3">
      <c r="A985" s="8" t="str">
        <f t="shared" si="266"/>
        <v>S0984</v>
      </c>
      <c r="B985" s="3">
        <f t="shared" ca="1" si="255"/>
        <v>46012</v>
      </c>
      <c r="C985" s="3" t="str">
        <f ca="1">INDEX(Customers!$A$2:$A$21,RANDBETWEEN(1,20))</f>
        <v>C006</v>
      </c>
      <c r="D985" s="3" t="str">
        <f ca="1">INDEX(Routes!$A$2:$A$31,RANDBETWEEN(1,30))</f>
        <v>R003</v>
      </c>
      <c r="E985" s="3" t="str">
        <f ca="1">INDEX(Vehicles!$A$2:$A$21,RANDBETWEEN(1,20))</f>
        <v>V007</v>
      </c>
      <c r="F985" s="3" t="str">
        <f ca="1">INDEX(Drivers!$A$2:$A$31,RANDBETWEEN(1,30))</f>
        <v>D026</v>
      </c>
      <c r="G985" s="3">
        <f t="shared" ca="1" si="256"/>
        <v>23.6</v>
      </c>
      <c r="H985" s="3">
        <f t="shared" ca="1" si="257"/>
        <v>55450</v>
      </c>
      <c r="I985" s="3">
        <f t="shared" ca="1" si="258"/>
        <v>15526</v>
      </c>
      <c r="J985" s="3">
        <f t="shared" ca="1" si="259"/>
        <v>3483</v>
      </c>
      <c r="K985" s="3">
        <f t="shared" ca="1" si="260"/>
        <v>39</v>
      </c>
      <c r="L985" s="3">
        <f t="shared" ca="1" si="261"/>
        <v>44</v>
      </c>
      <c r="M985" s="3">
        <f t="shared" ca="1" si="262"/>
        <v>5</v>
      </c>
      <c r="N985" s="3" t="str">
        <f t="shared" ca="1" si="263"/>
        <v>Delayed</v>
      </c>
      <c r="O985" s="3" t="str">
        <f t="shared" ca="1" si="264"/>
        <v>High</v>
      </c>
      <c r="P985" s="3">
        <f t="shared" ca="1" si="265"/>
        <v>78.7</v>
      </c>
      <c r="Q985" s="1" t="str">
        <f ca="1">VLOOKUP(D985,Routes!$A$2:$D$31,2,FALSE)</f>
        <v>Mumbai</v>
      </c>
      <c r="R985" s="1" t="str">
        <f ca="1">VLOOKUP(D985,Routes!$A$2:$D$31,3,FALSE)</f>
        <v>Delhi</v>
      </c>
      <c r="S985" s="3">
        <f ca="1">VLOOKUP(D985,Routes!$A$2:$D$31,4,FALSE)</f>
        <v>1450</v>
      </c>
      <c r="T985" s="3" t="str">
        <f ca="1">VLOOKUP(E985,Vehicles!$A$2:$D$21,2,FALSE)</f>
        <v>Container</v>
      </c>
      <c r="U985" s="3">
        <f ca="1">VLOOKUP(E985,Vehicles!$A$2:$D$21,3,FALSE)</f>
        <v>20</v>
      </c>
      <c r="V985" s="3" t="str">
        <f ca="1">VLOOKUP(E985,Vehicles!$A$2:$D$21,4,FALSE)</f>
        <v>Diesel</v>
      </c>
      <c r="W985" s="3">
        <f ca="1">VLOOKUP(V985,Fuel_Rates!$A$2:$B$3,2,FALSE)</f>
        <v>95</v>
      </c>
      <c r="X985" s="3">
        <f t="shared" ca="1" si="267"/>
        <v>38.24</v>
      </c>
      <c r="Y985" s="3">
        <f t="shared" ca="1" si="268"/>
        <v>74459</v>
      </c>
      <c r="Z985" s="3" t="str">
        <f t="shared" ca="1" si="269"/>
        <v>Dec</v>
      </c>
      <c r="AA985" s="3" t="str">
        <f t="shared" ca="1" si="270"/>
        <v>Q4</v>
      </c>
      <c r="AB985" s="4" t="str">
        <f t="shared" ca="1" si="271"/>
        <v>Long Haul</v>
      </c>
    </row>
    <row r="986" spans="1:28" x14ac:dyDescent="0.3">
      <c r="A986" s="8" t="str">
        <f t="shared" si="266"/>
        <v>S0985</v>
      </c>
      <c r="B986" s="3">
        <f t="shared" ca="1" si="255"/>
        <v>45826</v>
      </c>
      <c r="C986" s="3" t="str">
        <f ca="1">INDEX(Customers!$A$2:$A$21,RANDBETWEEN(1,20))</f>
        <v>C016</v>
      </c>
      <c r="D986" s="3" t="str">
        <f ca="1">INDEX(Routes!$A$2:$A$31,RANDBETWEEN(1,30))</f>
        <v>R003</v>
      </c>
      <c r="E986" s="3" t="str">
        <f ca="1">INDEX(Vehicles!$A$2:$A$21,RANDBETWEEN(1,20))</f>
        <v>V014</v>
      </c>
      <c r="F986" s="3" t="str">
        <f ca="1">INDEX(Drivers!$A$2:$A$31,RANDBETWEEN(1,30))</f>
        <v>D014</v>
      </c>
      <c r="G986" s="3">
        <f t="shared" ca="1" si="256"/>
        <v>19.399999999999999</v>
      </c>
      <c r="H986" s="3">
        <f t="shared" ca="1" si="257"/>
        <v>48610</v>
      </c>
      <c r="I986" s="3">
        <f t="shared" ca="1" si="258"/>
        <v>13611</v>
      </c>
      <c r="J986" s="3">
        <f t="shared" ca="1" si="259"/>
        <v>3193</v>
      </c>
      <c r="K986" s="3">
        <f t="shared" ca="1" si="260"/>
        <v>15</v>
      </c>
      <c r="L986" s="3">
        <f t="shared" ca="1" si="261"/>
        <v>21</v>
      </c>
      <c r="M986" s="3">
        <f t="shared" ca="1" si="262"/>
        <v>6</v>
      </c>
      <c r="N986" s="3" t="str">
        <f t="shared" ca="1" si="263"/>
        <v>Delayed</v>
      </c>
      <c r="O986" s="3" t="str">
        <f t="shared" ca="1" si="264"/>
        <v>Medium</v>
      </c>
      <c r="P986" s="3">
        <f t="shared" ca="1" si="265"/>
        <v>64.7</v>
      </c>
      <c r="Q986" s="1" t="str">
        <f ca="1">VLOOKUP(D986,Routes!$A$2:$D$31,2,FALSE)</f>
        <v>Mumbai</v>
      </c>
      <c r="R986" s="1" t="str">
        <f ca="1">VLOOKUP(D986,Routes!$A$2:$D$31,3,FALSE)</f>
        <v>Delhi</v>
      </c>
      <c r="S986" s="3">
        <f ca="1">VLOOKUP(D986,Routes!$A$2:$D$31,4,FALSE)</f>
        <v>1450</v>
      </c>
      <c r="T986" s="3" t="str">
        <f ca="1">VLOOKUP(E986,Vehicles!$A$2:$D$21,2,FALSE)</f>
        <v>LCV</v>
      </c>
      <c r="U986" s="3">
        <f ca="1">VLOOKUP(E986,Vehicles!$A$2:$D$21,3,FALSE)</f>
        <v>6</v>
      </c>
      <c r="V986" s="3" t="str">
        <f ca="1">VLOOKUP(E986,Vehicles!$A$2:$D$21,4,FALSE)</f>
        <v>CNG</v>
      </c>
      <c r="W986" s="3">
        <f ca="1">VLOOKUP(V986,Fuel_Rates!$A$2:$B$3,2,FALSE)</f>
        <v>78</v>
      </c>
      <c r="X986" s="3">
        <f t="shared" ca="1" si="267"/>
        <v>33.520000000000003</v>
      </c>
      <c r="Y986" s="3">
        <f t="shared" ca="1" si="268"/>
        <v>65414</v>
      </c>
      <c r="Z986" s="3" t="str">
        <f t="shared" ca="1" si="269"/>
        <v>Jun</v>
      </c>
      <c r="AA986" s="3" t="str">
        <f t="shared" ca="1" si="270"/>
        <v>Q2</v>
      </c>
      <c r="AB986" s="4" t="str">
        <f t="shared" ca="1" si="271"/>
        <v>Long Haul</v>
      </c>
    </row>
    <row r="987" spans="1:28" x14ac:dyDescent="0.3">
      <c r="A987" s="8" t="str">
        <f t="shared" si="266"/>
        <v>S0986</v>
      </c>
      <c r="B987" s="3">
        <f t="shared" ca="1" si="255"/>
        <v>45918</v>
      </c>
      <c r="C987" s="3" t="str">
        <f ca="1">INDEX(Customers!$A$2:$A$21,RANDBETWEEN(1,20))</f>
        <v>C003</v>
      </c>
      <c r="D987" s="3" t="str">
        <f ca="1">INDEX(Routes!$A$2:$A$31,RANDBETWEEN(1,30))</f>
        <v>R030</v>
      </c>
      <c r="E987" s="3" t="str">
        <f ca="1">INDEX(Vehicles!$A$2:$A$21,RANDBETWEEN(1,20))</f>
        <v>V015</v>
      </c>
      <c r="F987" s="3" t="str">
        <f ca="1">INDEX(Drivers!$A$2:$A$31,RANDBETWEEN(1,30))</f>
        <v>D013</v>
      </c>
      <c r="G987" s="3">
        <f t="shared" ca="1" si="256"/>
        <v>29.6</v>
      </c>
      <c r="H987" s="3">
        <f t="shared" ca="1" si="257"/>
        <v>58165</v>
      </c>
      <c r="I987" s="3">
        <f t="shared" ca="1" si="258"/>
        <v>16286</v>
      </c>
      <c r="J987" s="3">
        <f t="shared" ca="1" si="259"/>
        <v>1441</v>
      </c>
      <c r="K987" s="3">
        <f t="shared" ca="1" si="260"/>
        <v>31</v>
      </c>
      <c r="L987" s="3">
        <f t="shared" ca="1" si="261"/>
        <v>31</v>
      </c>
      <c r="M987" s="3">
        <f t="shared" ca="1" si="262"/>
        <v>0</v>
      </c>
      <c r="N987" s="3" t="str">
        <f t="shared" ca="1" si="263"/>
        <v>On Time</v>
      </c>
      <c r="O987" s="3" t="str">
        <f t="shared" ca="1" si="264"/>
        <v>High</v>
      </c>
      <c r="P987" s="3">
        <f t="shared" ca="1" si="265"/>
        <v>98.7</v>
      </c>
      <c r="Q987" s="1" t="str">
        <f ca="1">VLOOKUP(D987,Routes!$A$2:$D$31,2,FALSE)</f>
        <v>Bhubaneswar</v>
      </c>
      <c r="R987" s="1" t="str">
        <f ca="1">VLOOKUP(D987,Routes!$A$2:$D$31,3,FALSE)</f>
        <v>Kolkata</v>
      </c>
      <c r="S987" s="3">
        <f ca="1">VLOOKUP(D987,Routes!$A$2:$D$31,4,FALSE)</f>
        <v>440</v>
      </c>
      <c r="T987" s="3" t="str">
        <f ca="1">VLOOKUP(E987,Vehicles!$A$2:$D$21,2,FALSE)</f>
        <v>Trailer</v>
      </c>
      <c r="U987" s="3">
        <f ca="1">VLOOKUP(E987,Vehicles!$A$2:$D$21,3,FALSE)</f>
        <v>30</v>
      </c>
      <c r="V987" s="3" t="str">
        <f ca="1">VLOOKUP(E987,Vehicles!$A$2:$D$21,4,FALSE)</f>
        <v>Diesel</v>
      </c>
      <c r="W987" s="3">
        <f ca="1">VLOOKUP(V987,Fuel_Rates!$A$2:$B$3,2,FALSE)</f>
        <v>95</v>
      </c>
      <c r="X987" s="3">
        <f t="shared" ca="1" si="267"/>
        <v>132.19</v>
      </c>
      <c r="Y987" s="3">
        <f t="shared" ca="1" si="268"/>
        <v>75892</v>
      </c>
      <c r="Z987" s="3" t="str">
        <f t="shared" ca="1" si="269"/>
        <v>Sep</v>
      </c>
      <c r="AA987" s="3" t="str">
        <f t="shared" ca="1" si="270"/>
        <v>Q3</v>
      </c>
      <c r="AB987" s="4" t="str">
        <f t="shared" ca="1" si="271"/>
        <v>Medium Haul</v>
      </c>
    </row>
    <row r="988" spans="1:28" x14ac:dyDescent="0.3">
      <c r="A988" s="8" t="str">
        <f t="shared" si="266"/>
        <v>S0987</v>
      </c>
      <c r="B988" s="3">
        <f t="shared" ca="1" si="255"/>
        <v>45830</v>
      </c>
      <c r="C988" s="3" t="str">
        <f ca="1">INDEX(Customers!$A$2:$A$21,RANDBETWEEN(1,20))</f>
        <v>C009</v>
      </c>
      <c r="D988" s="3" t="str">
        <f ca="1">INDEX(Routes!$A$2:$A$31,RANDBETWEEN(1,30))</f>
        <v>R010</v>
      </c>
      <c r="E988" s="3" t="str">
        <f ca="1">INDEX(Vehicles!$A$2:$A$21,RANDBETWEEN(1,20))</f>
        <v>V019</v>
      </c>
      <c r="F988" s="3" t="str">
        <f ca="1">INDEX(Drivers!$A$2:$A$31,RANDBETWEEN(1,30))</f>
        <v>D007</v>
      </c>
      <c r="G988" s="3">
        <f t="shared" ca="1" si="256"/>
        <v>18.100000000000001</v>
      </c>
      <c r="H988" s="3">
        <f t="shared" ca="1" si="257"/>
        <v>39422</v>
      </c>
      <c r="I988" s="3">
        <f t="shared" ca="1" si="258"/>
        <v>11038</v>
      </c>
      <c r="J988" s="3">
        <f t="shared" ca="1" si="259"/>
        <v>556</v>
      </c>
      <c r="K988" s="3">
        <f t="shared" ca="1" si="260"/>
        <v>29</v>
      </c>
      <c r="L988" s="3">
        <f t="shared" ca="1" si="261"/>
        <v>34</v>
      </c>
      <c r="M988" s="3">
        <f t="shared" ca="1" si="262"/>
        <v>5</v>
      </c>
      <c r="N988" s="3" t="str">
        <f t="shared" ca="1" si="263"/>
        <v>Delayed</v>
      </c>
      <c r="O988" s="3" t="str">
        <f t="shared" ca="1" si="264"/>
        <v>Medium</v>
      </c>
      <c r="P988" s="3">
        <f t="shared" ca="1" si="265"/>
        <v>60.3</v>
      </c>
      <c r="Q988" s="1" t="str">
        <f ca="1">VLOOKUP(D988,Routes!$A$2:$D$31,2,FALSE)</f>
        <v>Bengaluru</v>
      </c>
      <c r="R988" s="1" t="str">
        <f ca="1">VLOOKUP(D988,Routes!$A$2:$D$31,3,FALSE)</f>
        <v>Hyderabad</v>
      </c>
      <c r="S988" s="3">
        <f ca="1">VLOOKUP(D988,Routes!$A$2:$D$31,4,FALSE)</f>
        <v>570</v>
      </c>
      <c r="T988" s="3" t="str">
        <f ca="1">VLOOKUP(E988,Vehicles!$A$2:$D$21,2,FALSE)</f>
        <v>Trailer</v>
      </c>
      <c r="U988" s="3">
        <f ca="1">VLOOKUP(E988,Vehicles!$A$2:$D$21,3,FALSE)</f>
        <v>35</v>
      </c>
      <c r="V988" s="3" t="str">
        <f ca="1">VLOOKUP(E988,Vehicles!$A$2:$D$21,4,FALSE)</f>
        <v>Diesel</v>
      </c>
      <c r="W988" s="3">
        <f ca="1">VLOOKUP(V988,Fuel_Rates!$A$2:$B$3,2,FALSE)</f>
        <v>95</v>
      </c>
      <c r="X988" s="3">
        <f t="shared" ca="1" si="267"/>
        <v>69.16</v>
      </c>
      <c r="Y988" s="3">
        <f t="shared" ca="1" si="268"/>
        <v>51016</v>
      </c>
      <c r="Z988" s="3" t="str">
        <f t="shared" ca="1" si="269"/>
        <v>Jun</v>
      </c>
      <c r="AA988" s="3" t="str">
        <f t="shared" ca="1" si="270"/>
        <v>Q2</v>
      </c>
      <c r="AB988" s="4" t="str">
        <f t="shared" ca="1" si="271"/>
        <v>Medium Haul</v>
      </c>
    </row>
    <row r="989" spans="1:28" x14ac:dyDescent="0.3">
      <c r="A989" s="8" t="str">
        <f t="shared" si="266"/>
        <v>S0988</v>
      </c>
      <c r="B989" s="3">
        <f t="shared" ca="1" si="255"/>
        <v>45911</v>
      </c>
      <c r="C989" s="3" t="str">
        <f ca="1">INDEX(Customers!$A$2:$A$21,RANDBETWEEN(1,20))</f>
        <v>C003</v>
      </c>
      <c r="D989" s="3" t="str">
        <f ca="1">INDEX(Routes!$A$2:$A$31,RANDBETWEEN(1,30))</f>
        <v>R027</v>
      </c>
      <c r="E989" s="3" t="str">
        <f ca="1">INDEX(Vehicles!$A$2:$A$21,RANDBETWEEN(1,20))</f>
        <v>V008</v>
      </c>
      <c r="F989" s="3" t="str">
        <f ca="1">INDEX(Drivers!$A$2:$A$31,RANDBETWEEN(1,30))</f>
        <v>D015</v>
      </c>
      <c r="G989" s="3">
        <f t="shared" ca="1" si="256"/>
        <v>6.8</v>
      </c>
      <c r="H989" s="3">
        <f t="shared" ca="1" si="257"/>
        <v>21321</v>
      </c>
      <c r="I989" s="3">
        <f t="shared" ca="1" si="258"/>
        <v>5970</v>
      </c>
      <c r="J989" s="3">
        <f t="shared" ca="1" si="259"/>
        <v>2333</v>
      </c>
      <c r="K989" s="3">
        <f t="shared" ca="1" si="260"/>
        <v>10</v>
      </c>
      <c r="L989" s="3">
        <f t="shared" ca="1" si="261"/>
        <v>16</v>
      </c>
      <c r="M989" s="3">
        <f t="shared" ca="1" si="262"/>
        <v>6</v>
      </c>
      <c r="N989" s="3" t="str">
        <f t="shared" ca="1" si="263"/>
        <v>Delayed</v>
      </c>
      <c r="O989" s="3" t="str">
        <f t="shared" ca="1" si="264"/>
        <v>Low</v>
      </c>
      <c r="P989" s="3">
        <f t="shared" ca="1" si="265"/>
        <v>22.7</v>
      </c>
      <c r="Q989" s="1" t="str">
        <f ca="1">VLOOKUP(D989,Routes!$A$2:$D$31,2,FALSE)</f>
        <v>Patna</v>
      </c>
      <c r="R989" s="1" t="str">
        <f ca="1">VLOOKUP(D989,Routes!$A$2:$D$31,3,FALSE)</f>
        <v>Ranchi</v>
      </c>
      <c r="S989" s="3">
        <f ca="1">VLOOKUP(D989,Routes!$A$2:$D$31,4,FALSE)</f>
        <v>330</v>
      </c>
      <c r="T989" s="3" t="str">
        <f ca="1">VLOOKUP(E989,Vehicles!$A$2:$D$21,2,FALSE)</f>
        <v>Container</v>
      </c>
      <c r="U989" s="3">
        <f ca="1">VLOOKUP(E989,Vehicles!$A$2:$D$21,3,FALSE)</f>
        <v>25</v>
      </c>
      <c r="V989" s="3" t="str">
        <f ca="1">VLOOKUP(E989,Vehicles!$A$2:$D$21,4,FALSE)</f>
        <v>Diesel</v>
      </c>
      <c r="W989" s="3">
        <f ca="1">VLOOKUP(V989,Fuel_Rates!$A$2:$B$3,2,FALSE)</f>
        <v>95</v>
      </c>
      <c r="X989" s="3">
        <f t="shared" ca="1" si="267"/>
        <v>64.61</v>
      </c>
      <c r="Y989" s="3">
        <f t="shared" ca="1" si="268"/>
        <v>29624</v>
      </c>
      <c r="Z989" s="3" t="str">
        <f t="shared" ca="1" si="269"/>
        <v>Sep</v>
      </c>
      <c r="AA989" s="3" t="str">
        <f t="shared" ca="1" si="270"/>
        <v>Q3</v>
      </c>
      <c r="AB989" s="4" t="str">
        <f t="shared" ca="1" si="271"/>
        <v>Medium Haul</v>
      </c>
    </row>
    <row r="990" spans="1:28" x14ac:dyDescent="0.3">
      <c r="A990" s="8" t="str">
        <f t="shared" si="266"/>
        <v>S0989</v>
      </c>
      <c r="B990" s="3">
        <f t="shared" ca="1" si="255"/>
        <v>45924</v>
      </c>
      <c r="C990" s="3" t="str">
        <f ca="1">INDEX(Customers!$A$2:$A$21,RANDBETWEEN(1,20))</f>
        <v>C019</v>
      </c>
      <c r="D990" s="3" t="str">
        <f ca="1">INDEX(Routes!$A$2:$A$31,RANDBETWEEN(1,30))</f>
        <v>R008</v>
      </c>
      <c r="E990" s="3" t="str">
        <f ca="1">INDEX(Vehicles!$A$2:$A$21,RANDBETWEEN(1,20))</f>
        <v>V004</v>
      </c>
      <c r="F990" s="3" t="str">
        <f ca="1">INDEX(Drivers!$A$2:$A$31,RANDBETWEEN(1,30))</f>
        <v>D004</v>
      </c>
      <c r="G990" s="3">
        <f t="shared" ca="1" si="256"/>
        <v>19</v>
      </c>
      <c r="H990" s="3">
        <f t="shared" ca="1" si="257"/>
        <v>43680</v>
      </c>
      <c r="I990" s="3">
        <f t="shared" ca="1" si="258"/>
        <v>12230</v>
      </c>
      <c r="J990" s="3">
        <f t="shared" ca="1" si="259"/>
        <v>2342</v>
      </c>
      <c r="K990" s="3">
        <f t="shared" ca="1" si="260"/>
        <v>42</v>
      </c>
      <c r="L990" s="3">
        <f t="shared" ca="1" si="261"/>
        <v>43</v>
      </c>
      <c r="M990" s="3">
        <f t="shared" ca="1" si="262"/>
        <v>1</v>
      </c>
      <c r="N990" s="3" t="str">
        <f t="shared" ca="1" si="263"/>
        <v>On Time</v>
      </c>
      <c r="O990" s="3" t="str">
        <f t="shared" ca="1" si="264"/>
        <v>Low</v>
      </c>
      <c r="P990" s="3">
        <f t="shared" ca="1" si="265"/>
        <v>63.3</v>
      </c>
      <c r="Q990" s="1" t="str">
        <f ca="1">VLOOKUP(D990,Routes!$A$2:$D$31,2,FALSE)</f>
        <v>Delhi</v>
      </c>
      <c r="R990" s="1" t="str">
        <f ca="1">VLOOKUP(D990,Routes!$A$2:$D$31,3,FALSE)</f>
        <v>Kolkata</v>
      </c>
      <c r="S990" s="3">
        <f ca="1">VLOOKUP(D990,Routes!$A$2:$D$31,4,FALSE)</f>
        <v>1500</v>
      </c>
      <c r="T990" s="3" t="str">
        <f ca="1">VLOOKUP(E990,Vehicles!$A$2:$D$21,2,FALSE)</f>
        <v>Trailer</v>
      </c>
      <c r="U990" s="3">
        <f ca="1">VLOOKUP(E990,Vehicles!$A$2:$D$21,3,FALSE)</f>
        <v>28</v>
      </c>
      <c r="V990" s="3" t="str">
        <f ca="1">VLOOKUP(E990,Vehicles!$A$2:$D$21,4,FALSE)</f>
        <v>Diesel</v>
      </c>
      <c r="W990" s="3">
        <f ca="1">VLOOKUP(V990,Fuel_Rates!$A$2:$B$3,2,FALSE)</f>
        <v>95</v>
      </c>
      <c r="X990" s="3">
        <f t="shared" ca="1" si="267"/>
        <v>29.12</v>
      </c>
      <c r="Y990" s="3">
        <f t="shared" ca="1" si="268"/>
        <v>58252</v>
      </c>
      <c r="Z990" s="3" t="str">
        <f t="shared" ca="1" si="269"/>
        <v>Sep</v>
      </c>
      <c r="AA990" s="3" t="str">
        <f t="shared" ca="1" si="270"/>
        <v>Q3</v>
      </c>
      <c r="AB990" s="4" t="str">
        <f t="shared" ca="1" si="271"/>
        <v>Long Haul</v>
      </c>
    </row>
    <row r="991" spans="1:28" x14ac:dyDescent="0.3">
      <c r="A991" s="8" t="str">
        <f t="shared" si="266"/>
        <v>S0990</v>
      </c>
      <c r="B991" s="3">
        <f t="shared" ca="1" si="255"/>
        <v>45963</v>
      </c>
      <c r="C991" s="3" t="str">
        <f ca="1">INDEX(Customers!$A$2:$A$21,RANDBETWEEN(1,20))</f>
        <v>C015</v>
      </c>
      <c r="D991" s="3" t="str">
        <f ca="1">INDEX(Routes!$A$2:$A$31,RANDBETWEEN(1,30))</f>
        <v>R004</v>
      </c>
      <c r="E991" s="3" t="str">
        <f ca="1">INDEX(Vehicles!$A$2:$A$21,RANDBETWEEN(1,20))</f>
        <v>V012</v>
      </c>
      <c r="F991" s="3" t="str">
        <f ca="1">INDEX(Drivers!$A$2:$A$31,RANDBETWEEN(1,30))</f>
        <v>D017</v>
      </c>
      <c r="G991" s="3">
        <f t="shared" ca="1" si="256"/>
        <v>22.5</v>
      </c>
      <c r="H991" s="3">
        <f t="shared" ca="1" si="257"/>
        <v>50500</v>
      </c>
      <c r="I991" s="3">
        <f t="shared" ca="1" si="258"/>
        <v>14140</v>
      </c>
      <c r="J991" s="3">
        <f t="shared" ca="1" si="259"/>
        <v>913</v>
      </c>
      <c r="K991" s="3">
        <f t="shared" ca="1" si="260"/>
        <v>36</v>
      </c>
      <c r="L991" s="3">
        <f t="shared" ca="1" si="261"/>
        <v>40</v>
      </c>
      <c r="M991" s="3">
        <f t="shared" ca="1" si="262"/>
        <v>4</v>
      </c>
      <c r="N991" s="3" t="str">
        <f t="shared" ca="1" si="263"/>
        <v>Delayed</v>
      </c>
      <c r="O991" s="3" t="str">
        <f t="shared" ca="1" si="264"/>
        <v>High</v>
      </c>
      <c r="P991" s="3">
        <f t="shared" ca="1" si="265"/>
        <v>75</v>
      </c>
      <c r="Q991" s="1" t="str">
        <f ca="1">VLOOKUP(D991,Routes!$A$2:$D$31,2,FALSE)</f>
        <v>Mumbai</v>
      </c>
      <c r="R991" s="1" t="str">
        <f ca="1">VLOOKUP(D991,Routes!$A$2:$D$31,3,FALSE)</f>
        <v>Bengaluru</v>
      </c>
      <c r="S991" s="3">
        <f ca="1">VLOOKUP(D991,Routes!$A$2:$D$31,4,FALSE)</f>
        <v>980</v>
      </c>
      <c r="T991" s="3" t="str">
        <f ca="1">VLOOKUP(E991,Vehicles!$A$2:$D$21,2,FALSE)</f>
        <v>Truck</v>
      </c>
      <c r="U991" s="3">
        <f ca="1">VLOOKUP(E991,Vehicles!$A$2:$D$21,3,FALSE)</f>
        <v>20</v>
      </c>
      <c r="V991" s="3" t="str">
        <f ca="1">VLOOKUP(E991,Vehicles!$A$2:$D$21,4,FALSE)</f>
        <v>CNG</v>
      </c>
      <c r="W991" s="3">
        <f ca="1">VLOOKUP(V991,Fuel_Rates!$A$2:$B$3,2,FALSE)</f>
        <v>78</v>
      </c>
      <c r="X991" s="3">
        <f t="shared" ca="1" si="267"/>
        <v>51.53</v>
      </c>
      <c r="Y991" s="3">
        <f t="shared" ca="1" si="268"/>
        <v>65553</v>
      </c>
      <c r="Z991" s="3" t="str">
        <f t="shared" ca="1" si="269"/>
        <v>Nov</v>
      </c>
      <c r="AA991" s="3" t="str">
        <f t="shared" ca="1" si="270"/>
        <v>Q4</v>
      </c>
      <c r="AB991" s="4" t="str">
        <f t="shared" ca="1" si="271"/>
        <v>Long Haul</v>
      </c>
    </row>
    <row r="992" spans="1:28" x14ac:dyDescent="0.3">
      <c r="A992" s="8" t="str">
        <f t="shared" si="266"/>
        <v>S0991</v>
      </c>
      <c r="B992" s="3">
        <f t="shared" ca="1" si="255"/>
        <v>45978</v>
      </c>
      <c r="C992" s="3" t="str">
        <f ca="1">INDEX(Customers!$A$2:$A$21,RANDBETWEEN(1,20))</f>
        <v>C013</v>
      </c>
      <c r="D992" s="3" t="str">
        <f ca="1">INDEX(Routes!$A$2:$A$31,RANDBETWEEN(1,30))</f>
        <v>R010</v>
      </c>
      <c r="E992" s="3" t="str">
        <f ca="1">INDEX(Vehicles!$A$2:$A$21,RANDBETWEEN(1,20))</f>
        <v>V004</v>
      </c>
      <c r="F992" s="3" t="str">
        <f ca="1">INDEX(Drivers!$A$2:$A$31,RANDBETWEEN(1,30))</f>
        <v>D007</v>
      </c>
      <c r="G992" s="3">
        <f t="shared" ca="1" si="256"/>
        <v>20</v>
      </c>
      <c r="H992" s="3">
        <f t="shared" ca="1" si="257"/>
        <v>39443</v>
      </c>
      <c r="I992" s="3">
        <f t="shared" ca="1" si="258"/>
        <v>11044</v>
      </c>
      <c r="J992" s="3">
        <f t="shared" ca="1" si="259"/>
        <v>751</v>
      </c>
      <c r="K992" s="3">
        <f t="shared" ca="1" si="260"/>
        <v>30</v>
      </c>
      <c r="L992" s="3">
        <f t="shared" ca="1" si="261"/>
        <v>38</v>
      </c>
      <c r="M992" s="3">
        <f t="shared" ca="1" si="262"/>
        <v>8</v>
      </c>
      <c r="N992" s="3" t="str">
        <f t="shared" ca="1" si="263"/>
        <v>Delayed</v>
      </c>
      <c r="O992" s="3" t="str">
        <f t="shared" ca="1" si="264"/>
        <v>Medium</v>
      </c>
      <c r="P992" s="3">
        <f t="shared" ca="1" si="265"/>
        <v>66.7</v>
      </c>
      <c r="Q992" s="1" t="str">
        <f ca="1">VLOOKUP(D992,Routes!$A$2:$D$31,2,FALSE)</f>
        <v>Bengaluru</v>
      </c>
      <c r="R992" s="1" t="str">
        <f ca="1">VLOOKUP(D992,Routes!$A$2:$D$31,3,FALSE)</f>
        <v>Hyderabad</v>
      </c>
      <c r="S992" s="3">
        <f ca="1">VLOOKUP(D992,Routes!$A$2:$D$31,4,FALSE)</f>
        <v>570</v>
      </c>
      <c r="T992" s="3" t="str">
        <f ca="1">VLOOKUP(E992,Vehicles!$A$2:$D$21,2,FALSE)</f>
        <v>Trailer</v>
      </c>
      <c r="U992" s="3">
        <f ca="1">VLOOKUP(E992,Vehicles!$A$2:$D$21,3,FALSE)</f>
        <v>28</v>
      </c>
      <c r="V992" s="3" t="str">
        <f ca="1">VLOOKUP(E992,Vehicles!$A$2:$D$21,4,FALSE)</f>
        <v>Diesel</v>
      </c>
      <c r="W992" s="3">
        <f ca="1">VLOOKUP(V992,Fuel_Rates!$A$2:$B$3,2,FALSE)</f>
        <v>95</v>
      </c>
      <c r="X992" s="3">
        <f t="shared" ca="1" si="267"/>
        <v>69.2</v>
      </c>
      <c r="Y992" s="3">
        <f t="shared" ca="1" si="268"/>
        <v>51238</v>
      </c>
      <c r="Z992" s="3" t="str">
        <f t="shared" ca="1" si="269"/>
        <v>Nov</v>
      </c>
      <c r="AA992" s="3" t="str">
        <f t="shared" ca="1" si="270"/>
        <v>Q4</v>
      </c>
      <c r="AB992" s="4" t="str">
        <f t="shared" ca="1" si="271"/>
        <v>Medium Haul</v>
      </c>
    </row>
    <row r="993" spans="1:28" x14ac:dyDescent="0.3">
      <c r="A993" s="8" t="str">
        <f t="shared" si="266"/>
        <v>S0992</v>
      </c>
      <c r="B993" s="3">
        <f t="shared" ca="1" si="255"/>
        <v>46003</v>
      </c>
      <c r="C993" s="3" t="str">
        <f ca="1">INDEX(Customers!$A$2:$A$21,RANDBETWEEN(1,20))</f>
        <v>C019</v>
      </c>
      <c r="D993" s="3" t="str">
        <f ca="1">INDEX(Routes!$A$2:$A$31,RANDBETWEEN(1,30))</f>
        <v>R015</v>
      </c>
      <c r="E993" s="3" t="str">
        <f ca="1">INDEX(Vehicles!$A$2:$A$21,RANDBETWEEN(1,20))</f>
        <v>V018</v>
      </c>
      <c r="F993" s="3" t="str">
        <f ca="1">INDEX(Drivers!$A$2:$A$31,RANDBETWEEN(1,30))</f>
        <v>D021</v>
      </c>
      <c r="G993" s="3">
        <f t="shared" ca="1" si="256"/>
        <v>10.6</v>
      </c>
      <c r="H993" s="3">
        <f t="shared" ca="1" si="257"/>
        <v>27265</v>
      </c>
      <c r="I993" s="3">
        <f t="shared" ca="1" si="258"/>
        <v>7634</v>
      </c>
      <c r="J993" s="3">
        <f t="shared" ca="1" si="259"/>
        <v>1720</v>
      </c>
      <c r="K993" s="3">
        <f t="shared" ca="1" si="260"/>
        <v>9</v>
      </c>
      <c r="L993" s="3">
        <f t="shared" ca="1" si="261"/>
        <v>9</v>
      </c>
      <c r="M993" s="3">
        <f t="shared" ca="1" si="262"/>
        <v>0</v>
      </c>
      <c r="N993" s="3" t="str">
        <f t="shared" ca="1" si="263"/>
        <v>On Time</v>
      </c>
      <c r="O993" s="3" t="str">
        <f t="shared" ca="1" si="264"/>
        <v>Low</v>
      </c>
      <c r="P993" s="3">
        <f t="shared" ca="1" si="265"/>
        <v>35.299999999999997</v>
      </c>
      <c r="Q993" s="1" t="str">
        <f ca="1">VLOOKUP(D993,Routes!$A$2:$D$31,2,FALSE)</f>
        <v>Hyderabad</v>
      </c>
      <c r="R993" s="1" t="str">
        <f ca="1">VLOOKUP(D993,Routes!$A$2:$D$31,3,FALSE)</f>
        <v>Pune</v>
      </c>
      <c r="S993" s="3">
        <f ca="1">VLOOKUP(D993,Routes!$A$2:$D$31,4,FALSE)</f>
        <v>560</v>
      </c>
      <c r="T993" s="3" t="str">
        <f ca="1">VLOOKUP(E993,Vehicles!$A$2:$D$21,2,FALSE)</f>
        <v>Truck</v>
      </c>
      <c r="U993" s="3">
        <f ca="1">VLOOKUP(E993,Vehicles!$A$2:$D$21,3,FALSE)</f>
        <v>26</v>
      </c>
      <c r="V993" s="3" t="str">
        <f ca="1">VLOOKUP(E993,Vehicles!$A$2:$D$21,4,FALSE)</f>
        <v>Diesel</v>
      </c>
      <c r="W993" s="3">
        <f ca="1">VLOOKUP(V993,Fuel_Rates!$A$2:$B$3,2,FALSE)</f>
        <v>95</v>
      </c>
      <c r="X993" s="3">
        <f t="shared" ca="1" si="267"/>
        <v>48.69</v>
      </c>
      <c r="Y993" s="3">
        <f t="shared" ca="1" si="268"/>
        <v>36619</v>
      </c>
      <c r="Z993" s="3" t="str">
        <f t="shared" ca="1" si="269"/>
        <v>Dec</v>
      </c>
      <c r="AA993" s="3" t="str">
        <f t="shared" ca="1" si="270"/>
        <v>Q4</v>
      </c>
      <c r="AB993" s="4" t="str">
        <f t="shared" ca="1" si="271"/>
        <v>Medium Haul</v>
      </c>
    </row>
    <row r="994" spans="1:28" x14ac:dyDescent="0.3">
      <c r="A994" s="8" t="str">
        <f t="shared" si="266"/>
        <v>S0993</v>
      </c>
      <c r="B994" s="3">
        <f t="shared" ca="1" si="255"/>
        <v>46010</v>
      </c>
      <c r="C994" s="3" t="str">
        <f ca="1">INDEX(Customers!$A$2:$A$21,RANDBETWEEN(1,20))</f>
        <v>C012</v>
      </c>
      <c r="D994" s="3" t="str">
        <f ca="1">INDEX(Routes!$A$2:$A$31,RANDBETWEEN(1,30))</f>
        <v>R001</v>
      </c>
      <c r="E994" s="3" t="str">
        <f ca="1">INDEX(Vehicles!$A$2:$A$21,RANDBETWEEN(1,20))</f>
        <v>V012</v>
      </c>
      <c r="F994" s="3" t="str">
        <f ca="1">INDEX(Drivers!$A$2:$A$31,RANDBETWEEN(1,30))</f>
        <v>D014</v>
      </c>
      <c r="G994" s="3">
        <f t="shared" ca="1" si="256"/>
        <v>24.5</v>
      </c>
      <c r="H994" s="3">
        <f t="shared" ca="1" si="257"/>
        <v>53016</v>
      </c>
      <c r="I994" s="3">
        <f t="shared" ca="1" si="258"/>
        <v>14844</v>
      </c>
      <c r="J994" s="3">
        <f t="shared" ca="1" si="259"/>
        <v>523</v>
      </c>
      <c r="K994" s="3">
        <f t="shared" ca="1" si="260"/>
        <v>45</v>
      </c>
      <c r="L994" s="3">
        <f t="shared" ca="1" si="261"/>
        <v>53</v>
      </c>
      <c r="M994" s="3">
        <f t="shared" ca="1" si="262"/>
        <v>8</v>
      </c>
      <c r="N994" s="3" t="str">
        <f t="shared" ca="1" si="263"/>
        <v>Delayed</v>
      </c>
      <c r="O994" s="3" t="str">
        <f t="shared" ca="1" si="264"/>
        <v>Low</v>
      </c>
      <c r="P994" s="3">
        <f t="shared" ca="1" si="265"/>
        <v>81.7</v>
      </c>
      <c r="Q994" s="1" t="str">
        <f ca="1">VLOOKUP(D994,Routes!$A$2:$D$31,2,FALSE)</f>
        <v>Mumbai</v>
      </c>
      <c r="R994" s="1" t="str">
        <f ca="1">VLOOKUP(D994,Routes!$A$2:$D$31,3,FALSE)</f>
        <v>Pune</v>
      </c>
      <c r="S994" s="3">
        <f ca="1">VLOOKUP(D994,Routes!$A$2:$D$31,4,FALSE)</f>
        <v>150</v>
      </c>
      <c r="T994" s="3" t="str">
        <f ca="1">VLOOKUP(E994,Vehicles!$A$2:$D$21,2,FALSE)</f>
        <v>Truck</v>
      </c>
      <c r="U994" s="3">
        <f ca="1">VLOOKUP(E994,Vehicles!$A$2:$D$21,3,FALSE)</f>
        <v>20</v>
      </c>
      <c r="V994" s="3" t="str">
        <f ca="1">VLOOKUP(E994,Vehicles!$A$2:$D$21,4,FALSE)</f>
        <v>CNG</v>
      </c>
      <c r="W994" s="3">
        <f ca="1">VLOOKUP(V994,Fuel_Rates!$A$2:$B$3,2,FALSE)</f>
        <v>78</v>
      </c>
      <c r="X994" s="3">
        <f t="shared" ca="1" si="267"/>
        <v>353.44</v>
      </c>
      <c r="Y994" s="3">
        <f t="shared" ca="1" si="268"/>
        <v>68383</v>
      </c>
      <c r="Z994" s="3" t="str">
        <f t="shared" ca="1" si="269"/>
        <v>Dec</v>
      </c>
      <c r="AA994" s="3" t="str">
        <f t="shared" ca="1" si="270"/>
        <v>Q4</v>
      </c>
      <c r="AB994" s="4" t="str">
        <f t="shared" ca="1" si="271"/>
        <v>Short Haul</v>
      </c>
    </row>
    <row r="995" spans="1:28" x14ac:dyDescent="0.3">
      <c r="A995" s="8" t="str">
        <f t="shared" si="266"/>
        <v>S0994</v>
      </c>
      <c r="B995" s="3">
        <f t="shared" ca="1" si="255"/>
        <v>45855</v>
      </c>
      <c r="C995" s="3" t="str">
        <f ca="1">INDEX(Customers!$A$2:$A$21,RANDBETWEEN(1,20))</f>
        <v>C008</v>
      </c>
      <c r="D995" s="3" t="str">
        <f ca="1">INDEX(Routes!$A$2:$A$31,RANDBETWEEN(1,30))</f>
        <v>R017</v>
      </c>
      <c r="E995" s="3" t="str">
        <f ca="1">INDEX(Vehicles!$A$2:$A$21,RANDBETWEEN(1,20))</f>
        <v>V005</v>
      </c>
      <c r="F995" s="3" t="str">
        <f ca="1">INDEX(Drivers!$A$2:$A$31,RANDBETWEEN(1,30))</f>
        <v>D018</v>
      </c>
      <c r="G995" s="3">
        <f t="shared" ca="1" si="256"/>
        <v>20.3</v>
      </c>
      <c r="H995" s="3">
        <f t="shared" ca="1" si="257"/>
        <v>44708</v>
      </c>
      <c r="I995" s="3">
        <f t="shared" ca="1" si="258"/>
        <v>12518</v>
      </c>
      <c r="J995" s="3">
        <f t="shared" ca="1" si="259"/>
        <v>2167</v>
      </c>
      <c r="K995" s="3">
        <f t="shared" ca="1" si="260"/>
        <v>25</v>
      </c>
      <c r="L995" s="3">
        <f t="shared" ca="1" si="261"/>
        <v>31</v>
      </c>
      <c r="M995" s="3">
        <f t="shared" ca="1" si="262"/>
        <v>6</v>
      </c>
      <c r="N995" s="3" t="str">
        <f t="shared" ca="1" si="263"/>
        <v>Delayed</v>
      </c>
      <c r="O995" s="3" t="str">
        <f t="shared" ca="1" si="264"/>
        <v>Low</v>
      </c>
      <c r="P995" s="3">
        <f t="shared" ca="1" si="265"/>
        <v>67.7</v>
      </c>
      <c r="Q995" s="1" t="str">
        <f ca="1">VLOOKUP(D995,Routes!$A$2:$D$31,2,FALSE)</f>
        <v>Kolkata</v>
      </c>
      <c r="R995" s="1" t="str">
        <f ca="1">VLOOKUP(D995,Routes!$A$2:$D$31,3,FALSE)</f>
        <v>Patna</v>
      </c>
      <c r="S995" s="3">
        <f ca="1">VLOOKUP(D995,Routes!$A$2:$D$31,4,FALSE)</f>
        <v>620</v>
      </c>
      <c r="T995" s="3" t="str">
        <f ca="1">VLOOKUP(E995,Vehicles!$A$2:$D$21,2,FALSE)</f>
        <v>Trailer</v>
      </c>
      <c r="U995" s="3">
        <f ca="1">VLOOKUP(E995,Vehicles!$A$2:$D$21,3,FALSE)</f>
        <v>32</v>
      </c>
      <c r="V995" s="3" t="str">
        <f ca="1">VLOOKUP(E995,Vehicles!$A$2:$D$21,4,FALSE)</f>
        <v>Diesel</v>
      </c>
      <c r="W995" s="3">
        <f ca="1">VLOOKUP(V995,Fuel_Rates!$A$2:$B$3,2,FALSE)</f>
        <v>95</v>
      </c>
      <c r="X995" s="3">
        <f t="shared" ca="1" si="267"/>
        <v>72.11</v>
      </c>
      <c r="Y995" s="3">
        <f t="shared" ca="1" si="268"/>
        <v>59393</v>
      </c>
      <c r="Z995" s="3" t="str">
        <f t="shared" ca="1" si="269"/>
        <v>Jul</v>
      </c>
      <c r="AA995" s="3" t="str">
        <f t="shared" ca="1" si="270"/>
        <v>Q3</v>
      </c>
      <c r="AB995" s="4" t="str">
        <f t="shared" ca="1" si="271"/>
        <v>Medium Haul</v>
      </c>
    </row>
    <row r="996" spans="1:28" x14ac:dyDescent="0.3">
      <c r="A996" s="8" t="str">
        <f t="shared" si="266"/>
        <v>S0995</v>
      </c>
      <c r="B996" s="3">
        <f t="shared" ca="1" si="255"/>
        <v>45882</v>
      </c>
      <c r="C996" s="3" t="str">
        <f ca="1">INDEX(Customers!$A$2:$A$21,RANDBETWEEN(1,20))</f>
        <v>C016</v>
      </c>
      <c r="D996" s="3" t="str">
        <f ca="1">INDEX(Routes!$A$2:$A$31,RANDBETWEEN(1,30))</f>
        <v>R007</v>
      </c>
      <c r="E996" s="3" t="str">
        <f ca="1">INDEX(Vehicles!$A$2:$A$21,RANDBETWEEN(1,20))</f>
        <v>V002</v>
      </c>
      <c r="F996" s="3" t="str">
        <f ca="1">INDEX(Drivers!$A$2:$A$31,RANDBETWEEN(1,30))</f>
        <v>D030</v>
      </c>
      <c r="G996" s="3">
        <f t="shared" ca="1" si="256"/>
        <v>19.2</v>
      </c>
      <c r="H996" s="3">
        <f t="shared" ca="1" si="257"/>
        <v>47045</v>
      </c>
      <c r="I996" s="3">
        <f t="shared" ca="1" si="258"/>
        <v>13173</v>
      </c>
      <c r="J996" s="3">
        <f t="shared" ca="1" si="259"/>
        <v>2642</v>
      </c>
      <c r="K996" s="3">
        <f t="shared" ca="1" si="260"/>
        <v>27</v>
      </c>
      <c r="L996" s="3">
        <f t="shared" ca="1" si="261"/>
        <v>27</v>
      </c>
      <c r="M996" s="3">
        <f t="shared" ca="1" si="262"/>
        <v>0</v>
      </c>
      <c r="N996" s="3" t="str">
        <f t="shared" ca="1" si="263"/>
        <v>On Time</v>
      </c>
      <c r="O996" s="3" t="str">
        <f t="shared" ca="1" si="264"/>
        <v>High</v>
      </c>
      <c r="P996" s="3">
        <f t="shared" ca="1" si="265"/>
        <v>64</v>
      </c>
      <c r="Q996" s="1" t="str">
        <f ca="1">VLOOKUP(D996,Routes!$A$2:$D$31,2,FALSE)</f>
        <v>Delhi</v>
      </c>
      <c r="R996" s="1" t="str">
        <f ca="1">VLOOKUP(D996,Routes!$A$2:$D$31,3,FALSE)</f>
        <v>Chandigarh</v>
      </c>
      <c r="S996" s="3">
        <f ca="1">VLOOKUP(D996,Routes!$A$2:$D$31,4,FALSE)</f>
        <v>250</v>
      </c>
      <c r="T996" s="3" t="str">
        <f ca="1">VLOOKUP(E996,Vehicles!$A$2:$D$21,2,FALSE)</f>
        <v>Truck</v>
      </c>
      <c r="U996" s="3">
        <f ca="1">VLOOKUP(E996,Vehicles!$A$2:$D$21,3,FALSE)</f>
        <v>20</v>
      </c>
      <c r="V996" s="3" t="str">
        <f ca="1">VLOOKUP(E996,Vehicles!$A$2:$D$21,4,FALSE)</f>
        <v>Diesel</v>
      </c>
      <c r="W996" s="3">
        <f ca="1">VLOOKUP(V996,Fuel_Rates!$A$2:$B$3,2,FALSE)</f>
        <v>95</v>
      </c>
      <c r="X996" s="3">
        <f t="shared" ca="1" si="267"/>
        <v>188.18</v>
      </c>
      <c r="Y996" s="3">
        <f t="shared" ca="1" si="268"/>
        <v>62860</v>
      </c>
      <c r="Z996" s="3" t="str">
        <f t="shared" ca="1" si="269"/>
        <v>Aug</v>
      </c>
      <c r="AA996" s="3" t="str">
        <f t="shared" ca="1" si="270"/>
        <v>Q3</v>
      </c>
      <c r="AB996" s="4" t="str">
        <f t="shared" ca="1" si="271"/>
        <v>Short Haul</v>
      </c>
    </row>
    <row r="997" spans="1:28" x14ac:dyDescent="0.3">
      <c r="A997" s="8" t="str">
        <f t="shared" si="266"/>
        <v>S0996</v>
      </c>
      <c r="B997" s="3">
        <f t="shared" ca="1" si="255"/>
        <v>46015</v>
      </c>
      <c r="C997" s="3" t="str">
        <f ca="1">INDEX(Customers!$A$2:$A$21,RANDBETWEEN(1,20))</f>
        <v>C008</v>
      </c>
      <c r="D997" s="3" t="str">
        <f ca="1">INDEX(Routes!$A$2:$A$31,RANDBETWEEN(1,30))</f>
        <v>R023</v>
      </c>
      <c r="E997" s="3" t="str">
        <f ca="1">INDEX(Vehicles!$A$2:$A$21,RANDBETWEEN(1,20))</f>
        <v>V009</v>
      </c>
      <c r="F997" s="3" t="str">
        <f ca="1">INDEX(Drivers!$A$2:$A$31,RANDBETWEEN(1,30))</f>
        <v>D026</v>
      </c>
      <c r="G997" s="3">
        <f t="shared" ca="1" si="256"/>
        <v>21.3</v>
      </c>
      <c r="H997" s="3">
        <f t="shared" ca="1" si="257"/>
        <v>43369</v>
      </c>
      <c r="I997" s="3">
        <f t="shared" ca="1" si="258"/>
        <v>12143</v>
      </c>
      <c r="J997" s="3">
        <f t="shared" ca="1" si="259"/>
        <v>3766</v>
      </c>
      <c r="K997" s="3">
        <f t="shared" ca="1" si="260"/>
        <v>28</v>
      </c>
      <c r="L997" s="3">
        <f t="shared" ca="1" si="261"/>
        <v>31</v>
      </c>
      <c r="M997" s="3">
        <f t="shared" ca="1" si="262"/>
        <v>3</v>
      </c>
      <c r="N997" s="3" t="str">
        <f t="shared" ca="1" si="263"/>
        <v>Delayed</v>
      </c>
      <c r="O997" s="3" t="str">
        <f t="shared" ca="1" si="264"/>
        <v>Low</v>
      </c>
      <c r="P997" s="3">
        <f t="shared" ca="1" si="265"/>
        <v>71</v>
      </c>
      <c r="Q997" s="1" t="str">
        <f ca="1">VLOOKUP(D997,Routes!$A$2:$D$31,2,FALSE)</f>
        <v>Kochi</v>
      </c>
      <c r="R997" s="1" t="str">
        <f ca="1">VLOOKUP(D997,Routes!$A$2:$D$31,3,FALSE)</f>
        <v>Bengaluru</v>
      </c>
      <c r="S997" s="3">
        <f ca="1">VLOOKUP(D997,Routes!$A$2:$D$31,4,FALSE)</f>
        <v>550</v>
      </c>
      <c r="T997" s="3" t="str">
        <f ca="1">VLOOKUP(E997,Vehicles!$A$2:$D$21,2,FALSE)</f>
        <v>LCV</v>
      </c>
      <c r="U997" s="3">
        <f ca="1">VLOOKUP(E997,Vehicles!$A$2:$D$21,3,FALSE)</f>
        <v>5</v>
      </c>
      <c r="V997" s="3" t="str">
        <f ca="1">VLOOKUP(E997,Vehicles!$A$2:$D$21,4,FALSE)</f>
        <v>Diesel</v>
      </c>
      <c r="W997" s="3">
        <f ca="1">VLOOKUP(V997,Fuel_Rates!$A$2:$B$3,2,FALSE)</f>
        <v>95</v>
      </c>
      <c r="X997" s="3">
        <f t="shared" ca="1" si="267"/>
        <v>78.849999999999994</v>
      </c>
      <c r="Y997" s="3">
        <f t="shared" ca="1" si="268"/>
        <v>59278</v>
      </c>
      <c r="Z997" s="3" t="str">
        <f t="shared" ca="1" si="269"/>
        <v>Dec</v>
      </c>
      <c r="AA997" s="3" t="str">
        <f t="shared" ca="1" si="270"/>
        <v>Q4</v>
      </c>
      <c r="AB997" s="4" t="str">
        <f t="shared" ca="1" si="271"/>
        <v>Medium Haul</v>
      </c>
    </row>
    <row r="998" spans="1:28" x14ac:dyDescent="0.3">
      <c r="A998" s="8" t="str">
        <f t="shared" si="266"/>
        <v>S0997</v>
      </c>
      <c r="B998" s="3">
        <f t="shared" ca="1" si="255"/>
        <v>45872</v>
      </c>
      <c r="C998" s="3" t="str">
        <f ca="1">INDEX(Customers!$A$2:$A$21,RANDBETWEEN(1,20))</f>
        <v>C012</v>
      </c>
      <c r="D998" s="3" t="str">
        <f ca="1">INDEX(Routes!$A$2:$A$31,RANDBETWEEN(1,30))</f>
        <v>R015</v>
      </c>
      <c r="E998" s="3" t="str">
        <f ca="1">INDEX(Vehicles!$A$2:$A$21,RANDBETWEEN(1,20))</f>
        <v>V014</v>
      </c>
      <c r="F998" s="3" t="str">
        <f ca="1">INDEX(Drivers!$A$2:$A$31,RANDBETWEEN(1,30))</f>
        <v>D024</v>
      </c>
      <c r="G998" s="3">
        <f t="shared" ca="1" si="256"/>
        <v>24.3</v>
      </c>
      <c r="H998" s="3">
        <f t="shared" ca="1" si="257"/>
        <v>58100</v>
      </c>
      <c r="I998" s="3">
        <f t="shared" ca="1" si="258"/>
        <v>16268</v>
      </c>
      <c r="J998" s="3">
        <f t="shared" ca="1" si="259"/>
        <v>2936</v>
      </c>
      <c r="K998" s="3">
        <f t="shared" ca="1" si="260"/>
        <v>19</v>
      </c>
      <c r="L998" s="3">
        <f t="shared" ca="1" si="261"/>
        <v>22</v>
      </c>
      <c r="M998" s="3">
        <f t="shared" ca="1" si="262"/>
        <v>3</v>
      </c>
      <c r="N998" s="3" t="str">
        <f t="shared" ca="1" si="263"/>
        <v>Delayed</v>
      </c>
      <c r="O998" s="3" t="str">
        <f t="shared" ca="1" si="264"/>
        <v>Medium</v>
      </c>
      <c r="P998" s="3">
        <f t="shared" ca="1" si="265"/>
        <v>81</v>
      </c>
      <c r="Q998" s="1" t="str">
        <f ca="1">VLOOKUP(D998,Routes!$A$2:$D$31,2,FALSE)</f>
        <v>Hyderabad</v>
      </c>
      <c r="R998" s="1" t="str">
        <f ca="1">VLOOKUP(D998,Routes!$A$2:$D$31,3,FALSE)</f>
        <v>Pune</v>
      </c>
      <c r="S998" s="3">
        <f ca="1">VLOOKUP(D998,Routes!$A$2:$D$31,4,FALSE)</f>
        <v>560</v>
      </c>
      <c r="T998" s="3" t="str">
        <f ca="1">VLOOKUP(E998,Vehicles!$A$2:$D$21,2,FALSE)</f>
        <v>LCV</v>
      </c>
      <c r="U998" s="3">
        <f ca="1">VLOOKUP(E998,Vehicles!$A$2:$D$21,3,FALSE)</f>
        <v>6</v>
      </c>
      <c r="V998" s="3" t="str">
        <f ca="1">VLOOKUP(E998,Vehicles!$A$2:$D$21,4,FALSE)</f>
        <v>CNG</v>
      </c>
      <c r="W998" s="3">
        <f ca="1">VLOOKUP(V998,Fuel_Rates!$A$2:$B$3,2,FALSE)</f>
        <v>78</v>
      </c>
      <c r="X998" s="3">
        <f t="shared" ca="1" si="267"/>
        <v>103.75</v>
      </c>
      <c r="Y998" s="3">
        <f t="shared" ca="1" si="268"/>
        <v>77304</v>
      </c>
      <c r="Z998" s="3" t="str">
        <f t="shared" ca="1" si="269"/>
        <v>Aug</v>
      </c>
      <c r="AA998" s="3" t="str">
        <f t="shared" ca="1" si="270"/>
        <v>Q3</v>
      </c>
      <c r="AB998" s="4" t="str">
        <f t="shared" ca="1" si="271"/>
        <v>Medium Haul</v>
      </c>
    </row>
    <row r="999" spans="1:28" x14ac:dyDescent="0.3">
      <c r="A999" s="8" t="str">
        <f t="shared" si="266"/>
        <v>S0998</v>
      </c>
      <c r="B999" s="3">
        <f t="shared" ca="1" si="255"/>
        <v>45703</v>
      </c>
      <c r="C999" s="3" t="str">
        <f ca="1">INDEX(Customers!$A$2:$A$21,RANDBETWEEN(1,20))</f>
        <v>C005</v>
      </c>
      <c r="D999" s="3" t="str">
        <f ca="1">INDEX(Routes!$A$2:$A$31,RANDBETWEEN(1,30))</f>
        <v>R017</v>
      </c>
      <c r="E999" s="3" t="str">
        <f ca="1">INDEX(Vehicles!$A$2:$A$21,RANDBETWEEN(1,20))</f>
        <v>V010</v>
      </c>
      <c r="F999" s="3" t="str">
        <f ca="1">INDEX(Drivers!$A$2:$A$31,RANDBETWEEN(1,30))</f>
        <v>D025</v>
      </c>
      <c r="G999" s="3">
        <f t="shared" ca="1" si="256"/>
        <v>27.9</v>
      </c>
      <c r="H999" s="3">
        <f t="shared" ca="1" si="257"/>
        <v>54828</v>
      </c>
      <c r="I999" s="3">
        <f t="shared" ca="1" si="258"/>
        <v>15352</v>
      </c>
      <c r="J999" s="3">
        <f t="shared" ca="1" si="259"/>
        <v>1346</v>
      </c>
      <c r="K999" s="3">
        <f t="shared" ca="1" si="260"/>
        <v>8</v>
      </c>
      <c r="L999" s="3">
        <f t="shared" ca="1" si="261"/>
        <v>13</v>
      </c>
      <c r="M999" s="3">
        <f t="shared" ca="1" si="262"/>
        <v>5</v>
      </c>
      <c r="N999" s="3" t="str">
        <f t="shared" ca="1" si="263"/>
        <v>Delayed</v>
      </c>
      <c r="O999" s="3" t="str">
        <f t="shared" ca="1" si="264"/>
        <v>High</v>
      </c>
      <c r="P999" s="3">
        <f t="shared" ca="1" si="265"/>
        <v>93</v>
      </c>
      <c r="Q999" s="1" t="str">
        <f ca="1">VLOOKUP(D999,Routes!$A$2:$D$31,2,FALSE)</f>
        <v>Kolkata</v>
      </c>
      <c r="R999" s="1" t="str">
        <f ca="1">VLOOKUP(D999,Routes!$A$2:$D$31,3,FALSE)</f>
        <v>Patna</v>
      </c>
      <c r="S999" s="3">
        <f ca="1">VLOOKUP(D999,Routes!$A$2:$D$31,4,FALSE)</f>
        <v>620</v>
      </c>
      <c r="T999" s="3" t="str">
        <f ca="1">VLOOKUP(E999,Vehicles!$A$2:$D$21,2,FALSE)</f>
        <v>LCV</v>
      </c>
      <c r="U999" s="3">
        <f ca="1">VLOOKUP(E999,Vehicles!$A$2:$D$21,3,FALSE)</f>
        <v>7</v>
      </c>
      <c r="V999" s="3" t="str">
        <f ca="1">VLOOKUP(E999,Vehicles!$A$2:$D$21,4,FALSE)</f>
        <v>Diesel</v>
      </c>
      <c r="W999" s="3">
        <f ca="1">VLOOKUP(V999,Fuel_Rates!$A$2:$B$3,2,FALSE)</f>
        <v>95</v>
      </c>
      <c r="X999" s="3">
        <f t="shared" ca="1" si="267"/>
        <v>88.43</v>
      </c>
      <c r="Y999" s="3">
        <f t="shared" ca="1" si="268"/>
        <v>71526</v>
      </c>
      <c r="Z999" s="3" t="str">
        <f t="shared" ca="1" si="269"/>
        <v>Feb</v>
      </c>
      <c r="AA999" s="3" t="str">
        <f t="shared" ca="1" si="270"/>
        <v>Q1</v>
      </c>
      <c r="AB999" s="4" t="str">
        <f t="shared" ca="1" si="271"/>
        <v>Medium Haul</v>
      </c>
    </row>
    <row r="1000" spans="1:28" x14ac:dyDescent="0.3">
      <c r="A1000" s="8" t="str">
        <f t="shared" si="266"/>
        <v>S0999</v>
      </c>
      <c r="B1000" s="3">
        <f t="shared" ca="1" si="255"/>
        <v>45947</v>
      </c>
      <c r="C1000" s="3" t="str">
        <f ca="1">INDEX(Customers!$A$2:$A$21,RANDBETWEEN(1,20))</f>
        <v>C011</v>
      </c>
      <c r="D1000" s="3" t="str">
        <f ca="1">INDEX(Routes!$A$2:$A$31,RANDBETWEEN(1,30))</f>
        <v>R012</v>
      </c>
      <c r="E1000" s="3" t="str">
        <f ca="1">INDEX(Vehicles!$A$2:$A$21,RANDBETWEEN(1,20))</f>
        <v>V020</v>
      </c>
      <c r="F1000" s="3" t="str">
        <f ca="1">INDEX(Drivers!$A$2:$A$31,RANDBETWEEN(1,30))</f>
        <v>D022</v>
      </c>
      <c r="G1000" s="3">
        <f t="shared" ca="1" si="256"/>
        <v>22.6</v>
      </c>
      <c r="H1000" s="3">
        <f t="shared" ca="1" si="257"/>
        <v>43711</v>
      </c>
      <c r="I1000" s="3">
        <f t="shared" ca="1" si="258"/>
        <v>12239</v>
      </c>
      <c r="J1000" s="3">
        <f t="shared" ca="1" si="259"/>
        <v>2060</v>
      </c>
      <c r="K1000" s="3">
        <f t="shared" ca="1" si="260"/>
        <v>7</v>
      </c>
      <c r="L1000" s="3">
        <f t="shared" ca="1" si="261"/>
        <v>9</v>
      </c>
      <c r="M1000" s="3">
        <f t="shared" ca="1" si="262"/>
        <v>2</v>
      </c>
      <c r="N1000" s="3" t="str">
        <f t="shared" ca="1" si="263"/>
        <v>On Time</v>
      </c>
      <c r="O1000" s="3" t="str">
        <f t="shared" ca="1" si="264"/>
        <v>Medium</v>
      </c>
      <c r="P1000" s="3">
        <f t="shared" ca="1" si="265"/>
        <v>75.3</v>
      </c>
      <c r="Q1000" s="1" t="str">
        <f ca="1">VLOOKUP(D1000,Routes!$A$2:$D$31,2,FALSE)</f>
        <v>Chennai</v>
      </c>
      <c r="R1000" s="1" t="str">
        <f ca="1">VLOOKUP(D1000,Routes!$A$2:$D$31,3,FALSE)</f>
        <v>Coimbatore</v>
      </c>
      <c r="S1000" s="3">
        <f ca="1">VLOOKUP(D1000,Routes!$A$2:$D$31,4,FALSE)</f>
        <v>500</v>
      </c>
      <c r="T1000" s="3" t="str">
        <f ca="1">VLOOKUP(E1000,Vehicles!$A$2:$D$21,2,FALSE)</f>
        <v>Container</v>
      </c>
      <c r="U1000" s="3">
        <f ca="1">VLOOKUP(E1000,Vehicles!$A$2:$D$21,3,FALSE)</f>
        <v>28</v>
      </c>
      <c r="V1000" s="3" t="str">
        <f ca="1">VLOOKUP(E1000,Vehicles!$A$2:$D$21,4,FALSE)</f>
        <v>Diesel</v>
      </c>
      <c r="W1000" s="3">
        <f ca="1">VLOOKUP(V1000,Fuel_Rates!$A$2:$B$3,2,FALSE)</f>
        <v>95</v>
      </c>
      <c r="X1000" s="3">
        <f t="shared" ca="1" si="267"/>
        <v>87.42</v>
      </c>
      <c r="Y1000" s="3">
        <f t="shared" ca="1" si="268"/>
        <v>58010</v>
      </c>
      <c r="Z1000" s="3" t="str">
        <f t="shared" ca="1" si="269"/>
        <v>Oct</v>
      </c>
      <c r="AA1000" s="3" t="str">
        <f t="shared" ca="1" si="270"/>
        <v>Q4</v>
      </c>
      <c r="AB1000" s="4" t="str">
        <f t="shared" ca="1" si="271"/>
        <v>Medium Haul</v>
      </c>
    </row>
    <row r="1001" spans="1:28" x14ac:dyDescent="0.3">
      <c r="A1001" s="9" t="str">
        <f t="shared" si="266"/>
        <v>S1000</v>
      </c>
      <c r="B1001" s="10">
        <f t="shared" ca="1" si="255"/>
        <v>45885</v>
      </c>
      <c r="C1001" s="10" t="str">
        <f ca="1">INDEX(Customers!$A$2:$A$21,RANDBETWEEN(1,20))</f>
        <v>C013</v>
      </c>
      <c r="D1001" s="10" t="str">
        <f ca="1">INDEX(Routes!$A$2:$A$31,RANDBETWEEN(1,30))</f>
        <v>R007</v>
      </c>
      <c r="E1001" s="10" t="str">
        <f ca="1">INDEX(Vehicles!$A$2:$A$21,RANDBETWEEN(1,20))</f>
        <v>V011</v>
      </c>
      <c r="F1001" s="10" t="str">
        <f ca="1">INDEX(Drivers!$A$2:$A$31,RANDBETWEEN(1,30))</f>
        <v>D030</v>
      </c>
      <c r="G1001" s="10">
        <f t="shared" ca="1" si="256"/>
        <v>3.3</v>
      </c>
      <c r="H1001" s="10">
        <f t="shared" ca="1" si="257"/>
        <v>19308</v>
      </c>
      <c r="I1001" s="10">
        <f t="shared" ca="1" si="258"/>
        <v>5406</v>
      </c>
      <c r="J1001" s="10">
        <f t="shared" ca="1" si="259"/>
        <v>2435</v>
      </c>
      <c r="K1001" s="10">
        <f t="shared" ca="1" si="260"/>
        <v>31</v>
      </c>
      <c r="L1001" s="10">
        <f t="shared" ca="1" si="261"/>
        <v>39</v>
      </c>
      <c r="M1001" s="10">
        <f t="shared" ca="1" si="262"/>
        <v>8</v>
      </c>
      <c r="N1001" s="10" t="str">
        <f t="shared" ca="1" si="263"/>
        <v>Delayed</v>
      </c>
      <c r="O1001" s="10" t="str">
        <f t="shared" ca="1" si="264"/>
        <v>Medium</v>
      </c>
      <c r="P1001" s="10">
        <f t="shared" ca="1" si="265"/>
        <v>11</v>
      </c>
      <c r="Q1001" s="11" t="str">
        <f ca="1">VLOOKUP(D1001,Routes!$A$2:$D$31,2,FALSE)</f>
        <v>Delhi</v>
      </c>
      <c r="R1001" s="11" t="str">
        <f ca="1">VLOOKUP(D1001,Routes!$A$2:$D$31,3,FALSE)</f>
        <v>Chandigarh</v>
      </c>
      <c r="S1001" s="10">
        <f ca="1">VLOOKUP(D1001,Routes!$A$2:$D$31,4,FALSE)</f>
        <v>250</v>
      </c>
      <c r="T1001" s="10" t="str">
        <f ca="1">VLOOKUP(E1001,Vehicles!$A$2:$D$21,2,FALSE)</f>
        <v>Truck</v>
      </c>
      <c r="U1001" s="10">
        <f ca="1">VLOOKUP(E1001,Vehicles!$A$2:$D$21,3,FALSE)</f>
        <v>18</v>
      </c>
      <c r="V1001" s="10" t="str">
        <f ca="1">VLOOKUP(E1001,Vehicles!$A$2:$D$21,4,FALSE)</f>
        <v>CNG</v>
      </c>
      <c r="W1001" s="10">
        <f ca="1">VLOOKUP(V1001,Fuel_Rates!$A$2:$B$3,2,FALSE)</f>
        <v>78</v>
      </c>
      <c r="X1001" s="10">
        <f t="shared" ca="1" si="267"/>
        <v>77.23</v>
      </c>
      <c r="Y1001" s="10">
        <f t="shared" ca="1" si="268"/>
        <v>27149</v>
      </c>
      <c r="Z1001" s="10" t="str">
        <f t="shared" ca="1" si="269"/>
        <v>Aug</v>
      </c>
      <c r="AA1001" s="10" t="str">
        <f t="shared" ca="1" si="270"/>
        <v>Q3</v>
      </c>
      <c r="AB1001" s="12" t="str">
        <f t="shared" ca="1" si="271"/>
        <v>Short Haul</v>
      </c>
    </row>
    <row r="1002" spans="1:28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G13" sqref="G13"/>
    </sheetView>
  </sheetViews>
  <sheetFormatPr defaultRowHeight="14.4" x14ac:dyDescent="0.3"/>
  <cols>
    <col min="1" max="1" width="10.88671875" customWidth="1"/>
    <col min="2" max="2" width="14.109375" customWidth="1"/>
  </cols>
  <sheetData>
    <row r="1" spans="1:2" ht="28.8" customHeight="1" x14ac:dyDescent="0.3">
      <c r="A1" s="20" t="s">
        <v>56</v>
      </c>
      <c r="B1" s="22" t="s">
        <v>214</v>
      </c>
    </row>
    <row r="2" spans="1:2" x14ac:dyDescent="0.3">
      <c r="A2" s="16" t="s">
        <v>59</v>
      </c>
      <c r="B2" s="17">
        <v>95</v>
      </c>
    </row>
    <row r="3" spans="1:2" x14ac:dyDescent="0.3">
      <c r="A3" s="18" t="s">
        <v>73</v>
      </c>
      <c r="B3" s="19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Vehicles</vt:lpstr>
      <vt:lpstr>Drivers</vt:lpstr>
      <vt:lpstr>Routes</vt:lpstr>
      <vt:lpstr>Shipments</vt:lpstr>
      <vt:lpstr>Fuel_Rates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Anas</dc:creator>
  <cp:lastModifiedBy>HP</cp:lastModifiedBy>
  <dcterms:created xsi:type="dcterms:W3CDTF">2026-06-30T06:03:50Z</dcterms:created>
  <dcterms:modified xsi:type="dcterms:W3CDTF">2026-06-30T11:15:15Z</dcterms:modified>
</cp:coreProperties>
</file>